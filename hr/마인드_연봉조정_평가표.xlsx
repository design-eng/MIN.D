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안내" sheetId="1" state="visible" r:id="rId1"/>
    <sheet name="최저임금" sheetId="2" state="visible" r:id="rId2"/>
    <sheet name="평가기준" sheetId="3" state="visible" r:id="rId3"/>
    <sheet name="평가표" sheetId="4" state="visible" r:id="rId4"/>
    <sheet name="연봉이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3">
    <font>
      <name val="Calibri"/>
      <family val="2"/>
      <color theme="1"/>
      <sz val="11"/>
      <scheme val="minor"/>
    </font>
    <font>
      <name val="맑은 고딕"/>
      <b val="1"/>
      <color rgb="0014161B"/>
      <sz val="16"/>
    </font>
    <font>
      <name val="맑은 고딕"/>
      <color rgb="006B7280"/>
      <sz val="9"/>
    </font>
    <font>
      <name val="맑은 고딕"/>
      <b val="1"/>
      <color rgb="006B7280"/>
      <sz val="9"/>
    </font>
    <font>
      <name val="맑은 고딕"/>
      <color rgb="0014161B"/>
      <sz val="9"/>
    </font>
    <font>
      <name val="맑은 고딕"/>
      <b val="1"/>
      <color rgb="0014161B"/>
      <sz val="10"/>
    </font>
    <font>
      <name val="맑은 고딕"/>
      <b val="1"/>
      <color rgb="0014161B"/>
      <sz val="9"/>
    </font>
    <font>
      <name val="맑은 고딕"/>
      <color rgb="000000FF"/>
      <sz val="9"/>
    </font>
    <font>
      <name val="맑은 고딕"/>
      <color rgb="00C2410C"/>
      <sz val="9"/>
    </font>
    <font>
      <name val="맑은 고딕"/>
      <b val="1"/>
      <color rgb="0014161B"/>
      <sz val="11"/>
    </font>
    <font>
      <name val="맑은 고딕"/>
      <b val="1"/>
      <color rgb="00C2410C"/>
      <sz val="9"/>
    </font>
    <font>
      <name val="맑은 고딕"/>
      <b val="1"/>
      <color rgb="000000FF"/>
      <sz val="10"/>
    </font>
    <font>
      <name val="맑은 고딕"/>
      <i val="1"/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F4F5F7"/>
      </patternFill>
    </fill>
    <fill>
      <patternFill patternType="solid">
        <fgColor rgb="00FFF9DB"/>
      </patternFill>
    </fill>
    <fill>
      <patternFill patternType="solid">
        <fgColor rgb="00FAFBFC"/>
      </patternFill>
    </fill>
    <fill>
      <patternFill patternType="solid">
        <fgColor rgb="00E8EAED"/>
      </patternFill>
    </fill>
  </fills>
  <borders count="4">
    <border>
      <left/>
      <right/>
      <top/>
      <bottom/>
      <diagonal/>
    </border>
    <border>
      <bottom style="thin">
        <color rgb="0014161B"/>
      </bottom>
    </border>
    <border>
      <left style="thin">
        <color rgb="00D4D6DB"/>
      </left>
      <right style="thin">
        <color rgb="00D4D6DB"/>
      </right>
      <top style="medium">
        <color rgb="0014161B"/>
      </top>
      <bottom style="medium">
        <color rgb="0014161B"/>
      </bottom>
    </border>
    <border>
      <left style="thin">
        <color rgb="00D4D6DB"/>
      </left>
      <right style="thin">
        <color rgb="00D4D6DB"/>
      </right>
      <top style="thin">
        <color rgb="00D4D6DB"/>
      </top>
      <bottom style="thin">
        <color rgb="00D4D6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6" fillId="2" borderId="2" applyAlignment="1" pivotButton="0" quotePrefix="0" xfId="0">
      <alignment horizontal="center"/>
    </xf>
    <xf numFmtId="0" fontId="4" fillId="0" borderId="3" applyAlignment="1" pivotButton="0" quotePrefix="0" xfId="0">
      <alignment vertical="center"/>
    </xf>
    <xf numFmtId="3" fontId="7" fillId="3" borderId="3" applyAlignment="1" pivotButton="0" quotePrefix="0" xfId="0">
      <alignment horizontal="center" vertical="center"/>
    </xf>
    <xf numFmtId="1" fontId="7" fillId="3" borderId="3" applyAlignment="1" pivotButton="0" quotePrefix="0" xfId="0">
      <alignment horizontal="center" vertical="center"/>
    </xf>
    <xf numFmtId="3" fontId="6" fillId="4" borderId="3" applyAlignment="1" pivotButton="0" quotePrefix="0" xfId="0">
      <alignment horizontal="center" vertical="center"/>
    </xf>
    <xf numFmtId="0" fontId="8" fillId="0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0" fontId="9" fillId="0" borderId="0" pivotButton="0" quotePrefix="0" xfId="0"/>
    <xf numFmtId="0" fontId="6" fillId="0" borderId="0" pivotButton="0" quotePrefix="0" xfId="0"/>
    <xf numFmtId="164" fontId="11" fillId="3" borderId="3" pivotButton="0" quotePrefix="0" xfId="0"/>
    <xf numFmtId="0" fontId="10" fillId="0" borderId="0" pivotButton="0" quotePrefix="0" xfId="0"/>
    <xf numFmtId="0" fontId="3" fillId="5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3" fontId="12" fillId="0" borderId="3" applyAlignment="1" pivotButton="0" quotePrefix="0" xfId="0">
      <alignment horizontal="center" vertical="center"/>
    </xf>
    <xf numFmtId="1" fontId="12" fillId="0" borderId="3" applyAlignment="1" pivotButton="0" quotePrefix="0" xfId="0">
      <alignment horizontal="center" vertical="center"/>
    </xf>
    <xf numFmtId="1" fontId="6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5" fontId="12" fillId="0" borderId="3" applyAlignment="1" pivotButton="0" quotePrefix="0" xfId="0">
      <alignment horizontal="center" vertical="center"/>
    </xf>
    <xf numFmtId="3" fontId="4" fillId="4" borderId="3" applyAlignment="1" pivotButton="0" quotePrefix="0" xfId="0">
      <alignment horizontal="center" vertical="center"/>
    </xf>
    <xf numFmtId="164" fontId="4" fillId="4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3" fontId="7" fillId="0" borderId="3" applyAlignment="1" pivotButton="0" quotePrefix="0" xfId="0">
      <alignment horizontal="center" vertical="center"/>
    </xf>
    <xf numFmtId="1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165" fontId="4" fillId="4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92" customWidth="1" min="2" max="2"/>
  </cols>
  <sheetData>
    <row r="1">
      <c r="A1" s="1" t="inlineStr">
        <is>
          <t>연봉조정 평가표</t>
        </is>
      </c>
    </row>
    <row r="2">
      <c r="A2" s="2" t="inlineStr">
        <is>
          <t>취업규칙 제34조 · 연봉조정 운영기준에 따른 산출 도구</t>
        </is>
      </c>
    </row>
    <row r="4">
      <c r="A4" s="3" t="inlineStr"/>
      <c r="B4" s="4" t="inlineStr"/>
    </row>
    <row r="5" ht="24" customHeight="1">
      <c r="A5" s="5" t="inlineStr">
        <is>
          <t>쓰는 순서</t>
        </is>
      </c>
      <c r="B5" s="6" t="inlineStr"/>
    </row>
    <row r="6">
      <c r="A6" s="3" t="inlineStr">
        <is>
          <t>1</t>
        </is>
      </c>
      <c r="B6" s="4" t="inlineStr">
        <is>
          <t>「최저임금」 시트에 해당 연도 최저임금 시급을 넣습니다. 매년 바뀝니다.</t>
        </is>
      </c>
    </row>
    <row r="7">
      <c r="A7" s="3" t="inlineStr">
        <is>
          <t>2</t>
        </is>
      </c>
      <c r="B7" s="4" t="inlineStr">
        <is>
          <t>「평가표」에 직원 이름과 현재 연봉을 넣습니다.</t>
        </is>
      </c>
    </row>
    <row r="8">
      <c r="A8" s="3" t="inlineStr">
        <is>
          <t>3</t>
        </is>
      </c>
      <c r="B8" s="4" t="inlineStr">
        <is>
          <t>자기평가와 회사평가 점수를 각 항목에 넣으면 총점·등급·권장 인상률이 자동 계산됩니다.</t>
        </is>
      </c>
    </row>
    <row r="9">
      <c r="A9" s="3" t="inlineStr">
        <is>
          <t>4</t>
        </is>
      </c>
      <c r="B9" s="4" t="inlineStr">
        <is>
          <t>면담 후 「적용 인상률」을 넣으면 조정 연봉과 월 지급액이 나옵니다.</t>
        </is>
      </c>
    </row>
    <row r="10">
      <c r="A10" s="3" t="inlineStr">
        <is>
          <t>5</t>
        </is>
      </c>
      <c r="B10" s="4" t="inlineStr">
        <is>
          <t>「검증」 열이 확인 필요로 뜨면 최저임금 미달이므로 금액을 올려야 합니다.</t>
        </is>
      </c>
    </row>
    <row r="11">
      <c r="A11" s="3" t="inlineStr">
        <is>
          <t>6</t>
        </is>
      </c>
      <c r="B11" s="4" t="inlineStr">
        <is>
          <t>합의가 끝나면 「연봉이력」에 한 줄 남기고, 연봉계약서를 작성합니다.</t>
        </is>
      </c>
    </row>
    <row r="12">
      <c r="A12" s="3" t="inlineStr"/>
      <c r="B12" s="4" t="inlineStr"/>
    </row>
    <row r="13" ht="24" customHeight="1">
      <c r="A13" s="5" t="inlineStr">
        <is>
          <t>꼭 알아두실 점</t>
        </is>
      </c>
      <c r="B13" s="6" t="inlineStr"/>
    </row>
    <row r="14">
      <c r="A14" s="3" t="inlineStr">
        <is>
          <t>감액 불가</t>
        </is>
      </c>
      <c r="B14" s="4" t="inlineStr">
        <is>
          <t>연봉은 근로자 동의 없이 낮출 수 없습니다. D등급이어도 동결이 하한입니다. (취업규칙 제34조제5항)</t>
        </is>
      </c>
    </row>
    <row r="15">
      <c r="A15" s="3" t="inlineStr">
        <is>
          <t>합의 결렬</t>
        </is>
      </c>
      <c r="B15" s="4" t="inlineStr">
        <is>
          <t>합의가 안 되면 종전 연봉이 그대로 유지됩니다. 이를 이유로 불이익을 주면 안 됩니다. (제34조제6항)</t>
        </is>
      </c>
    </row>
    <row r="16">
      <c r="A16" s="3" t="inlineStr">
        <is>
          <t>시기</t>
        </is>
      </c>
      <c r="B16" s="4" t="inlineStr">
        <is>
          <t>입사일 기준입니다. 입사 기념일이 속한 달의 다음 달 1일부터 적용하고, 면담은 그 전달까지 마칩니다.</t>
        </is>
      </c>
    </row>
    <row r="17">
      <c r="A17" s="3" t="inlineStr">
        <is>
          <t>권장 구간</t>
        </is>
      </c>
      <c r="B17" s="4" t="inlineStr">
        <is>
          <t>등급별 인상률은 권장 범위입니다. 경영 상황에 따라 구간 안에서 정하되, 구간을 벗어나면 면담에서 사유를 설명하세요.</t>
        </is>
      </c>
    </row>
    <row r="18">
      <c r="A18" s="3" t="inlineStr">
        <is>
          <t>반영 절차</t>
        </is>
      </c>
      <c r="B18" s="4" t="inlineStr">
        <is>
          <t>연봉이 바뀌면 4대보험 보수월액 변경을 신고하고, 근태·연차 관리대장의 연봉도 갱신해야 합니다.</t>
        </is>
      </c>
    </row>
    <row r="19">
      <c r="A19" s="3" t="inlineStr">
        <is>
          <t>평가 금지</t>
        </is>
      </c>
      <c r="B19" s="4" t="inlineStr">
        <is>
          <t>휴가 사용, 출산·육아휴직, 성별·연령 등 차별 사유, 괴롭힘 신고는 평가에 반영할 수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최저임금 기준</t>
        </is>
      </c>
    </row>
    <row r="2">
      <c r="A2" s="2" t="inlineStr">
        <is>
          <t>해당 연도 시급만 넣으면 나머지는 자동 계산됩니다. 고용노동부 고시로 매년 바뀝니다.</t>
        </is>
      </c>
    </row>
    <row r="3">
      <c r="A3" s="7" t="inlineStr">
        <is>
          <t>항목</t>
        </is>
      </c>
      <c r="B3" s="7" t="inlineStr">
        <is>
          <t>값</t>
        </is>
      </c>
    </row>
    <row r="4">
      <c r="A4" s="8" t="inlineStr">
        <is>
          <t>최저임금 시급 (원)</t>
        </is>
      </c>
      <c r="B4" s="9" t="n">
        <v>10320</v>
      </c>
    </row>
    <row r="5">
      <c r="A5" s="8" t="inlineStr">
        <is>
          <t>월 소정근로시간</t>
        </is>
      </c>
      <c r="B5" s="10" t="n">
        <v>209</v>
      </c>
    </row>
    <row r="6">
      <c r="A6" s="8" t="inlineStr">
        <is>
          <t>월 환산액 (원)</t>
        </is>
      </c>
      <c r="B6" s="11">
        <f>B4*B5</f>
        <v/>
      </c>
    </row>
    <row r="7">
      <c r="A7" s="8" t="inlineStr">
        <is>
          <t>수습 감액 하한 90% (원)</t>
        </is>
      </c>
      <c r="B7" s="11">
        <f>ROUND(B6*0.9,0)</f>
        <v/>
      </c>
    </row>
    <row r="9">
      <c r="A9" s="12" t="inlineStr">
        <is>
          <t>※ 2026년 시급 10,320원을 기본값으로 넣어 두었습니다. 매년 고시를 확인해 B4를 고치세요.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8" customWidth="1" min="3" max="3"/>
    <col width="8" customWidth="1" min="4" max="4"/>
  </cols>
  <sheetData>
    <row r="1">
      <c r="A1" s="1" t="inlineStr">
        <is>
          <t>평가 항목과 등급</t>
        </is>
      </c>
    </row>
    <row r="2">
      <c r="A2" s="2" t="inlineStr">
        <is>
          <t>연봉조정 운영기준 2항·3항. 배점을 바꾸면 평가표의 만점도 함께 고쳐야 합니다.</t>
        </is>
      </c>
    </row>
    <row r="4" ht="32" customHeight="1">
      <c r="A4" s="13" t="inlineStr">
        <is>
          <t>영역</t>
        </is>
      </c>
      <c r="B4" s="13" t="inlineStr">
        <is>
          <t>세부 항목</t>
        </is>
      </c>
      <c r="C4" s="13" t="inlineStr">
        <is>
          <t>배점</t>
        </is>
      </c>
    </row>
    <row r="5">
      <c r="A5" s="14" t="inlineStr">
        <is>
          <t>직무 성과</t>
        </is>
      </c>
      <c r="B5" s="15" t="inlineStr">
        <is>
          <t>산출물의 완성도와 품질</t>
        </is>
      </c>
      <c r="C5" s="16" t="n">
        <v>15</v>
      </c>
    </row>
    <row r="6">
      <c r="A6" s="16" t="inlineStr"/>
      <c r="B6" s="15" t="inlineStr">
        <is>
          <t>일정 준수와 진행 관리</t>
        </is>
      </c>
      <c r="C6" s="16" t="n">
        <v>15</v>
      </c>
    </row>
    <row r="7">
      <c r="A7" s="16" t="inlineStr"/>
      <c r="B7" s="15" t="inlineStr">
        <is>
          <t>클라이언트 요구 파악과 대응</t>
        </is>
      </c>
      <c r="C7" s="16" t="n">
        <v>10</v>
      </c>
    </row>
    <row r="8">
      <c r="A8" s="14" t="inlineStr">
        <is>
          <t>직무 역량</t>
        </is>
      </c>
      <c r="B8" s="15" t="inlineStr">
        <is>
          <t>사용자 조사와 화면 설계의 깊이</t>
        </is>
      </c>
      <c r="C8" s="16" t="n">
        <v>10</v>
      </c>
    </row>
    <row r="9">
      <c r="A9" s="16" t="inlineStr"/>
      <c r="B9" s="15" t="inlineStr">
        <is>
          <t>디자인 시스템 구축·운용</t>
        </is>
      </c>
      <c r="C9" s="16" t="n">
        <v>10</v>
      </c>
    </row>
    <row r="10">
      <c r="A10" s="16" t="inlineStr"/>
      <c r="B10" s="15" t="inlineStr">
        <is>
          <t>도구 숙련도와 새로운 방법의 습득</t>
        </is>
      </c>
      <c r="C10" s="16" t="n">
        <v>10</v>
      </c>
    </row>
    <row r="11">
      <c r="A11" s="14" t="inlineStr">
        <is>
          <t>협업과 태도</t>
        </is>
      </c>
      <c r="B11" s="15" t="inlineStr">
        <is>
          <t>팀·직무 간 소통과 정보 공유</t>
        </is>
      </c>
      <c r="C11" s="16" t="n">
        <v>10</v>
      </c>
    </row>
    <row r="12">
      <c r="A12" s="16" t="inlineStr"/>
      <c r="B12" s="15" t="inlineStr">
        <is>
          <t>피드백 수용과 반영</t>
        </is>
      </c>
      <c r="C12" s="16" t="n">
        <v>10</v>
      </c>
    </row>
    <row r="13">
      <c r="A13" s="14" t="inlineStr">
        <is>
          <t>기여와 성장</t>
        </is>
      </c>
      <c r="B13" s="15" t="inlineStr">
        <is>
          <t>업무 방식·프로세스 개선 제안</t>
        </is>
      </c>
      <c r="C13" s="16" t="n">
        <v>5</v>
      </c>
    </row>
    <row r="14">
      <c r="A14" s="16" t="inlineStr"/>
      <c r="B14" s="15" t="inlineStr">
        <is>
          <t>학습 내용의 공유와 후배 지원</t>
        </is>
      </c>
      <c r="C14" s="16" t="n">
        <v>5</v>
      </c>
    </row>
    <row r="15">
      <c r="A15" s="17" t="n"/>
      <c r="B15" s="7" t="inlineStr">
        <is>
          <t>합계</t>
        </is>
      </c>
      <c r="C15" s="7">
        <f>SUM(C5:C14)</f>
        <v/>
      </c>
    </row>
    <row r="18">
      <c r="A18" s="18" t="inlineStr">
        <is>
          <t>등급과 인상률</t>
        </is>
      </c>
    </row>
    <row r="19" ht="32" customHeight="1">
      <c r="A19" s="13" t="inlineStr">
        <is>
          <t>등급</t>
        </is>
      </c>
      <c r="B19" s="13" t="inlineStr">
        <is>
          <t>총점</t>
        </is>
      </c>
      <c r="C19" s="13" t="inlineStr">
        <is>
          <t>정의</t>
        </is>
      </c>
      <c r="D19" s="13" t="inlineStr">
        <is>
          <t>인상률</t>
        </is>
      </c>
    </row>
    <row r="20">
      <c r="A20" s="14" t="inlineStr">
        <is>
          <t>S</t>
        </is>
      </c>
      <c r="B20" s="16" t="inlineStr">
        <is>
          <t>90 이상</t>
        </is>
      </c>
      <c r="C20" s="15" t="inlineStr">
        <is>
          <t>기대를 크게 넘어섰다</t>
        </is>
      </c>
      <c r="D20" s="16" t="inlineStr">
        <is>
          <t>8 ~ 12%</t>
        </is>
      </c>
    </row>
    <row r="21">
      <c r="A21" s="14" t="inlineStr">
        <is>
          <t>A</t>
        </is>
      </c>
      <c r="B21" s="16" t="inlineStr">
        <is>
          <t>80 ~ 89</t>
        </is>
      </c>
      <c r="C21" s="15" t="inlineStr">
        <is>
          <t>기대를 넘어섰다</t>
        </is>
      </c>
      <c r="D21" s="16" t="inlineStr">
        <is>
          <t>5 ~ 8%</t>
        </is>
      </c>
    </row>
    <row r="22">
      <c r="A22" s="14" t="inlineStr">
        <is>
          <t>B</t>
        </is>
      </c>
      <c r="B22" s="16" t="inlineStr">
        <is>
          <t>65 ~ 79</t>
        </is>
      </c>
      <c r="C22" s="15" t="inlineStr">
        <is>
          <t>기대한 수준을 충족했다</t>
        </is>
      </c>
      <c r="D22" s="16" t="inlineStr">
        <is>
          <t>3 ~ 5%</t>
        </is>
      </c>
    </row>
    <row r="23">
      <c r="A23" s="14" t="inlineStr">
        <is>
          <t>C</t>
        </is>
      </c>
      <c r="B23" s="16" t="inlineStr">
        <is>
          <t>50 ~ 64</t>
        </is>
      </c>
      <c r="C23" s="15" t="inlineStr">
        <is>
          <t>일부 항목에서 보완이 필요하다</t>
        </is>
      </c>
      <c r="D23" s="16" t="inlineStr">
        <is>
          <t>0 ~ 3%</t>
        </is>
      </c>
    </row>
    <row r="24">
      <c r="A24" s="14" t="inlineStr">
        <is>
          <t>D</t>
        </is>
      </c>
      <c r="B24" s="16" t="inlineStr">
        <is>
          <t>49 이하</t>
        </is>
      </c>
      <c r="C24" s="15" t="inlineStr">
        <is>
          <t>전반적인 개선이 필요하다</t>
        </is>
      </c>
      <c r="D24" s="16" t="inlineStr">
        <is>
          <t>동결</t>
        </is>
      </c>
    </row>
    <row r="26">
      <c r="A26" s="12" t="inlineStr">
        <is>
          <t>※ D등급이라도 연봉을 감액할 수 없습니다. 동결이 하한입니다.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1" customWidth="1" min="11" max="11"/>
    <col width="10" customWidth="1" min="12" max="12"/>
    <col width="14" customWidth="1" min="13" max="13"/>
    <col width="13" customWidth="1" min="14" max="14"/>
    <col width="12" customWidth="1" min="15" max="15"/>
    <col width="12" customWidth="1" min="16" max="16"/>
    <col width="13" customWidth="1" min="17" max="17"/>
  </cols>
  <sheetData>
    <row r="1">
      <c r="A1" s="1" t="inlineStr">
        <is>
          <t>평가표</t>
        </is>
      </c>
    </row>
    <row r="2">
      <c r="A2" s="19" t="inlineStr">
        <is>
          <t>평가 기준일</t>
        </is>
      </c>
      <c r="B2" s="20" t="n">
        <v>46357</v>
      </c>
      <c r="C2" s="2" t="inlineStr">
        <is>
          <t>← 이 날짜가 속한 회차를 기준으로 적용일을 계산합니다.</t>
        </is>
      </c>
    </row>
    <row r="3">
      <c r="A3" s="21" t="inlineStr">
        <is>
          <t>입력 방법 :  파란 글씨 = 직접 입력    ·    검은 글씨 + 회색 배경 = 자동 계산 (수정 금지)</t>
        </is>
      </c>
      <c r="J3" s="2" t="inlineStr">
        <is>
          <t>점수는 평가기준 시트의 배점 이내로 넣습니다. 총점은 회사평가 기준으로 산정합니다.</t>
        </is>
      </c>
    </row>
    <row r="5" ht="32" customHeight="1">
      <c r="A5" s="13" t="inlineStr">
        <is>
          <t>성명</t>
        </is>
      </c>
      <c r="B5" s="13" t="inlineStr">
        <is>
          <t>입사일</t>
        </is>
      </c>
      <c r="C5" s="13" t="inlineStr">
        <is>
          <t>현 연봉</t>
        </is>
      </c>
      <c r="D5" s="13" t="inlineStr">
        <is>
          <t>자기평가
총점</t>
        </is>
      </c>
      <c r="E5" s="13" t="inlineStr">
        <is>
          <t>성과
40</t>
        </is>
      </c>
      <c r="F5" s="13" t="inlineStr">
        <is>
          <t>역량
30</t>
        </is>
      </c>
      <c r="G5" s="13" t="inlineStr">
        <is>
          <t>협업
20</t>
        </is>
      </c>
      <c r="H5" s="13" t="inlineStr">
        <is>
          <t>기여
10</t>
        </is>
      </c>
      <c r="I5" s="22" t="inlineStr">
        <is>
          <t>회사평가
총점</t>
        </is>
      </c>
      <c r="J5" s="22" t="inlineStr">
        <is>
          <t>등급</t>
        </is>
      </c>
      <c r="K5" s="22" t="inlineStr">
        <is>
          <t>권장
인상률</t>
        </is>
      </c>
      <c r="L5" s="13" t="inlineStr">
        <is>
          <t>적용
인상률</t>
        </is>
      </c>
      <c r="M5" s="22" t="inlineStr">
        <is>
          <t>조정 연봉</t>
        </is>
      </c>
      <c r="N5" s="22" t="inlineStr">
        <is>
          <t>월 지급액</t>
        </is>
      </c>
      <c r="O5" s="22" t="inlineStr">
        <is>
          <t>증감액</t>
        </is>
      </c>
      <c r="P5" s="22" t="inlineStr">
        <is>
          <t>검증</t>
        </is>
      </c>
      <c r="Q5" s="22" t="inlineStr">
        <is>
          <t>적용일</t>
        </is>
      </c>
    </row>
    <row r="6">
      <c r="A6" s="23" t="inlineStr">
        <is>
          <t>강성아</t>
        </is>
      </c>
      <c r="B6" s="24" t="n">
        <v>46034</v>
      </c>
      <c r="C6" s="25" t="n">
        <v>32000000</v>
      </c>
      <c r="D6" s="26" t="n">
        <v>78</v>
      </c>
      <c r="E6" s="26" t="n">
        <v>32</v>
      </c>
      <c r="F6" s="26" t="n">
        <v>24</v>
      </c>
      <c r="G6" s="26" t="n">
        <v>17</v>
      </c>
      <c r="H6" s="26" t="n">
        <v>8</v>
      </c>
      <c r="I6" s="27">
        <f>IF($A6="","",SUM(E6:H6))</f>
        <v/>
      </c>
      <c r="J6" s="28">
        <f>IF($A6="","",IF(I6&gt;=90,"S",IF(I6&gt;=80,"A",IF(I6&gt;=65,"B",IF(I6&gt;=50,"C","D")))))</f>
        <v/>
      </c>
      <c r="K6" s="29">
        <f>IF($A6="","",IF(J6="S","8 ~ 12%",IF(J6="A","5 ~ 8%",IF(J6="B","3 ~ 5%",IF(J6="C","0 ~ 3%","동결")))))</f>
        <v/>
      </c>
      <c r="L6" s="30" t="n">
        <v>0.04</v>
      </c>
      <c r="M6" s="11">
        <f>IF(OR($A6="",C6=""),"",MAX(C6,ROUND(C6*(1+N(L6))/1000,0)*1000))</f>
        <v/>
      </c>
      <c r="N6" s="31">
        <f>IF(M6="","",ROUND(M6/12,0))</f>
        <v/>
      </c>
      <c r="O6" s="31">
        <f>IF(M6="","",M6-C6)</f>
        <v/>
      </c>
      <c r="P6" s="28">
        <f>IF(N6="","",IF(N6&gt;=최저임금!$B$6,"적합","확인 필요"))</f>
        <v/>
      </c>
      <c r="Q6" s="32">
        <f>IF(B6="","",DATE(YEAR($B$2)+IF(MONTH(B6)&gt;=MONTH($B$2),0,1),MONTH(B6)+1,1))</f>
        <v/>
      </c>
    </row>
    <row r="7">
      <c r="A7" s="33" t="n"/>
      <c r="B7" s="34" t="n"/>
      <c r="C7" s="35" t="n"/>
      <c r="D7" s="36" t="n"/>
      <c r="E7" s="36" t="n"/>
      <c r="F7" s="36" t="n"/>
      <c r="G7" s="36" t="n"/>
      <c r="H7" s="36" t="n"/>
      <c r="I7" s="27">
        <f>IF($A7="","",SUM(E7:H7))</f>
        <v/>
      </c>
      <c r="J7" s="28">
        <f>IF($A7="","",IF(I7&gt;=90,"S",IF(I7&gt;=80,"A",IF(I7&gt;=65,"B",IF(I7&gt;=50,"C","D")))))</f>
        <v/>
      </c>
      <c r="K7" s="29">
        <f>IF($A7="","",IF(J7="S","8 ~ 12%",IF(J7="A","5 ~ 8%",IF(J7="B","3 ~ 5%",IF(J7="C","0 ~ 3%","동결")))))</f>
        <v/>
      </c>
      <c r="L7" s="37" t="n"/>
      <c r="M7" s="11">
        <f>IF(OR($A7="",C7=""),"",MAX(C7,ROUND(C7*(1+N(L7))/1000,0)*1000))</f>
        <v/>
      </c>
      <c r="N7" s="31">
        <f>IF(M7="","",ROUND(M7/12,0))</f>
        <v/>
      </c>
      <c r="O7" s="31">
        <f>IF(M7="","",M7-C7)</f>
        <v/>
      </c>
      <c r="P7" s="28">
        <f>IF(N7="","",IF(N7&gt;=최저임금!$B$6,"적합","확인 필요"))</f>
        <v/>
      </c>
      <c r="Q7" s="32">
        <f>IF(B7="","",DATE(YEAR($B$2)+IF(MONTH(B7)&gt;=MONTH($B$2),0,1),MONTH(B7)+1,1))</f>
        <v/>
      </c>
    </row>
    <row r="8">
      <c r="A8" s="33" t="n"/>
      <c r="B8" s="34" t="n"/>
      <c r="C8" s="35" t="n"/>
      <c r="D8" s="36" t="n"/>
      <c r="E8" s="36" t="n"/>
      <c r="F8" s="36" t="n"/>
      <c r="G8" s="36" t="n"/>
      <c r="H8" s="36" t="n"/>
      <c r="I8" s="27">
        <f>IF($A8="","",SUM(E8:H8))</f>
        <v/>
      </c>
      <c r="J8" s="28">
        <f>IF($A8="","",IF(I8&gt;=90,"S",IF(I8&gt;=80,"A",IF(I8&gt;=65,"B",IF(I8&gt;=50,"C","D")))))</f>
        <v/>
      </c>
      <c r="K8" s="29">
        <f>IF($A8="","",IF(J8="S","8 ~ 12%",IF(J8="A","5 ~ 8%",IF(J8="B","3 ~ 5%",IF(J8="C","0 ~ 3%","동결")))))</f>
        <v/>
      </c>
      <c r="L8" s="37" t="n"/>
      <c r="M8" s="11">
        <f>IF(OR($A8="",C8=""),"",MAX(C8,ROUND(C8*(1+N(L8))/1000,0)*1000))</f>
        <v/>
      </c>
      <c r="N8" s="31">
        <f>IF(M8="","",ROUND(M8/12,0))</f>
        <v/>
      </c>
      <c r="O8" s="31">
        <f>IF(M8="","",M8-C8)</f>
        <v/>
      </c>
      <c r="P8" s="28">
        <f>IF(N8="","",IF(N8&gt;=최저임금!$B$6,"적합","확인 필요"))</f>
        <v/>
      </c>
      <c r="Q8" s="32">
        <f>IF(B8="","",DATE(YEAR($B$2)+IF(MONTH(B8)&gt;=MONTH($B$2),0,1),MONTH(B8)+1,1))</f>
        <v/>
      </c>
    </row>
    <row r="9">
      <c r="A9" s="33" t="n"/>
      <c r="B9" s="34" t="n"/>
      <c r="C9" s="35" t="n"/>
      <c r="D9" s="36" t="n"/>
      <c r="E9" s="36" t="n"/>
      <c r="F9" s="36" t="n"/>
      <c r="G9" s="36" t="n"/>
      <c r="H9" s="36" t="n"/>
      <c r="I9" s="27">
        <f>IF($A9="","",SUM(E9:H9))</f>
        <v/>
      </c>
      <c r="J9" s="28">
        <f>IF($A9="","",IF(I9&gt;=90,"S",IF(I9&gt;=80,"A",IF(I9&gt;=65,"B",IF(I9&gt;=50,"C","D")))))</f>
        <v/>
      </c>
      <c r="K9" s="29">
        <f>IF($A9="","",IF(J9="S","8 ~ 12%",IF(J9="A","5 ~ 8%",IF(J9="B","3 ~ 5%",IF(J9="C","0 ~ 3%","동결")))))</f>
        <v/>
      </c>
      <c r="L9" s="37" t="n"/>
      <c r="M9" s="11">
        <f>IF(OR($A9="",C9=""),"",MAX(C9,ROUND(C9*(1+N(L9))/1000,0)*1000))</f>
        <v/>
      </c>
      <c r="N9" s="31">
        <f>IF(M9="","",ROUND(M9/12,0))</f>
        <v/>
      </c>
      <c r="O9" s="31">
        <f>IF(M9="","",M9-C9)</f>
        <v/>
      </c>
      <c r="P9" s="28">
        <f>IF(N9="","",IF(N9&gt;=최저임금!$B$6,"적합","확인 필요"))</f>
        <v/>
      </c>
      <c r="Q9" s="32">
        <f>IF(B9="","",DATE(YEAR($B$2)+IF(MONTH(B9)&gt;=MONTH($B$2),0,1),MONTH(B9)+1,1))</f>
        <v/>
      </c>
    </row>
    <row r="10">
      <c r="A10" s="33" t="n"/>
      <c r="B10" s="34" t="n"/>
      <c r="C10" s="35" t="n"/>
      <c r="D10" s="36" t="n"/>
      <c r="E10" s="36" t="n"/>
      <c r="F10" s="36" t="n"/>
      <c r="G10" s="36" t="n"/>
      <c r="H10" s="36" t="n"/>
      <c r="I10" s="27">
        <f>IF($A10="","",SUM(E10:H10))</f>
        <v/>
      </c>
      <c r="J10" s="28">
        <f>IF($A10="","",IF(I10&gt;=90,"S",IF(I10&gt;=80,"A",IF(I10&gt;=65,"B",IF(I10&gt;=50,"C","D")))))</f>
        <v/>
      </c>
      <c r="K10" s="29">
        <f>IF($A10="","",IF(J10="S","8 ~ 12%",IF(J10="A","5 ~ 8%",IF(J10="B","3 ~ 5%",IF(J10="C","0 ~ 3%","동결")))))</f>
        <v/>
      </c>
      <c r="L10" s="37" t="n"/>
      <c r="M10" s="11">
        <f>IF(OR($A10="",C10=""),"",MAX(C10,ROUND(C10*(1+N(L10))/1000,0)*1000))</f>
        <v/>
      </c>
      <c r="N10" s="31">
        <f>IF(M10="","",ROUND(M10/12,0))</f>
        <v/>
      </c>
      <c r="O10" s="31">
        <f>IF(M10="","",M10-C10)</f>
        <v/>
      </c>
      <c r="P10" s="28">
        <f>IF(N10="","",IF(N10&gt;=최저임금!$B$6,"적합","확인 필요"))</f>
        <v/>
      </c>
      <c r="Q10" s="32">
        <f>IF(B10="","",DATE(YEAR($B$2)+IF(MONTH(B10)&gt;=MONTH($B$2),0,1),MONTH(B10)+1,1))</f>
        <v/>
      </c>
    </row>
    <row r="11">
      <c r="A11" s="33" t="n"/>
      <c r="B11" s="34" t="n"/>
      <c r="C11" s="35" t="n"/>
      <c r="D11" s="36" t="n"/>
      <c r="E11" s="36" t="n"/>
      <c r="F11" s="36" t="n"/>
      <c r="G11" s="36" t="n"/>
      <c r="H11" s="36" t="n"/>
      <c r="I11" s="27">
        <f>IF($A11="","",SUM(E11:H11))</f>
        <v/>
      </c>
      <c r="J11" s="28">
        <f>IF($A11="","",IF(I11&gt;=90,"S",IF(I11&gt;=80,"A",IF(I11&gt;=65,"B",IF(I11&gt;=50,"C","D")))))</f>
        <v/>
      </c>
      <c r="K11" s="29">
        <f>IF($A11="","",IF(J11="S","8 ~ 12%",IF(J11="A","5 ~ 8%",IF(J11="B","3 ~ 5%",IF(J11="C","0 ~ 3%","동결")))))</f>
        <v/>
      </c>
      <c r="L11" s="37" t="n"/>
      <c r="M11" s="11">
        <f>IF(OR($A11="",C11=""),"",MAX(C11,ROUND(C11*(1+N(L11))/1000,0)*1000))</f>
        <v/>
      </c>
      <c r="N11" s="31">
        <f>IF(M11="","",ROUND(M11/12,0))</f>
        <v/>
      </c>
      <c r="O11" s="31">
        <f>IF(M11="","",M11-C11)</f>
        <v/>
      </c>
      <c r="P11" s="28">
        <f>IF(N11="","",IF(N11&gt;=최저임금!$B$6,"적합","확인 필요"))</f>
        <v/>
      </c>
      <c r="Q11" s="32">
        <f>IF(B11="","",DATE(YEAR($B$2)+IF(MONTH(B11)&gt;=MONTH($B$2),0,1),MONTH(B11)+1,1))</f>
        <v/>
      </c>
    </row>
    <row r="12">
      <c r="A12" s="33" t="n"/>
      <c r="B12" s="34" t="n"/>
      <c r="C12" s="35" t="n"/>
      <c r="D12" s="36" t="n"/>
      <c r="E12" s="36" t="n"/>
      <c r="F12" s="36" t="n"/>
      <c r="G12" s="36" t="n"/>
      <c r="H12" s="36" t="n"/>
      <c r="I12" s="27">
        <f>IF($A12="","",SUM(E12:H12))</f>
        <v/>
      </c>
      <c r="J12" s="28">
        <f>IF($A12="","",IF(I12&gt;=90,"S",IF(I12&gt;=80,"A",IF(I12&gt;=65,"B",IF(I12&gt;=50,"C","D")))))</f>
        <v/>
      </c>
      <c r="K12" s="29">
        <f>IF($A12="","",IF(J12="S","8 ~ 12%",IF(J12="A","5 ~ 8%",IF(J12="B","3 ~ 5%",IF(J12="C","0 ~ 3%","동결")))))</f>
        <v/>
      </c>
      <c r="L12" s="37" t="n"/>
      <c r="M12" s="11">
        <f>IF(OR($A12="",C12=""),"",MAX(C12,ROUND(C12*(1+N(L12))/1000,0)*1000))</f>
        <v/>
      </c>
      <c r="N12" s="31">
        <f>IF(M12="","",ROUND(M12/12,0))</f>
        <v/>
      </c>
      <c r="O12" s="31">
        <f>IF(M12="","",M12-C12)</f>
        <v/>
      </c>
      <c r="P12" s="28">
        <f>IF(N12="","",IF(N12&gt;=최저임금!$B$6,"적합","확인 필요"))</f>
        <v/>
      </c>
      <c r="Q12" s="32">
        <f>IF(B12="","",DATE(YEAR($B$2)+IF(MONTH(B12)&gt;=MONTH($B$2),0,1),MONTH(B12)+1,1))</f>
        <v/>
      </c>
    </row>
    <row r="13">
      <c r="A13" s="33" t="n"/>
      <c r="B13" s="34" t="n"/>
      <c r="C13" s="35" t="n"/>
      <c r="D13" s="36" t="n"/>
      <c r="E13" s="36" t="n"/>
      <c r="F13" s="36" t="n"/>
      <c r="G13" s="36" t="n"/>
      <c r="H13" s="36" t="n"/>
      <c r="I13" s="27">
        <f>IF($A13="","",SUM(E13:H13))</f>
        <v/>
      </c>
      <c r="J13" s="28">
        <f>IF($A13="","",IF(I13&gt;=90,"S",IF(I13&gt;=80,"A",IF(I13&gt;=65,"B",IF(I13&gt;=50,"C","D")))))</f>
        <v/>
      </c>
      <c r="K13" s="29">
        <f>IF($A13="","",IF(J13="S","8 ~ 12%",IF(J13="A","5 ~ 8%",IF(J13="B","3 ~ 5%",IF(J13="C","0 ~ 3%","동결")))))</f>
        <v/>
      </c>
      <c r="L13" s="37" t="n"/>
      <c r="M13" s="11">
        <f>IF(OR($A13="",C13=""),"",MAX(C13,ROUND(C13*(1+N(L13))/1000,0)*1000))</f>
        <v/>
      </c>
      <c r="N13" s="31">
        <f>IF(M13="","",ROUND(M13/12,0))</f>
        <v/>
      </c>
      <c r="O13" s="31">
        <f>IF(M13="","",M13-C13)</f>
        <v/>
      </c>
      <c r="P13" s="28">
        <f>IF(N13="","",IF(N13&gt;=최저임금!$B$6,"적합","확인 필요"))</f>
        <v/>
      </c>
      <c r="Q13" s="32">
        <f>IF(B13="","",DATE(YEAR($B$2)+IF(MONTH(B13)&gt;=MONTH($B$2),0,1),MONTH(B13)+1,1))</f>
        <v/>
      </c>
    </row>
    <row r="14">
      <c r="A14" s="33" t="n"/>
      <c r="B14" s="34" t="n"/>
      <c r="C14" s="35" t="n"/>
      <c r="D14" s="36" t="n"/>
      <c r="E14" s="36" t="n"/>
      <c r="F14" s="36" t="n"/>
      <c r="G14" s="36" t="n"/>
      <c r="H14" s="36" t="n"/>
      <c r="I14" s="27">
        <f>IF($A14="","",SUM(E14:H14))</f>
        <v/>
      </c>
      <c r="J14" s="28">
        <f>IF($A14="","",IF(I14&gt;=90,"S",IF(I14&gt;=80,"A",IF(I14&gt;=65,"B",IF(I14&gt;=50,"C","D")))))</f>
        <v/>
      </c>
      <c r="K14" s="29">
        <f>IF($A14="","",IF(J14="S","8 ~ 12%",IF(J14="A","5 ~ 8%",IF(J14="B","3 ~ 5%",IF(J14="C","0 ~ 3%","동결")))))</f>
        <v/>
      </c>
      <c r="L14" s="37" t="n"/>
      <c r="M14" s="11">
        <f>IF(OR($A14="",C14=""),"",MAX(C14,ROUND(C14*(1+N(L14))/1000,0)*1000))</f>
        <v/>
      </c>
      <c r="N14" s="31">
        <f>IF(M14="","",ROUND(M14/12,0))</f>
        <v/>
      </c>
      <c r="O14" s="31">
        <f>IF(M14="","",M14-C14)</f>
        <v/>
      </c>
      <c r="P14" s="28">
        <f>IF(N14="","",IF(N14&gt;=최저임금!$B$6,"적합","확인 필요"))</f>
        <v/>
      </c>
      <c r="Q14" s="32">
        <f>IF(B14="","",DATE(YEAR($B$2)+IF(MONTH(B14)&gt;=MONTH($B$2),0,1),MONTH(B14)+1,1))</f>
        <v/>
      </c>
    </row>
    <row r="15">
      <c r="A15" s="33" t="n"/>
      <c r="B15" s="34" t="n"/>
      <c r="C15" s="35" t="n"/>
      <c r="D15" s="36" t="n"/>
      <c r="E15" s="36" t="n"/>
      <c r="F15" s="36" t="n"/>
      <c r="G15" s="36" t="n"/>
      <c r="H15" s="36" t="n"/>
      <c r="I15" s="27">
        <f>IF($A15="","",SUM(E15:H15))</f>
        <v/>
      </c>
      <c r="J15" s="28">
        <f>IF($A15="","",IF(I15&gt;=90,"S",IF(I15&gt;=80,"A",IF(I15&gt;=65,"B",IF(I15&gt;=50,"C","D")))))</f>
        <v/>
      </c>
      <c r="K15" s="29">
        <f>IF($A15="","",IF(J15="S","8 ~ 12%",IF(J15="A","5 ~ 8%",IF(J15="B","3 ~ 5%",IF(J15="C","0 ~ 3%","동결")))))</f>
        <v/>
      </c>
      <c r="L15" s="37" t="n"/>
      <c r="M15" s="11">
        <f>IF(OR($A15="",C15=""),"",MAX(C15,ROUND(C15*(1+N(L15))/1000,0)*1000))</f>
        <v/>
      </c>
      <c r="N15" s="31">
        <f>IF(M15="","",ROUND(M15/12,0))</f>
        <v/>
      </c>
      <c r="O15" s="31">
        <f>IF(M15="","",M15-C15)</f>
        <v/>
      </c>
      <c r="P15" s="28">
        <f>IF(N15="","",IF(N15&gt;=최저임금!$B$6,"적합","확인 필요"))</f>
        <v/>
      </c>
      <c r="Q15" s="32">
        <f>IF(B15="","",DATE(YEAR($B$2)+IF(MONTH(B15)&gt;=MONTH($B$2),0,1),MONTH(B15)+1,1))</f>
        <v/>
      </c>
    </row>
    <row r="17">
      <c r="A17" s="2" t="inlineStr">
        <is>
          <t>· 「조정 연봉」은 천원 단위로 반올림하며, 어떤 경우에도 현 연봉보다 낮아지지 않습니다. (취업규칙 제34조제5항)</t>
        </is>
      </c>
    </row>
    <row r="18">
      <c r="A18" s="2" t="inlineStr">
        <is>
          <t>· 「검증」이 확인 필요로 뜨면 월 지급액이 최저임금 월 환산액에 미달한다는 뜻입니다. 금액을 올려야 합니다.</t>
        </is>
      </c>
    </row>
    <row r="19">
      <c r="A19" s="2" t="inlineStr">
        <is>
          <t>· 「적용일」은 입사 기념일이 속한 달의 다음 달 1일입니다. 면담은 그 전달까지 마칩니다.</t>
        </is>
      </c>
    </row>
    <row r="20">
      <c r="A20" s="2" t="inlineStr">
        <is>
          <t>· 예시 행(6행)은 실제 입력 전에 지우세요.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4" customWidth="1" min="3" max="3"/>
    <col width="14" customWidth="1" min="4" max="4"/>
    <col width="13" customWidth="1" min="5" max="5"/>
    <col width="10" customWidth="1" min="6" max="6"/>
    <col width="8" customWidth="1" min="7" max="7"/>
    <col width="34" customWidth="1" min="8" max="8"/>
  </cols>
  <sheetData>
    <row r="1">
      <c r="A1" s="1" t="inlineStr">
        <is>
          <t>연봉이력</t>
        </is>
      </c>
    </row>
    <row r="2">
      <c r="A2" s="2" t="inlineStr">
        <is>
          <t>조정이 확정될 때마다 한 줄씩 남깁니다. 퇴직금 산정과 다음 조정의 근거가 됩니다.</t>
        </is>
      </c>
    </row>
    <row r="3">
      <c r="A3" s="21" t="inlineStr">
        <is>
          <t>입력 방법 :  파란 글씨 = 직접 입력    ·    검은 글씨 + 회색 배경 = 자동 계산</t>
        </is>
      </c>
    </row>
    <row r="5" ht="32" customHeight="1">
      <c r="A5" s="13" t="inlineStr">
        <is>
          <t>적용일</t>
        </is>
      </c>
      <c r="B5" s="13" t="inlineStr">
        <is>
          <t>성명</t>
        </is>
      </c>
      <c r="C5" s="13" t="inlineStr">
        <is>
          <t>종전 연봉</t>
        </is>
      </c>
      <c r="D5" s="13" t="inlineStr">
        <is>
          <t>조정 연봉</t>
        </is>
      </c>
      <c r="E5" s="22" t="inlineStr">
        <is>
          <t>증감액</t>
        </is>
      </c>
      <c r="F5" s="22" t="inlineStr">
        <is>
          <t>인상률</t>
        </is>
      </c>
      <c r="G5" s="13" t="inlineStr">
        <is>
          <t>등급</t>
        </is>
      </c>
      <c r="H5" s="13" t="inlineStr">
        <is>
          <t>비고</t>
        </is>
      </c>
    </row>
    <row r="6">
      <c r="A6" s="34" t="n"/>
      <c r="B6" s="33" t="n"/>
      <c r="C6" s="35" t="n"/>
      <c r="D6" s="35" t="n"/>
      <c r="E6" s="31">
        <f>IF(OR(C6="",D6=""),"",D6-C6)</f>
        <v/>
      </c>
      <c r="F6" s="38">
        <f>IF(OR(C6="",D6="",C6=0),"",D6/C6-1)</f>
        <v/>
      </c>
      <c r="G6" s="33" t="n"/>
      <c r="H6" s="39" t="n"/>
    </row>
    <row r="7">
      <c r="A7" s="34" t="n"/>
      <c r="B7" s="33" t="n"/>
      <c r="C7" s="35" t="n"/>
      <c r="D7" s="35" t="n"/>
      <c r="E7" s="31">
        <f>IF(OR(C7="",D7=""),"",D7-C7)</f>
        <v/>
      </c>
      <c r="F7" s="38">
        <f>IF(OR(C7="",D7="",C7=0),"",D7/C7-1)</f>
        <v/>
      </c>
      <c r="G7" s="33" t="n"/>
      <c r="H7" s="39" t="n"/>
    </row>
    <row r="8">
      <c r="A8" s="34" t="n"/>
      <c r="B8" s="33" t="n"/>
      <c r="C8" s="35" t="n"/>
      <c r="D8" s="35" t="n"/>
      <c r="E8" s="31">
        <f>IF(OR(C8="",D8=""),"",D8-C8)</f>
        <v/>
      </c>
      <c r="F8" s="38">
        <f>IF(OR(C8="",D8="",C8=0),"",D8/C8-1)</f>
        <v/>
      </c>
      <c r="G8" s="33" t="n"/>
      <c r="H8" s="39" t="n"/>
    </row>
    <row r="9">
      <c r="A9" s="34" t="n"/>
      <c r="B9" s="33" t="n"/>
      <c r="C9" s="35" t="n"/>
      <c r="D9" s="35" t="n"/>
      <c r="E9" s="31">
        <f>IF(OR(C9="",D9=""),"",D9-C9)</f>
        <v/>
      </c>
      <c r="F9" s="38">
        <f>IF(OR(C9="",D9="",C9=0),"",D9/C9-1)</f>
        <v/>
      </c>
      <c r="G9" s="33" t="n"/>
      <c r="H9" s="39" t="n"/>
    </row>
    <row r="10">
      <c r="A10" s="34" t="n"/>
      <c r="B10" s="33" t="n"/>
      <c r="C10" s="35" t="n"/>
      <c r="D10" s="35" t="n"/>
      <c r="E10" s="31">
        <f>IF(OR(C10="",D10=""),"",D10-C10)</f>
        <v/>
      </c>
      <c r="F10" s="38">
        <f>IF(OR(C10="",D10="",C10=0),"",D10/C10-1)</f>
        <v/>
      </c>
      <c r="G10" s="33" t="n"/>
      <c r="H10" s="39" t="n"/>
    </row>
    <row r="11">
      <c r="A11" s="34" t="n"/>
      <c r="B11" s="33" t="n"/>
      <c r="C11" s="35" t="n"/>
      <c r="D11" s="35" t="n"/>
      <c r="E11" s="31">
        <f>IF(OR(C11="",D11=""),"",D11-C11)</f>
        <v/>
      </c>
      <c r="F11" s="38">
        <f>IF(OR(C11="",D11="",C11=0),"",D11/C11-1)</f>
        <v/>
      </c>
      <c r="G11" s="33" t="n"/>
      <c r="H11" s="39" t="n"/>
    </row>
    <row r="12">
      <c r="A12" s="34" t="n"/>
      <c r="B12" s="33" t="n"/>
      <c r="C12" s="35" t="n"/>
      <c r="D12" s="35" t="n"/>
      <c r="E12" s="31">
        <f>IF(OR(C12="",D12=""),"",D12-C12)</f>
        <v/>
      </c>
      <c r="F12" s="38">
        <f>IF(OR(C12="",D12="",C12=0),"",D12/C12-1)</f>
        <v/>
      </c>
      <c r="G12" s="33" t="n"/>
      <c r="H12" s="39" t="n"/>
    </row>
    <row r="13">
      <c r="A13" s="34" t="n"/>
      <c r="B13" s="33" t="n"/>
      <c r="C13" s="35" t="n"/>
      <c r="D13" s="35" t="n"/>
      <c r="E13" s="31">
        <f>IF(OR(C13="",D13=""),"",D13-C13)</f>
        <v/>
      </c>
      <c r="F13" s="38">
        <f>IF(OR(C13="",D13="",C13=0),"",D13/C13-1)</f>
        <v/>
      </c>
      <c r="G13" s="33" t="n"/>
      <c r="H13" s="39" t="n"/>
    </row>
    <row r="14">
      <c r="A14" s="34" t="n"/>
      <c r="B14" s="33" t="n"/>
      <c r="C14" s="35" t="n"/>
      <c r="D14" s="35" t="n"/>
      <c r="E14" s="31">
        <f>IF(OR(C14="",D14=""),"",D14-C14)</f>
        <v/>
      </c>
      <c r="F14" s="38">
        <f>IF(OR(C14="",D14="",C14=0),"",D14/C14-1)</f>
        <v/>
      </c>
      <c r="G14" s="33" t="n"/>
      <c r="H14" s="39" t="n"/>
    </row>
    <row r="15">
      <c r="A15" s="34" t="n"/>
      <c r="B15" s="33" t="n"/>
      <c r="C15" s="35" t="n"/>
      <c r="D15" s="35" t="n"/>
      <c r="E15" s="31">
        <f>IF(OR(C15="",D15=""),"",D15-C15)</f>
        <v/>
      </c>
      <c r="F15" s="38">
        <f>IF(OR(C15="",D15="",C15=0),"",D15/C15-1)</f>
        <v/>
      </c>
      <c r="G15" s="33" t="n"/>
      <c r="H15" s="39" t="n"/>
    </row>
    <row r="16">
      <c r="A16" s="34" t="n"/>
      <c r="B16" s="33" t="n"/>
      <c r="C16" s="35" t="n"/>
      <c r="D16" s="35" t="n"/>
      <c r="E16" s="31">
        <f>IF(OR(C16="",D16=""),"",D16-C16)</f>
        <v/>
      </c>
      <c r="F16" s="38">
        <f>IF(OR(C16="",D16="",C16=0),"",D16/C16-1)</f>
        <v/>
      </c>
      <c r="G16" s="33" t="n"/>
      <c r="H16" s="39" t="n"/>
    </row>
    <row r="17">
      <c r="A17" s="34" t="n"/>
      <c r="B17" s="33" t="n"/>
      <c r="C17" s="35" t="n"/>
      <c r="D17" s="35" t="n"/>
      <c r="E17" s="31">
        <f>IF(OR(C17="",D17=""),"",D17-C17)</f>
        <v/>
      </c>
      <c r="F17" s="38">
        <f>IF(OR(C17="",D17="",C17=0),"",D17/C17-1)</f>
        <v/>
      </c>
      <c r="G17" s="33" t="n"/>
      <c r="H17" s="39" t="n"/>
    </row>
    <row r="18">
      <c r="A18" s="34" t="n"/>
      <c r="B18" s="33" t="n"/>
      <c r="C18" s="35" t="n"/>
      <c r="D18" s="35" t="n"/>
      <c r="E18" s="31">
        <f>IF(OR(C18="",D18=""),"",D18-C18)</f>
        <v/>
      </c>
      <c r="F18" s="38">
        <f>IF(OR(C18="",D18="",C18=0),"",D18/C18-1)</f>
        <v/>
      </c>
      <c r="G18" s="33" t="n"/>
      <c r="H18" s="39" t="n"/>
    </row>
    <row r="19">
      <c r="A19" s="34" t="n"/>
      <c r="B19" s="33" t="n"/>
      <c r="C19" s="35" t="n"/>
      <c r="D19" s="35" t="n"/>
      <c r="E19" s="31">
        <f>IF(OR(C19="",D19=""),"",D19-C19)</f>
        <v/>
      </c>
      <c r="F19" s="38">
        <f>IF(OR(C19="",D19="",C19=0),"",D19/C19-1)</f>
        <v/>
      </c>
      <c r="G19" s="33" t="n"/>
      <c r="H19" s="39" t="n"/>
    </row>
    <row r="20">
      <c r="A20" s="34" t="n"/>
      <c r="B20" s="33" t="n"/>
      <c r="C20" s="35" t="n"/>
      <c r="D20" s="35" t="n"/>
      <c r="E20" s="31">
        <f>IF(OR(C20="",D20=""),"",D20-C20)</f>
        <v/>
      </c>
      <c r="F20" s="38">
        <f>IF(OR(C20="",D20="",C20=0),"",D20/C20-1)</f>
        <v/>
      </c>
      <c r="G20" s="33" t="n"/>
      <c r="H20" s="39" t="n"/>
    </row>
    <row r="21">
      <c r="A21" s="34" t="n"/>
      <c r="B21" s="33" t="n"/>
      <c r="C21" s="35" t="n"/>
      <c r="D21" s="35" t="n"/>
      <c r="E21" s="31">
        <f>IF(OR(C21="",D21=""),"",D21-C21)</f>
        <v/>
      </c>
      <c r="F21" s="38">
        <f>IF(OR(C21="",D21="",C21=0),"",D21/C21-1)</f>
        <v/>
      </c>
      <c r="G21" s="33" t="n"/>
      <c r="H21" s="39" t="n"/>
    </row>
    <row r="22">
      <c r="A22" s="34" t="n"/>
      <c r="B22" s="33" t="n"/>
      <c r="C22" s="35" t="n"/>
      <c r="D22" s="35" t="n"/>
      <c r="E22" s="31">
        <f>IF(OR(C22="",D22=""),"",D22-C22)</f>
        <v/>
      </c>
      <c r="F22" s="38">
        <f>IF(OR(C22="",D22="",C22=0),"",D22/C22-1)</f>
        <v/>
      </c>
      <c r="G22" s="33" t="n"/>
      <c r="H22" s="39" t="n"/>
    </row>
    <row r="23">
      <c r="A23" s="34" t="n"/>
      <c r="B23" s="33" t="n"/>
      <c r="C23" s="35" t="n"/>
      <c r="D23" s="35" t="n"/>
      <c r="E23" s="31">
        <f>IF(OR(C23="",D23=""),"",D23-C23)</f>
        <v/>
      </c>
      <c r="F23" s="38">
        <f>IF(OR(C23="",D23="",C23=0),"",D23/C23-1)</f>
        <v/>
      </c>
      <c r="G23" s="33" t="n"/>
      <c r="H23" s="39" t="n"/>
    </row>
    <row r="24">
      <c r="A24" s="34" t="n"/>
      <c r="B24" s="33" t="n"/>
      <c r="C24" s="35" t="n"/>
      <c r="D24" s="35" t="n"/>
      <c r="E24" s="31">
        <f>IF(OR(C24="",D24=""),"",D24-C24)</f>
        <v/>
      </c>
      <c r="F24" s="38">
        <f>IF(OR(C24="",D24="",C24=0),"",D24/C24-1)</f>
        <v/>
      </c>
      <c r="G24" s="33" t="n"/>
      <c r="H24" s="39" t="n"/>
    </row>
    <row r="25">
      <c r="A25" s="34" t="n"/>
      <c r="B25" s="33" t="n"/>
      <c r="C25" s="35" t="n"/>
      <c r="D25" s="35" t="n"/>
      <c r="E25" s="31">
        <f>IF(OR(C25="",D25=""),"",D25-C25)</f>
        <v/>
      </c>
      <c r="F25" s="38">
        <f>IF(OR(C25="",D25="",C25=0),"",D25/C25-1)</f>
        <v/>
      </c>
      <c r="G25" s="33" t="n"/>
      <c r="H25" s="39" t="n"/>
    </row>
    <row r="26">
      <c r="A26" s="34" t="n"/>
      <c r="B26" s="33" t="n"/>
      <c r="C26" s="35" t="n"/>
      <c r="D26" s="35" t="n"/>
      <c r="E26" s="31">
        <f>IF(OR(C26="",D26=""),"",D26-C26)</f>
        <v/>
      </c>
      <c r="F26" s="38">
        <f>IF(OR(C26="",D26="",C26=0),"",D26/C26-1)</f>
        <v/>
      </c>
      <c r="G26" s="33" t="n"/>
      <c r="H26" s="39" t="n"/>
    </row>
    <row r="27">
      <c r="A27" s="34" t="n"/>
      <c r="B27" s="33" t="n"/>
      <c r="C27" s="35" t="n"/>
      <c r="D27" s="35" t="n"/>
      <c r="E27" s="31">
        <f>IF(OR(C27="",D27=""),"",D27-C27)</f>
        <v/>
      </c>
      <c r="F27" s="38">
        <f>IF(OR(C27="",D27="",C27=0),"",D27/C27-1)</f>
        <v/>
      </c>
      <c r="G27" s="33" t="n"/>
      <c r="H27" s="39" t="n"/>
    </row>
    <row r="28">
      <c r="A28" s="34" t="n"/>
      <c r="B28" s="33" t="n"/>
      <c r="C28" s="35" t="n"/>
      <c r="D28" s="35" t="n"/>
      <c r="E28" s="31">
        <f>IF(OR(C28="",D28=""),"",D28-C28)</f>
        <v/>
      </c>
      <c r="F28" s="38">
        <f>IF(OR(C28="",D28="",C28=0),"",D28/C28-1)</f>
        <v/>
      </c>
      <c r="G28" s="33" t="n"/>
      <c r="H28" s="39" t="n"/>
    </row>
    <row r="29">
      <c r="A29" s="34" t="n"/>
      <c r="B29" s="33" t="n"/>
      <c r="C29" s="35" t="n"/>
      <c r="D29" s="35" t="n"/>
      <c r="E29" s="31">
        <f>IF(OR(C29="",D29=""),"",D29-C29)</f>
        <v/>
      </c>
      <c r="F29" s="38">
        <f>IF(OR(C29="",D29="",C29=0),"",D29/C29-1)</f>
        <v/>
      </c>
      <c r="G29" s="33" t="n"/>
      <c r="H29" s="39" t="n"/>
    </row>
    <row r="30">
      <c r="A30" s="34" t="n"/>
      <c r="B30" s="33" t="n"/>
      <c r="C30" s="35" t="n"/>
      <c r="D30" s="35" t="n"/>
      <c r="E30" s="31">
        <f>IF(OR(C30="",D30=""),"",D30-C30)</f>
        <v/>
      </c>
      <c r="F30" s="38">
        <f>IF(OR(C30="",D30="",C30=0),"",D30/C30-1)</f>
        <v/>
      </c>
      <c r="G30" s="33" t="n"/>
      <c r="H30" s="39" t="n"/>
    </row>
    <row r="31">
      <c r="A31" s="34" t="n"/>
      <c r="B31" s="33" t="n"/>
      <c r="C31" s="35" t="n"/>
      <c r="D31" s="35" t="n"/>
      <c r="E31" s="31">
        <f>IF(OR(C31="",D31=""),"",D31-C31)</f>
        <v/>
      </c>
      <c r="F31" s="38">
        <f>IF(OR(C31="",D31="",C31=0),"",D31/C31-1)</f>
        <v/>
      </c>
      <c r="G31" s="33" t="n"/>
      <c r="H31" s="39" t="n"/>
    </row>
    <row r="32">
      <c r="A32" s="34" t="n"/>
      <c r="B32" s="33" t="n"/>
      <c r="C32" s="35" t="n"/>
      <c r="D32" s="35" t="n"/>
      <c r="E32" s="31">
        <f>IF(OR(C32="",D32=""),"",D32-C32)</f>
        <v/>
      </c>
      <c r="F32" s="38">
        <f>IF(OR(C32="",D32="",C32=0),"",D32/C32-1)</f>
        <v/>
      </c>
      <c r="G32" s="33" t="n"/>
      <c r="H32" s="39" t="n"/>
    </row>
    <row r="33">
      <c r="A33" s="34" t="n"/>
      <c r="B33" s="33" t="n"/>
      <c r="C33" s="35" t="n"/>
      <c r="D33" s="35" t="n"/>
      <c r="E33" s="31">
        <f>IF(OR(C33="",D33=""),"",D33-C33)</f>
        <v/>
      </c>
      <c r="F33" s="38">
        <f>IF(OR(C33="",D33="",C33=0),"",D33/C33-1)</f>
        <v/>
      </c>
      <c r="G33" s="33" t="n"/>
      <c r="H33" s="39" t="n"/>
    </row>
    <row r="34">
      <c r="A34" s="34" t="n"/>
      <c r="B34" s="33" t="n"/>
      <c r="C34" s="35" t="n"/>
      <c r="D34" s="35" t="n"/>
      <c r="E34" s="31">
        <f>IF(OR(C34="",D34=""),"",D34-C34)</f>
        <v/>
      </c>
      <c r="F34" s="38">
        <f>IF(OR(C34="",D34="",C34=0),"",D34/C34-1)</f>
        <v/>
      </c>
      <c r="G34" s="33" t="n"/>
      <c r="H34" s="39" t="n"/>
    </row>
    <row r="35">
      <c r="A35" s="34" t="n"/>
      <c r="B35" s="33" t="n"/>
      <c r="C35" s="35" t="n"/>
      <c r="D35" s="35" t="n"/>
      <c r="E35" s="31">
        <f>IF(OR(C35="",D35=""),"",D35-C35)</f>
        <v/>
      </c>
      <c r="F35" s="38">
        <f>IF(OR(C35="",D35="",C35=0),"",D35/C35-1)</f>
        <v/>
      </c>
      <c r="G35" s="33" t="n"/>
      <c r="H35" s="39" t="n"/>
    </row>
    <row r="36">
      <c r="A36" s="34" t="n"/>
      <c r="B36" s="33" t="n"/>
      <c r="C36" s="35" t="n"/>
      <c r="D36" s="35" t="n"/>
      <c r="E36" s="31">
        <f>IF(OR(C36="",D36=""),"",D36-C36)</f>
        <v/>
      </c>
      <c r="F36" s="38">
        <f>IF(OR(C36="",D36="",C36=0),"",D36/C36-1)</f>
        <v/>
      </c>
      <c r="G36" s="33" t="n"/>
      <c r="H36" s="39" t="n"/>
    </row>
    <row r="37">
      <c r="A37" s="34" t="n"/>
      <c r="B37" s="33" t="n"/>
      <c r="C37" s="35" t="n"/>
      <c r="D37" s="35" t="n"/>
      <c r="E37" s="31">
        <f>IF(OR(C37="",D37=""),"",D37-C37)</f>
        <v/>
      </c>
      <c r="F37" s="38">
        <f>IF(OR(C37="",D37="",C37=0),"",D37/C37-1)</f>
        <v/>
      </c>
      <c r="G37" s="33" t="n"/>
      <c r="H37" s="39" t="n"/>
    </row>
    <row r="38">
      <c r="A38" s="34" t="n"/>
      <c r="B38" s="33" t="n"/>
      <c r="C38" s="35" t="n"/>
      <c r="D38" s="35" t="n"/>
      <c r="E38" s="31">
        <f>IF(OR(C38="",D38=""),"",D38-C38)</f>
        <v/>
      </c>
      <c r="F38" s="38">
        <f>IF(OR(C38="",D38="",C38=0),"",D38/C38-1)</f>
        <v/>
      </c>
      <c r="G38" s="33" t="n"/>
      <c r="H38" s="39" t="n"/>
    </row>
    <row r="39">
      <c r="A39" s="34" t="n"/>
      <c r="B39" s="33" t="n"/>
      <c r="C39" s="35" t="n"/>
      <c r="D39" s="35" t="n"/>
      <c r="E39" s="31">
        <f>IF(OR(C39="",D39=""),"",D39-C39)</f>
        <v/>
      </c>
      <c r="F39" s="38">
        <f>IF(OR(C39="",D39="",C39=0),"",D39/C39-1)</f>
        <v/>
      </c>
      <c r="G39" s="33" t="n"/>
      <c r="H39" s="39" t="n"/>
    </row>
    <row r="40">
      <c r="A40" s="34" t="n"/>
      <c r="B40" s="33" t="n"/>
      <c r="C40" s="35" t="n"/>
      <c r="D40" s="35" t="n"/>
      <c r="E40" s="31">
        <f>IF(OR(C40="",D40=""),"",D40-C40)</f>
        <v/>
      </c>
      <c r="F40" s="38">
        <f>IF(OR(C40="",D40="",C40=0),"",D40/C40-1)</f>
        <v/>
      </c>
      <c r="G40" s="33" t="n"/>
      <c r="H40" s="39" t="n"/>
    </row>
    <row r="41">
      <c r="A41" s="34" t="n"/>
      <c r="B41" s="33" t="n"/>
      <c r="C41" s="35" t="n"/>
      <c r="D41" s="35" t="n"/>
      <c r="E41" s="31">
        <f>IF(OR(C41="",D41=""),"",D41-C41)</f>
        <v/>
      </c>
      <c r="F41" s="38">
        <f>IF(OR(C41="",D41="",C41=0),"",D41/C41-1)</f>
        <v/>
      </c>
      <c r="G41" s="33" t="n"/>
      <c r="H41" s="39" t="n"/>
    </row>
    <row r="42">
      <c r="A42" s="34" t="n"/>
      <c r="B42" s="33" t="n"/>
      <c r="C42" s="35" t="n"/>
      <c r="D42" s="35" t="n"/>
      <c r="E42" s="31">
        <f>IF(OR(C42="",D42=""),"",D42-C42)</f>
        <v/>
      </c>
      <c r="F42" s="38">
        <f>IF(OR(C42="",D42="",C42=0),"",D42/C42-1)</f>
        <v/>
      </c>
      <c r="G42" s="33" t="n"/>
      <c r="H42" s="39" t="n"/>
    </row>
    <row r="43">
      <c r="A43" s="34" t="n"/>
      <c r="B43" s="33" t="n"/>
      <c r="C43" s="35" t="n"/>
      <c r="D43" s="35" t="n"/>
      <c r="E43" s="31">
        <f>IF(OR(C43="",D43=""),"",D43-C43)</f>
        <v/>
      </c>
      <c r="F43" s="38">
        <f>IF(OR(C43="",D43="",C43=0),"",D43/C43-1)</f>
        <v/>
      </c>
      <c r="G43" s="33" t="n"/>
      <c r="H43" s="39" t="n"/>
    </row>
    <row r="44">
      <c r="A44" s="34" t="n"/>
      <c r="B44" s="33" t="n"/>
      <c r="C44" s="35" t="n"/>
      <c r="D44" s="35" t="n"/>
      <c r="E44" s="31">
        <f>IF(OR(C44="",D44=""),"",D44-C44)</f>
        <v/>
      </c>
      <c r="F44" s="38">
        <f>IF(OR(C44="",D44="",C44=0),"",D44/C44-1)</f>
        <v/>
      </c>
      <c r="G44" s="33" t="n"/>
      <c r="H44" s="39" t="n"/>
    </row>
    <row r="45">
      <c r="A45" s="34" t="n"/>
      <c r="B45" s="33" t="n"/>
      <c r="C45" s="35" t="n"/>
      <c r="D45" s="35" t="n"/>
      <c r="E45" s="31">
        <f>IF(OR(C45="",D45=""),"",D45-C45)</f>
        <v/>
      </c>
      <c r="F45" s="38">
        <f>IF(OR(C45="",D45="",C45=0),"",D45/C45-1)</f>
        <v/>
      </c>
      <c r="G45" s="33" t="n"/>
      <c r="H45" s="39" t="n"/>
    </row>
    <row r="46">
      <c r="A46" s="34" t="n"/>
      <c r="B46" s="33" t="n"/>
      <c r="C46" s="35" t="n"/>
      <c r="D46" s="35" t="n"/>
      <c r="E46" s="31">
        <f>IF(OR(C46="",D46=""),"",D46-C46)</f>
        <v/>
      </c>
      <c r="F46" s="38">
        <f>IF(OR(C46="",D46="",C46=0),"",D46/C46-1)</f>
        <v/>
      </c>
      <c r="G46" s="33" t="n"/>
      <c r="H46" s="39" t="n"/>
    </row>
    <row r="47">
      <c r="A47" s="34" t="n"/>
      <c r="B47" s="33" t="n"/>
      <c r="C47" s="35" t="n"/>
      <c r="D47" s="35" t="n"/>
      <c r="E47" s="31">
        <f>IF(OR(C47="",D47=""),"",D47-C47)</f>
        <v/>
      </c>
      <c r="F47" s="38">
        <f>IF(OR(C47="",D47="",C47=0),"",D47/C47-1)</f>
        <v/>
      </c>
      <c r="G47" s="33" t="n"/>
      <c r="H47" s="39" t="n"/>
    </row>
    <row r="48">
      <c r="A48" s="34" t="n"/>
      <c r="B48" s="33" t="n"/>
      <c r="C48" s="35" t="n"/>
      <c r="D48" s="35" t="n"/>
      <c r="E48" s="31">
        <f>IF(OR(C48="",D48=""),"",D48-C48)</f>
        <v/>
      </c>
      <c r="F48" s="38">
        <f>IF(OR(C48="",D48="",C48=0),"",D48/C48-1)</f>
        <v/>
      </c>
      <c r="G48" s="33" t="n"/>
      <c r="H48" s="39" t="n"/>
    </row>
    <row r="49">
      <c r="A49" s="34" t="n"/>
      <c r="B49" s="33" t="n"/>
      <c r="C49" s="35" t="n"/>
      <c r="D49" s="35" t="n"/>
      <c r="E49" s="31">
        <f>IF(OR(C49="",D49=""),"",D49-C49)</f>
        <v/>
      </c>
      <c r="F49" s="38">
        <f>IF(OR(C49="",D49="",C49=0),"",D49/C49-1)</f>
        <v/>
      </c>
      <c r="G49" s="33" t="n"/>
      <c r="H49" s="39" t="n"/>
    </row>
    <row r="50">
      <c r="A50" s="34" t="n"/>
      <c r="B50" s="33" t="n"/>
      <c r="C50" s="35" t="n"/>
      <c r="D50" s="35" t="n"/>
      <c r="E50" s="31">
        <f>IF(OR(C50="",D50=""),"",D50-C50)</f>
        <v/>
      </c>
      <c r="F50" s="38">
        <f>IF(OR(C50="",D50="",C50=0),"",D50/C50-1)</f>
        <v/>
      </c>
      <c r="G50" s="33" t="n"/>
      <c r="H50" s="39" t="n"/>
    </row>
    <row r="51">
      <c r="A51" s="34" t="n"/>
      <c r="B51" s="33" t="n"/>
      <c r="C51" s="35" t="n"/>
      <c r="D51" s="35" t="n"/>
      <c r="E51" s="31">
        <f>IF(OR(C51="",D51=""),"",D51-C51)</f>
        <v/>
      </c>
      <c r="F51" s="38">
        <f>IF(OR(C51="",D51="",C51=0),"",D51/C51-1)</f>
        <v/>
      </c>
      <c r="G51" s="33" t="n"/>
      <c r="H51" s="39" t="n"/>
    </row>
    <row r="52">
      <c r="A52" s="34" t="n"/>
      <c r="B52" s="33" t="n"/>
      <c r="C52" s="35" t="n"/>
      <c r="D52" s="35" t="n"/>
      <c r="E52" s="31">
        <f>IF(OR(C52="",D52=""),"",D52-C52)</f>
        <v/>
      </c>
      <c r="F52" s="38">
        <f>IF(OR(C52="",D52="",C52=0),"",D52/C52-1)</f>
        <v/>
      </c>
      <c r="G52" s="33" t="n"/>
      <c r="H52" s="39" t="n"/>
    </row>
    <row r="53">
      <c r="A53" s="34" t="n"/>
      <c r="B53" s="33" t="n"/>
      <c r="C53" s="35" t="n"/>
      <c r="D53" s="35" t="n"/>
      <c r="E53" s="31">
        <f>IF(OR(C53="",D53=""),"",D53-C53)</f>
        <v/>
      </c>
      <c r="F53" s="38">
        <f>IF(OR(C53="",D53="",C53=0),"",D53/C53-1)</f>
        <v/>
      </c>
      <c r="G53" s="33" t="n"/>
      <c r="H53" s="39" t="n"/>
    </row>
    <row r="54">
      <c r="A54" s="34" t="n"/>
      <c r="B54" s="33" t="n"/>
      <c r="C54" s="35" t="n"/>
      <c r="D54" s="35" t="n"/>
      <c r="E54" s="31">
        <f>IF(OR(C54="",D54=""),"",D54-C54)</f>
        <v/>
      </c>
      <c r="F54" s="38">
        <f>IF(OR(C54="",D54="",C54=0),"",D54/C54-1)</f>
        <v/>
      </c>
      <c r="G54" s="33" t="n"/>
      <c r="H54" s="39" t="n"/>
    </row>
    <row r="55">
      <c r="A55" s="34" t="n"/>
      <c r="B55" s="33" t="n"/>
      <c r="C55" s="35" t="n"/>
      <c r="D55" s="35" t="n"/>
      <c r="E55" s="31">
        <f>IF(OR(C55="",D55=""),"",D55-C55)</f>
        <v/>
      </c>
      <c r="F55" s="38">
        <f>IF(OR(C55="",D55="",C55=0),"",D55/C55-1)</f>
        <v/>
      </c>
      <c r="G55" s="33" t="n"/>
      <c r="H55" s="39" t="n"/>
    </row>
    <row r="56">
      <c r="A56" s="34" t="n"/>
      <c r="B56" s="33" t="n"/>
      <c r="C56" s="35" t="n"/>
      <c r="D56" s="35" t="n"/>
      <c r="E56" s="31">
        <f>IF(OR(C56="",D56=""),"",D56-C56)</f>
        <v/>
      </c>
      <c r="F56" s="38">
        <f>IF(OR(C56="",D56="",C56=0),"",D56/C56-1)</f>
        <v/>
      </c>
      <c r="G56" s="33" t="n"/>
      <c r="H56" s="39" t="n"/>
    </row>
    <row r="57">
      <c r="A57" s="34" t="n"/>
      <c r="B57" s="33" t="n"/>
      <c r="C57" s="35" t="n"/>
      <c r="D57" s="35" t="n"/>
      <c r="E57" s="31">
        <f>IF(OR(C57="",D57=""),"",D57-C57)</f>
        <v/>
      </c>
      <c r="F57" s="38">
        <f>IF(OR(C57="",D57="",C57=0),"",D57/C57-1)</f>
        <v/>
      </c>
      <c r="G57" s="33" t="n"/>
      <c r="H57" s="39" t="n"/>
    </row>
    <row r="58">
      <c r="A58" s="34" t="n"/>
      <c r="B58" s="33" t="n"/>
      <c r="C58" s="35" t="n"/>
      <c r="D58" s="35" t="n"/>
      <c r="E58" s="31">
        <f>IF(OR(C58="",D58=""),"",D58-C58)</f>
        <v/>
      </c>
      <c r="F58" s="38">
        <f>IF(OR(C58="",D58="",C58=0),"",D58/C58-1)</f>
        <v/>
      </c>
      <c r="G58" s="33" t="n"/>
      <c r="H58" s="39" t="n"/>
    </row>
    <row r="59">
      <c r="A59" s="34" t="n"/>
      <c r="B59" s="33" t="n"/>
      <c r="C59" s="35" t="n"/>
      <c r="D59" s="35" t="n"/>
      <c r="E59" s="31">
        <f>IF(OR(C59="",D59=""),"",D59-C59)</f>
        <v/>
      </c>
      <c r="F59" s="38">
        <f>IF(OR(C59="",D59="",C59=0),"",D59/C59-1)</f>
        <v/>
      </c>
      <c r="G59" s="33" t="n"/>
      <c r="H59" s="39" t="n"/>
    </row>
    <row r="60">
      <c r="A60" s="34" t="n"/>
      <c r="B60" s="33" t="n"/>
      <c r="C60" s="35" t="n"/>
      <c r="D60" s="35" t="n"/>
      <c r="E60" s="31">
        <f>IF(OR(C60="",D60=""),"",D60-C60)</f>
        <v/>
      </c>
      <c r="F60" s="38">
        <f>IF(OR(C60="",D60="",C60=0),"",D60/C60-1)</f>
        <v/>
      </c>
      <c r="G60" s="33" t="n"/>
      <c r="H60" s="39" t="n"/>
    </row>
    <row r="61">
      <c r="A61" s="34" t="n"/>
      <c r="B61" s="33" t="n"/>
      <c r="C61" s="35" t="n"/>
      <c r="D61" s="35" t="n"/>
      <c r="E61" s="31">
        <f>IF(OR(C61="",D61=""),"",D61-C61)</f>
        <v/>
      </c>
      <c r="F61" s="38">
        <f>IF(OR(C61="",D61="",C61=0),"",D61/C61-1)</f>
        <v/>
      </c>
      <c r="G61" s="33" t="n"/>
      <c r="H61" s="39" t="n"/>
    </row>
    <row r="62">
      <c r="A62" s="34" t="n"/>
      <c r="B62" s="33" t="n"/>
      <c r="C62" s="35" t="n"/>
      <c r="D62" s="35" t="n"/>
      <c r="E62" s="31">
        <f>IF(OR(C62="",D62=""),"",D62-C62)</f>
        <v/>
      </c>
      <c r="F62" s="38">
        <f>IF(OR(C62="",D62="",C62=0),"",D62/C62-1)</f>
        <v/>
      </c>
      <c r="G62" s="33" t="n"/>
      <c r="H62" s="39" t="n"/>
    </row>
    <row r="63">
      <c r="A63" s="34" t="n"/>
      <c r="B63" s="33" t="n"/>
      <c r="C63" s="35" t="n"/>
      <c r="D63" s="35" t="n"/>
      <c r="E63" s="31">
        <f>IF(OR(C63="",D63=""),"",D63-C63)</f>
        <v/>
      </c>
      <c r="F63" s="38">
        <f>IF(OR(C63="",D63="",C63=0),"",D63/C63-1)</f>
        <v/>
      </c>
      <c r="G63" s="33" t="n"/>
      <c r="H63" s="39" t="n"/>
    </row>
    <row r="64">
      <c r="A64" s="34" t="n"/>
      <c r="B64" s="33" t="n"/>
      <c r="C64" s="35" t="n"/>
      <c r="D64" s="35" t="n"/>
      <c r="E64" s="31">
        <f>IF(OR(C64="",D64=""),"",D64-C64)</f>
        <v/>
      </c>
      <c r="F64" s="38">
        <f>IF(OR(C64="",D64="",C64=0),"",D64/C64-1)</f>
        <v/>
      </c>
      <c r="G64" s="33" t="n"/>
      <c r="H64" s="39" t="n"/>
    </row>
    <row r="65">
      <c r="A65" s="34" t="n"/>
      <c r="B65" s="33" t="n"/>
      <c r="C65" s="35" t="n"/>
      <c r="D65" s="35" t="n"/>
      <c r="E65" s="31">
        <f>IF(OR(C65="",D65=""),"",D65-C65)</f>
        <v/>
      </c>
      <c r="F65" s="38">
        <f>IF(OR(C65="",D65="",C65=0),"",D65/C65-1)</f>
        <v/>
      </c>
      <c r="G65" s="33" t="n"/>
      <c r="H65" s="39" t="n"/>
    </row>
    <row r="66">
      <c r="A66" s="34" t="n"/>
      <c r="B66" s="33" t="n"/>
      <c r="C66" s="35" t="n"/>
      <c r="D66" s="35" t="n"/>
      <c r="E66" s="31">
        <f>IF(OR(C66="",D66=""),"",D66-C66)</f>
        <v/>
      </c>
      <c r="F66" s="38">
        <f>IF(OR(C66="",D66="",C66=0),"",D66/C66-1)</f>
        <v/>
      </c>
      <c r="G66" s="33" t="n"/>
      <c r="H66" s="39" t="n"/>
    </row>
    <row r="67">
      <c r="A67" s="34" t="n"/>
      <c r="B67" s="33" t="n"/>
      <c r="C67" s="35" t="n"/>
      <c r="D67" s="35" t="n"/>
      <c r="E67" s="31">
        <f>IF(OR(C67="",D67=""),"",D67-C67)</f>
        <v/>
      </c>
      <c r="F67" s="38">
        <f>IF(OR(C67="",D67="",C67=0),"",D67/C67-1)</f>
        <v/>
      </c>
      <c r="G67" s="33" t="n"/>
      <c r="H67" s="39" t="n"/>
    </row>
    <row r="68">
      <c r="A68" s="34" t="n"/>
      <c r="B68" s="33" t="n"/>
      <c r="C68" s="35" t="n"/>
      <c r="D68" s="35" t="n"/>
      <c r="E68" s="31">
        <f>IF(OR(C68="",D68=""),"",D68-C68)</f>
        <v/>
      </c>
      <c r="F68" s="38">
        <f>IF(OR(C68="",D68="",C68=0),"",D68/C68-1)</f>
        <v/>
      </c>
      <c r="G68" s="33" t="n"/>
      <c r="H68" s="39" t="n"/>
    </row>
    <row r="69">
      <c r="A69" s="34" t="n"/>
      <c r="B69" s="33" t="n"/>
      <c r="C69" s="35" t="n"/>
      <c r="D69" s="35" t="n"/>
      <c r="E69" s="31">
        <f>IF(OR(C69="",D69=""),"",D69-C69)</f>
        <v/>
      </c>
      <c r="F69" s="38">
        <f>IF(OR(C69="",D69="",C69=0),"",D69/C69-1)</f>
        <v/>
      </c>
      <c r="G69" s="33" t="n"/>
      <c r="H69" s="39" t="n"/>
    </row>
    <row r="70">
      <c r="A70" s="34" t="n"/>
      <c r="B70" s="33" t="n"/>
      <c r="C70" s="35" t="n"/>
      <c r="D70" s="35" t="n"/>
      <c r="E70" s="31">
        <f>IF(OR(C70="",D70=""),"",D70-C70)</f>
        <v/>
      </c>
      <c r="F70" s="38">
        <f>IF(OR(C70="",D70="",C70=0),"",D70/C70-1)</f>
        <v/>
      </c>
      <c r="G70" s="33" t="n"/>
      <c r="H70" s="39" t="n"/>
    </row>
    <row r="71">
      <c r="A71" s="34" t="n"/>
      <c r="B71" s="33" t="n"/>
      <c r="C71" s="35" t="n"/>
      <c r="D71" s="35" t="n"/>
      <c r="E71" s="31">
        <f>IF(OR(C71="",D71=""),"",D71-C71)</f>
        <v/>
      </c>
      <c r="F71" s="38">
        <f>IF(OR(C71="",D71="",C71=0),"",D71/C71-1)</f>
        <v/>
      </c>
      <c r="G71" s="33" t="n"/>
      <c r="H71" s="39" t="n"/>
    </row>
    <row r="72">
      <c r="A72" s="34" t="n"/>
      <c r="B72" s="33" t="n"/>
      <c r="C72" s="35" t="n"/>
      <c r="D72" s="35" t="n"/>
      <c r="E72" s="31">
        <f>IF(OR(C72="",D72=""),"",D72-C72)</f>
        <v/>
      </c>
      <c r="F72" s="38">
        <f>IF(OR(C72="",D72="",C72=0),"",D72/C72-1)</f>
        <v/>
      </c>
      <c r="G72" s="33" t="n"/>
      <c r="H72" s="39" t="n"/>
    </row>
    <row r="73">
      <c r="A73" s="34" t="n"/>
      <c r="B73" s="33" t="n"/>
      <c r="C73" s="35" t="n"/>
      <c r="D73" s="35" t="n"/>
      <c r="E73" s="31">
        <f>IF(OR(C73="",D73=""),"",D73-C73)</f>
        <v/>
      </c>
      <c r="F73" s="38">
        <f>IF(OR(C73="",D73="",C73=0),"",D73/C73-1)</f>
        <v/>
      </c>
      <c r="G73" s="33" t="n"/>
      <c r="H73" s="39" t="n"/>
    </row>
    <row r="74">
      <c r="A74" s="34" t="n"/>
      <c r="B74" s="33" t="n"/>
      <c r="C74" s="35" t="n"/>
      <c r="D74" s="35" t="n"/>
      <c r="E74" s="31">
        <f>IF(OR(C74="",D74=""),"",D74-C74)</f>
        <v/>
      </c>
      <c r="F74" s="38">
        <f>IF(OR(C74="",D74="",C74=0),"",D74/C74-1)</f>
        <v/>
      </c>
      <c r="G74" s="33" t="n"/>
      <c r="H74" s="39" t="n"/>
    </row>
    <row r="75">
      <c r="A75" s="34" t="n"/>
      <c r="B75" s="33" t="n"/>
      <c r="C75" s="35" t="n"/>
      <c r="D75" s="35" t="n"/>
      <c r="E75" s="31">
        <f>IF(OR(C75="",D75=""),"",D75-C75)</f>
        <v/>
      </c>
      <c r="F75" s="38">
        <f>IF(OR(C75="",D75="",C75=0),"",D75/C75-1)</f>
        <v/>
      </c>
      <c r="G75" s="33" t="n"/>
      <c r="H75" s="39" t="n"/>
    </row>
    <row r="76">
      <c r="A76" s="34" t="n"/>
      <c r="B76" s="33" t="n"/>
      <c r="C76" s="35" t="n"/>
      <c r="D76" s="35" t="n"/>
      <c r="E76" s="31">
        <f>IF(OR(C76="",D76=""),"",D76-C76)</f>
        <v/>
      </c>
      <c r="F76" s="38">
        <f>IF(OR(C76="",D76="",C76=0),"",D76/C76-1)</f>
        <v/>
      </c>
      <c r="G76" s="33" t="n"/>
      <c r="H76" s="39" t="n"/>
    </row>
    <row r="77">
      <c r="A77" s="34" t="n"/>
      <c r="B77" s="33" t="n"/>
      <c r="C77" s="35" t="n"/>
      <c r="D77" s="35" t="n"/>
      <c r="E77" s="31">
        <f>IF(OR(C77="",D77=""),"",D77-C77)</f>
        <v/>
      </c>
      <c r="F77" s="38">
        <f>IF(OR(C77="",D77="",C77=0),"",D77/C77-1)</f>
        <v/>
      </c>
      <c r="G77" s="33" t="n"/>
      <c r="H77" s="39" t="n"/>
    </row>
    <row r="78">
      <c r="A78" s="34" t="n"/>
      <c r="B78" s="33" t="n"/>
      <c r="C78" s="35" t="n"/>
      <c r="D78" s="35" t="n"/>
      <c r="E78" s="31">
        <f>IF(OR(C78="",D78=""),"",D78-C78)</f>
        <v/>
      </c>
      <c r="F78" s="38">
        <f>IF(OR(C78="",D78="",C78=0),"",D78/C78-1)</f>
        <v/>
      </c>
      <c r="G78" s="33" t="n"/>
      <c r="H78" s="39" t="n"/>
    </row>
    <row r="79">
      <c r="A79" s="34" t="n"/>
      <c r="B79" s="33" t="n"/>
      <c r="C79" s="35" t="n"/>
      <c r="D79" s="35" t="n"/>
      <c r="E79" s="31">
        <f>IF(OR(C79="",D79=""),"",D79-C79)</f>
        <v/>
      </c>
      <c r="F79" s="38">
        <f>IF(OR(C79="",D79="",C79=0),"",D79/C79-1)</f>
        <v/>
      </c>
      <c r="G79" s="33" t="n"/>
      <c r="H79" s="39" t="n"/>
    </row>
    <row r="80">
      <c r="A80" s="34" t="n"/>
      <c r="B80" s="33" t="n"/>
      <c r="C80" s="35" t="n"/>
      <c r="D80" s="35" t="n"/>
      <c r="E80" s="31">
        <f>IF(OR(C80="",D80=""),"",D80-C80)</f>
        <v/>
      </c>
      <c r="F80" s="38">
        <f>IF(OR(C80="",D80="",C80=0),"",D80/C80-1)</f>
        <v/>
      </c>
      <c r="G80" s="33" t="n"/>
      <c r="H80" s="39" t="n"/>
    </row>
    <row r="81">
      <c r="A81" s="34" t="n"/>
      <c r="B81" s="33" t="n"/>
      <c r="C81" s="35" t="n"/>
      <c r="D81" s="35" t="n"/>
      <c r="E81" s="31">
        <f>IF(OR(C81="",D81=""),"",D81-C81)</f>
        <v/>
      </c>
      <c r="F81" s="38">
        <f>IF(OR(C81="",D81="",C81=0),"",D81/C81-1)</f>
        <v/>
      </c>
      <c r="G81" s="33" t="n"/>
      <c r="H81" s="39" t="n"/>
    </row>
    <row r="82">
      <c r="A82" s="34" t="n"/>
      <c r="B82" s="33" t="n"/>
      <c r="C82" s="35" t="n"/>
      <c r="D82" s="35" t="n"/>
      <c r="E82" s="31">
        <f>IF(OR(C82="",D82=""),"",D82-C82)</f>
        <v/>
      </c>
      <c r="F82" s="38">
        <f>IF(OR(C82="",D82="",C82=0),"",D82/C82-1)</f>
        <v/>
      </c>
      <c r="G82" s="33" t="n"/>
      <c r="H82" s="39" t="n"/>
    </row>
    <row r="83">
      <c r="A83" s="34" t="n"/>
      <c r="B83" s="33" t="n"/>
      <c r="C83" s="35" t="n"/>
      <c r="D83" s="35" t="n"/>
      <c r="E83" s="31">
        <f>IF(OR(C83="",D83=""),"",D83-C83)</f>
        <v/>
      </c>
      <c r="F83" s="38">
        <f>IF(OR(C83="",D83="",C83=0),"",D83/C83-1)</f>
        <v/>
      </c>
      <c r="G83" s="33" t="n"/>
      <c r="H83" s="39" t="n"/>
    </row>
    <row r="84">
      <c r="A84" s="34" t="n"/>
      <c r="B84" s="33" t="n"/>
      <c r="C84" s="35" t="n"/>
      <c r="D84" s="35" t="n"/>
      <c r="E84" s="31">
        <f>IF(OR(C84="",D84=""),"",D84-C84)</f>
        <v/>
      </c>
      <c r="F84" s="38">
        <f>IF(OR(C84="",D84="",C84=0),"",D84/C84-1)</f>
        <v/>
      </c>
      <c r="G84" s="33" t="n"/>
      <c r="H84" s="39" t="n"/>
    </row>
    <row r="85">
      <c r="A85" s="34" t="n"/>
      <c r="B85" s="33" t="n"/>
      <c r="C85" s="35" t="n"/>
      <c r="D85" s="35" t="n"/>
      <c r="E85" s="31">
        <f>IF(OR(C85="",D85=""),"",D85-C85)</f>
        <v/>
      </c>
      <c r="F85" s="38">
        <f>IF(OR(C85="",D85="",C85=0),"",D85/C85-1)</f>
        <v/>
      </c>
      <c r="G85" s="33" t="n"/>
      <c r="H85" s="39" t="n"/>
    </row>
    <row r="86">
      <c r="A86" s="34" t="n"/>
      <c r="B86" s="33" t="n"/>
      <c r="C86" s="35" t="n"/>
      <c r="D86" s="35" t="n"/>
      <c r="E86" s="31">
        <f>IF(OR(C86="",D86=""),"",D86-C86)</f>
        <v/>
      </c>
      <c r="F86" s="38">
        <f>IF(OR(C86="",D86="",C86=0),"",D86/C86-1)</f>
        <v/>
      </c>
      <c r="G86" s="33" t="n"/>
      <c r="H86" s="39" t="n"/>
    </row>
    <row r="87">
      <c r="A87" s="34" t="n"/>
      <c r="B87" s="33" t="n"/>
      <c r="C87" s="35" t="n"/>
      <c r="D87" s="35" t="n"/>
      <c r="E87" s="31">
        <f>IF(OR(C87="",D87=""),"",D87-C87)</f>
        <v/>
      </c>
      <c r="F87" s="38">
        <f>IF(OR(C87="",D87="",C87=0),"",D87/C87-1)</f>
        <v/>
      </c>
      <c r="G87" s="33" t="n"/>
      <c r="H87" s="39" t="n"/>
    </row>
    <row r="88">
      <c r="A88" s="34" t="n"/>
      <c r="B88" s="33" t="n"/>
      <c r="C88" s="35" t="n"/>
      <c r="D88" s="35" t="n"/>
      <c r="E88" s="31">
        <f>IF(OR(C88="",D88=""),"",D88-C88)</f>
        <v/>
      </c>
      <c r="F88" s="38">
        <f>IF(OR(C88="",D88="",C88=0),"",D88/C88-1)</f>
        <v/>
      </c>
      <c r="G88" s="33" t="n"/>
      <c r="H88" s="39" t="n"/>
    </row>
    <row r="89">
      <c r="A89" s="34" t="n"/>
      <c r="B89" s="33" t="n"/>
      <c r="C89" s="35" t="n"/>
      <c r="D89" s="35" t="n"/>
      <c r="E89" s="31">
        <f>IF(OR(C89="",D89=""),"",D89-C89)</f>
        <v/>
      </c>
      <c r="F89" s="38">
        <f>IF(OR(C89="",D89="",C89=0),"",D89/C89-1)</f>
        <v/>
      </c>
      <c r="G89" s="33" t="n"/>
      <c r="H89" s="39" t="n"/>
    </row>
    <row r="90">
      <c r="A90" s="34" t="n"/>
      <c r="B90" s="33" t="n"/>
      <c r="C90" s="35" t="n"/>
      <c r="D90" s="35" t="n"/>
      <c r="E90" s="31">
        <f>IF(OR(C90="",D90=""),"",D90-C90)</f>
        <v/>
      </c>
      <c r="F90" s="38">
        <f>IF(OR(C90="",D90="",C90=0),"",D90/C90-1)</f>
        <v/>
      </c>
      <c r="G90" s="33" t="n"/>
      <c r="H90" s="39" t="n"/>
    </row>
    <row r="91">
      <c r="A91" s="34" t="n"/>
      <c r="B91" s="33" t="n"/>
      <c r="C91" s="35" t="n"/>
      <c r="D91" s="35" t="n"/>
      <c r="E91" s="31">
        <f>IF(OR(C91="",D91=""),"",D91-C91)</f>
        <v/>
      </c>
      <c r="F91" s="38">
        <f>IF(OR(C91="",D91="",C91=0),"",D91/C91-1)</f>
        <v/>
      </c>
      <c r="G91" s="33" t="n"/>
      <c r="H91" s="39" t="n"/>
    </row>
    <row r="92">
      <c r="A92" s="34" t="n"/>
      <c r="B92" s="33" t="n"/>
      <c r="C92" s="35" t="n"/>
      <c r="D92" s="35" t="n"/>
      <c r="E92" s="31">
        <f>IF(OR(C92="",D92=""),"",D92-C92)</f>
        <v/>
      </c>
      <c r="F92" s="38">
        <f>IF(OR(C92="",D92="",C92=0),"",D92/C92-1)</f>
        <v/>
      </c>
      <c r="G92" s="33" t="n"/>
      <c r="H92" s="39" t="n"/>
    </row>
    <row r="93">
      <c r="A93" s="34" t="n"/>
      <c r="B93" s="33" t="n"/>
      <c r="C93" s="35" t="n"/>
      <c r="D93" s="35" t="n"/>
      <c r="E93" s="31">
        <f>IF(OR(C93="",D93=""),"",D93-C93)</f>
        <v/>
      </c>
      <c r="F93" s="38">
        <f>IF(OR(C93="",D93="",C93=0),"",D93/C93-1)</f>
        <v/>
      </c>
      <c r="G93" s="33" t="n"/>
      <c r="H93" s="39" t="n"/>
    </row>
    <row r="94">
      <c r="A94" s="34" t="n"/>
      <c r="B94" s="33" t="n"/>
      <c r="C94" s="35" t="n"/>
      <c r="D94" s="35" t="n"/>
      <c r="E94" s="31">
        <f>IF(OR(C94="",D94=""),"",D94-C94)</f>
        <v/>
      </c>
      <c r="F94" s="38">
        <f>IF(OR(C94="",D94="",C94=0),"",D94/C94-1)</f>
        <v/>
      </c>
      <c r="G94" s="33" t="n"/>
      <c r="H94" s="39" t="n"/>
    </row>
    <row r="95">
      <c r="A95" s="34" t="n"/>
      <c r="B95" s="33" t="n"/>
      <c r="C95" s="35" t="n"/>
      <c r="D95" s="35" t="n"/>
      <c r="E95" s="31">
        <f>IF(OR(C95="",D95=""),"",D95-C95)</f>
        <v/>
      </c>
      <c r="F95" s="38">
        <f>IF(OR(C95="",D95="",C95=0),"",D95/C95-1)</f>
        <v/>
      </c>
      <c r="G95" s="33" t="n"/>
      <c r="H95" s="39" t="n"/>
    </row>
    <row r="96">
      <c r="A96" s="34" t="n"/>
      <c r="B96" s="33" t="n"/>
      <c r="C96" s="35" t="n"/>
      <c r="D96" s="35" t="n"/>
      <c r="E96" s="31">
        <f>IF(OR(C96="",D96=""),"",D96-C96)</f>
        <v/>
      </c>
      <c r="F96" s="38">
        <f>IF(OR(C96="",D96="",C96=0),"",D96/C96-1)</f>
        <v/>
      </c>
      <c r="G96" s="33" t="n"/>
      <c r="H96" s="39" t="n"/>
    </row>
    <row r="97">
      <c r="A97" s="34" t="n"/>
      <c r="B97" s="33" t="n"/>
      <c r="C97" s="35" t="n"/>
      <c r="D97" s="35" t="n"/>
      <c r="E97" s="31">
        <f>IF(OR(C97="",D97=""),"",D97-C97)</f>
        <v/>
      </c>
      <c r="F97" s="38">
        <f>IF(OR(C97="",D97="",C97=0),"",D97/C97-1)</f>
        <v/>
      </c>
      <c r="G97" s="33" t="n"/>
      <c r="H97" s="39" t="n"/>
    </row>
    <row r="98">
      <c r="A98" s="34" t="n"/>
      <c r="B98" s="33" t="n"/>
      <c r="C98" s="35" t="n"/>
      <c r="D98" s="35" t="n"/>
      <c r="E98" s="31">
        <f>IF(OR(C98="",D98=""),"",D98-C98)</f>
        <v/>
      </c>
      <c r="F98" s="38">
        <f>IF(OR(C98="",D98="",C98=0),"",D98/C98-1)</f>
        <v/>
      </c>
      <c r="G98" s="33" t="n"/>
      <c r="H98" s="39" t="n"/>
    </row>
    <row r="99">
      <c r="A99" s="34" t="n"/>
      <c r="B99" s="33" t="n"/>
      <c r="C99" s="35" t="n"/>
      <c r="D99" s="35" t="n"/>
      <c r="E99" s="31">
        <f>IF(OR(C99="",D99=""),"",D99-C99)</f>
        <v/>
      </c>
      <c r="F99" s="38">
        <f>IF(OR(C99="",D99="",C99=0),"",D99/C99-1)</f>
        <v/>
      </c>
      <c r="G99" s="33" t="n"/>
      <c r="H99" s="39" t="n"/>
    </row>
    <row r="100">
      <c r="A100" s="34" t="n"/>
      <c r="B100" s="33" t="n"/>
      <c r="C100" s="35" t="n"/>
      <c r="D100" s="35" t="n"/>
      <c r="E100" s="31">
        <f>IF(OR(C100="",D100=""),"",D100-C100)</f>
        <v/>
      </c>
      <c r="F100" s="38">
        <f>IF(OR(C100="",D100="",C100=0),"",D100/C100-1)</f>
        <v/>
      </c>
      <c r="G100" s="33" t="n"/>
      <c r="H100" s="39" t="n"/>
    </row>
    <row r="101">
      <c r="A101" s="34" t="n"/>
      <c r="B101" s="33" t="n"/>
      <c r="C101" s="35" t="n"/>
      <c r="D101" s="35" t="n"/>
      <c r="E101" s="31">
        <f>IF(OR(C101="",D101=""),"",D101-C101)</f>
        <v/>
      </c>
      <c r="F101" s="38">
        <f>IF(OR(C101="",D101="",C101=0),"",D101/C101-1)</f>
        <v/>
      </c>
      <c r="G101" s="33" t="n"/>
      <c r="H101" s="39" t="n"/>
    </row>
    <row r="102">
      <c r="A102" s="34" t="n"/>
      <c r="B102" s="33" t="n"/>
      <c r="C102" s="35" t="n"/>
      <c r="D102" s="35" t="n"/>
      <c r="E102" s="31">
        <f>IF(OR(C102="",D102=""),"",D102-C102)</f>
        <v/>
      </c>
      <c r="F102" s="38">
        <f>IF(OR(C102="",D102="",C102=0),"",D102/C102-1)</f>
        <v/>
      </c>
      <c r="G102" s="33" t="n"/>
      <c r="H102" s="39" t="n"/>
    </row>
    <row r="103">
      <c r="A103" s="34" t="n"/>
      <c r="B103" s="33" t="n"/>
      <c r="C103" s="35" t="n"/>
      <c r="D103" s="35" t="n"/>
      <c r="E103" s="31">
        <f>IF(OR(C103="",D103=""),"",D103-C103)</f>
        <v/>
      </c>
      <c r="F103" s="38">
        <f>IF(OR(C103="",D103="",C103=0),"",D103/C103-1)</f>
        <v/>
      </c>
      <c r="G103" s="33" t="n"/>
      <c r="H103" s="39" t="n"/>
    </row>
    <row r="104">
      <c r="A104" s="34" t="n"/>
      <c r="B104" s="33" t="n"/>
      <c r="C104" s="35" t="n"/>
      <c r="D104" s="35" t="n"/>
      <c r="E104" s="31">
        <f>IF(OR(C104="",D104=""),"",D104-C104)</f>
        <v/>
      </c>
      <c r="F104" s="38">
        <f>IF(OR(C104="",D104="",C104=0),"",D104/C104-1)</f>
        <v/>
      </c>
      <c r="G104" s="33" t="n"/>
      <c r="H104" s="39" t="n"/>
    </row>
    <row r="105">
      <c r="A105" s="34" t="n"/>
      <c r="B105" s="33" t="n"/>
      <c r="C105" s="35" t="n"/>
      <c r="D105" s="35" t="n"/>
      <c r="E105" s="31">
        <f>IF(OR(C105="",D105=""),"",D105-C105)</f>
        <v/>
      </c>
      <c r="F105" s="38">
        <f>IF(OR(C105="",D105="",C105=0),"",D105/C105-1)</f>
        <v/>
      </c>
      <c r="G105" s="33" t="n"/>
      <c r="H105" s="39" t="n"/>
    </row>
  </sheetData>
  <dataValidations count="1">
    <dataValidation sqref="G6:G10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2026-10-02T09:32:51Z</dcterms:created>
  <dcterms:modified xsi:type="dcterms:W3CDTF">2026-10-02T09:32:51Z</dcterms:modified>
</cp:coreProperties>
</file>