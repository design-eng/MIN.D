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보상휴가" sheetId="8" state="visible" r:id="rId8"/>
    <sheet xmlns:r="http://schemas.openxmlformats.org/officeDocument/2006/relationships"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IF(C5="","",DATEDIF(C5,IF(직원명부!G5="",$B$3,MIN($B$3,직원명부!G5)),"Y")&amp;"년 "&amp;DATEDIF(C5,IF(직원명부!G5="",$B$3,MIN($B$3,직원명부!G5)),"YM")&amp;"개월")</f>
        <v/>
      </c>
      <c r="F5" s="26">
        <f>IF(C5="","",IF(DATEDIF(C5,IF(직원명부!G5="",$B$3,MIN($B$3,직원명부!G5)),"Y")&lt;1,C5,EDATE(C5,DATEDIF(C5,IF(직원명부!G5="",$B$3,MIN($B$3,직원명부!G5)),"Y")*12)))</f>
        <v/>
      </c>
      <c r="G5" s="26">
        <f>IF(C5="","",EDATE(C5,(DATEDIF(C5,IF(직원명부!G5="",$B$3,MIN($B$3,직원명부!G5)),"Y")+1)*12)-1)</f>
        <v/>
      </c>
      <c r="H5" s="27">
        <f>IF(C5="","",IF(DATEDIF(C5,IF(직원명부!G5="",$B$3,MIN($B$3,직원명부!G5)),"Y")&lt;1,MIN(11,DATEDIF(C5,IF(직원명부!G5="",$B$3,MIN($B$3,직원명부!G5)),"M")),MIN(25,15+INT((DATEDIF(C5,IF(직원명부!G5="",$B$3,MIN($B$3,직원명부!G5)),"Y")-1)/2))))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IF(C5="","",IF(직원명부!G5&lt;&gt;"","퇴사",IF(G5-$B$3&lt;0,"기간종료",G5-$B$3&amp;"일")))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IF(C6="","",DATEDIF(C6,IF(직원명부!G6="",$B$3,MIN($B$3,직원명부!G6)),"Y")&amp;"년 "&amp;DATEDIF(C6,IF(직원명부!G6="",$B$3,MIN($B$3,직원명부!G6)),"YM")&amp;"개월")</f>
        <v/>
      </c>
      <c r="F6" s="26">
        <f>IF(C6="","",IF(DATEDIF(C6,IF(직원명부!G6="",$B$3,MIN($B$3,직원명부!G6)),"Y")&lt;1,C6,EDATE(C6,DATEDIF(C6,IF(직원명부!G6="",$B$3,MIN($B$3,직원명부!G6)),"Y")*12)))</f>
        <v/>
      </c>
      <c r="G6" s="26">
        <f>IF(C6="","",EDATE(C6,(DATEDIF(C6,IF(직원명부!G6="",$B$3,MIN($B$3,직원명부!G6)),"Y")+1)*12)-1)</f>
        <v/>
      </c>
      <c r="H6" s="27">
        <f>IF(C6="","",IF(DATEDIF(C6,IF(직원명부!G6="",$B$3,MIN($B$3,직원명부!G6)),"Y")&lt;1,MIN(11,DATEDIF(C6,IF(직원명부!G6="",$B$3,MIN($B$3,직원명부!G6)),"M")),MIN(25,15+INT((DATEDIF(C6,IF(직원명부!G6="",$B$3,MIN($B$3,직원명부!G6)),"Y")-1)/2))))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IF(C6="","",IF(직원명부!G6&lt;&gt;"","퇴사",IF(G6-$B$3&lt;0,"기간종료",G6-$B$3&amp;"일")))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IF(C7="","",DATEDIF(C7,IF(직원명부!G7="",$B$3,MIN($B$3,직원명부!G7)),"Y")&amp;"년 "&amp;DATEDIF(C7,IF(직원명부!G7="",$B$3,MIN($B$3,직원명부!G7)),"YM")&amp;"개월")</f>
        <v/>
      </c>
      <c r="F7" s="26">
        <f>IF(C7="","",IF(DATEDIF(C7,IF(직원명부!G7="",$B$3,MIN($B$3,직원명부!G7)),"Y")&lt;1,C7,EDATE(C7,DATEDIF(C7,IF(직원명부!G7="",$B$3,MIN($B$3,직원명부!G7)),"Y")*12)))</f>
        <v/>
      </c>
      <c r="G7" s="26">
        <f>IF(C7="","",EDATE(C7,(DATEDIF(C7,IF(직원명부!G7="",$B$3,MIN($B$3,직원명부!G7)),"Y")+1)*12)-1)</f>
        <v/>
      </c>
      <c r="H7" s="27">
        <f>IF(C7="","",IF(DATEDIF(C7,IF(직원명부!G7="",$B$3,MIN($B$3,직원명부!G7)),"Y")&lt;1,MIN(11,DATEDIF(C7,IF(직원명부!G7="",$B$3,MIN($B$3,직원명부!G7)),"M")),MIN(25,15+INT((DATEDIF(C7,IF(직원명부!G7="",$B$3,MIN($B$3,직원명부!G7)),"Y")-1)/2))))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IF(C7="","",IF(직원명부!G7&lt;&gt;"","퇴사",IF(G7-$B$3&lt;0,"기간종료",G7-$B$3&amp;"일")))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IF(C8="","",DATEDIF(C8,IF(직원명부!G8="",$B$3,MIN($B$3,직원명부!G8)),"Y")&amp;"년 "&amp;DATEDIF(C8,IF(직원명부!G8="",$B$3,MIN($B$3,직원명부!G8)),"YM")&amp;"개월")</f>
        <v/>
      </c>
      <c r="F8" s="26">
        <f>IF(C8="","",IF(DATEDIF(C8,IF(직원명부!G8="",$B$3,MIN($B$3,직원명부!G8)),"Y")&lt;1,C8,EDATE(C8,DATEDIF(C8,IF(직원명부!G8="",$B$3,MIN($B$3,직원명부!G8)),"Y")*12)))</f>
        <v/>
      </c>
      <c r="G8" s="26">
        <f>IF(C8="","",EDATE(C8,(DATEDIF(C8,IF(직원명부!G8="",$B$3,MIN($B$3,직원명부!G8)),"Y")+1)*12)-1)</f>
        <v/>
      </c>
      <c r="H8" s="27">
        <f>IF(C8="","",IF(DATEDIF(C8,IF(직원명부!G8="",$B$3,MIN($B$3,직원명부!G8)),"Y")&lt;1,MIN(11,DATEDIF(C8,IF(직원명부!G8="",$B$3,MIN($B$3,직원명부!G8)),"M")),MIN(25,15+INT((DATEDIF(C8,IF(직원명부!G8="",$B$3,MIN($B$3,직원명부!G8)),"Y")-1)/2))))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IF(C8="","",IF(직원명부!G8&lt;&gt;"","퇴사",IF(G8-$B$3&lt;0,"기간종료",G8-$B$3&amp;"일")))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IF(C9="","",DATEDIF(C9,IF(직원명부!G9="",$B$3,MIN($B$3,직원명부!G9)),"Y")&amp;"년 "&amp;DATEDIF(C9,IF(직원명부!G9="",$B$3,MIN($B$3,직원명부!G9)),"YM")&amp;"개월")</f>
        <v/>
      </c>
      <c r="F9" s="26">
        <f>IF(C9="","",IF(DATEDIF(C9,IF(직원명부!G9="",$B$3,MIN($B$3,직원명부!G9)),"Y")&lt;1,C9,EDATE(C9,DATEDIF(C9,IF(직원명부!G9="",$B$3,MIN($B$3,직원명부!G9)),"Y")*12)))</f>
        <v/>
      </c>
      <c r="G9" s="26">
        <f>IF(C9="","",EDATE(C9,(DATEDIF(C9,IF(직원명부!G9="",$B$3,MIN($B$3,직원명부!G9)),"Y")+1)*12)-1)</f>
        <v/>
      </c>
      <c r="H9" s="27">
        <f>IF(C9="","",IF(DATEDIF(C9,IF(직원명부!G9="",$B$3,MIN($B$3,직원명부!G9)),"Y")&lt;1,MIN(11,DATEDIF(C9,IF(직원명부!G9="",$B$3,MIN($B$3,직원명부!G9)),"M")),MIN(25,15+INT((DATEDIF(C9,IF(직원명부!G9="",$B$3,MIN($B$3,직원명부!G9)),"Y")-1)/2))))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IF(C9="","",IF(직원명부!G9&lt;&gt;"","퇴사",IF(G9-$B$3&lt;0,"기간종료",G9-$B$3&amp;"일")))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IF(C10="","",DATEDIF(C10,IF(직원명부!G10="",$B$3,MIN($B$3,직원명부!G10)),"Y")&amp;"년 "&amp;DATEDIF(C10,IF(직원명부!G10="",$B$3,MIN($B$3,직원명부!G10)),"YM")&amp;"개월")</f>
        <v/>
      </c>
      <c r="F10" s="26">
        <f>IF(C10="","",IF(DATEDIF(C10,IF(직원명부!G10="",$B$3,MIN($B$3,직원명부!G10)),"Y")&lt;1,C10,EDATE(C10,DATEDIF(C10,IF(직원명부!G10="",$B$3,MIN($B$3,직원명부!G10)),"Y")*12)))</f>
        <v/>
      </c>
      <c r="G10" s="26">
        <f>IF(C10="","",EDATE(C10,(DATEDIF(C10,IF(직원명부!G10="",$B$3,MIN($B$3,직원명부!G10)),"Y")+1)*12)-1)</f>
        <v/>
      </c>
      <c r="H10" s="27">
        <f>IF(C10="","",IF(DATEDIF(C10,IF(직원명부!G10="",$B$3,MIN($B$3,직원명부!G10)),"Y")&lt;1,MIN(11,DATEDIF(C10,IF(직원명부!G10="",$B$3,MIN($B$3,직원명부!G10)),"M")),MIN(25,15+INT((DATEDIF(C10,IF(직원명부!G10="",$B$3,MIN($B$3,직원명부!G10)),"Y")-1)/2))))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IF(C10="","",IF(직원명부!G10&lt;&gt;"","퇴사",IF(G10-$B$3&lt;0,"기간종료",G10-$B$3&amp;"일")))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IF(C11="","",DATEDIF(C11,IF(직원명부!G11="",$B$3,MIN($B$3,직원명부!G11)),"Y")&amp;"년 "&amp;DATEDIF(C11,IF(직원명부!G11="",$B$3,MIN($B$3,직원명부!G11)),"YM")&amp;"개월")</f>
        <v/>
      </c>
      <c r="F11" s="26">
        <f>IF(C11="","",IF(DATEDIF(C11,IF(직원명부!G11="",$B$3,MIN($B$3,직원명부!G11)),"Y")&lt;1,C11,EDATE(C11,DATEDIF(C11,IF(직원명부!G11="",$B$3,MIN($B$3,직원명부!G11)),"Y")*12)))</f>
        <v/>
      </c>
      <c r="G11" s="26">
        <f>IF(C11="","",EDATE(C11,(DATEDIF(C11,IF(직원명부!G11="",$B$3,MIN($B$3,직원명부!G11)),"Y")+1)*12)-1)</f>
        <v/>
      </c>
      <c r="H11" s="27">
        <f>IF(C11="","",IF(DATEDIF(C11,IF(직원명부!G11="",$B$3,MIN($B$3,직원명부!G11)),"Y")&lt;1,MIN(11,DATEDIF(C11,IF(직원명부!G11="",$B$3,MIN($B$3,직원명부!G11)),"M")),MIN(25,15+INT((DATEDIF(C11,IF(직원명부!G11="",$B$3,MIN($B$3,직원명부!G11)),"Y")-1)/2))))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IF(C11="","",IF(직원명부!G11&lt;&gt;"","퇴사",IF(G11-$B$3&lt;0,"기간종료",G11-$B$3&amp;"일")))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IF(C12="","",DATEDIF(C12,IF(직원명부!G12="",$B$3,MIN($B$3,직원명부!G12)),"Y")&amp;"년 "&amp;DATEDIF(C12,IF(직원명부!G12="",$B$3,MIN($B$3,직원명부!G12)),"YM")&amp;"개월")</f>
        <v/>
      </c>
      <c r="F12" s="26">
        <f>IF(C12="","",IF(DATEDIF(C12,IF(직원명부!G12="",$B$3,MIN($B$3,직원명부!G12)),"Y")&lt;1,C12,EDATE(C12,DATEDIF(C12,IF(직원명부!G12="",$B$3,MIN($B$3,직원명부!G12)),"Y")*12)))</f>
        <v/>
      </c>
      <c r="G12" s="26">
        <f>IF(C12="","",EDATE(C12,(DATEDIF(C12,IF(직원명부!G12="",$B$3,MIN($B$3,직원명부!G12)),"Y")+1)*12)-1)</f>
        <v/>
      </c>
      <c r="H12" s="27">
        <f>IF(C12="","",IF(DATEDIF(C12,IF(직원명부!G12="",$B$3,MIN($B$3,직원명부!G12)),"Y")&lt;1,MIN(11,DATEDIF(C12,IF(직원명부!G12="",$B$3,MIN($B$3,직원명부!G12)),"M")),MIN(25,15+INT((DATEDIF(C12,IF(직원명부!G12="",$B$3,MIN($B$3,직원명부!G12)),"Y")-1)/2))))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IF(C12="","",IF(직원명부!G12&lt;&gt;"","퇴사",IF(G12-$B$3&lt;0,"기간종료",G12-$B$3&amp;"일")))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IF(C13="","",DATEDIF(C13,IF(직원명부!G13="",$B$3,MIN($B$3,직원명부!G13)),"Y")&amp;"년 "&amp;DATEDIF(C13,IF(직원명부!G13="",$B$3,MIN($B$3,직원명부!G13)),"YM")&amp;"개월")</f>
        <v/>
      </c>
      <c r="F13" s="26">
        <f>IF(C13="","",IF(DATEDIF(C13,IF(직원명부!G13="",$B$3,MIN($B$3,직원명부!G13)),"Y")&lt;1,C13,EDATE(C13,DATEDIF(C13,IF(직원명부!G13="",$B$3,MIN($B$3,직원명부!G13)),"Y")*12)))</f>
        <v/>
      </c>
      <c r="G13" s="26">
        <f>IF(C13="","",EDATE(C13,(DATEDIF(C13,IF(직원명부!G13="",$B$3,MIN($B$3,직원명부!G13)),"Y")+1)*12)-1)</f>
        <v/>
      </c>
      <c r="H13" s="27">
        <f>IF(C13="","",IF(DATEDIF(C13,IF(직원명부!G13="",$B$3,MIN($B$3,직원명부!G13)),"Y")&lt;1,MIN(11,DATEDIF(C13,IF(직원명부!G13="",$B$3,MIN($B$3,직원명부!G13)),"M")),MIN(25,15+INT((DATEDIF(C13,IF(직원명부!G13="",$B$3,MIN($B$3,직원명부!G13)),"Y")-1)/2))))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IF(C13="","",IF(직원명부!G13&lt;&gt;"","퇴사",IF(G13-$B$3&lt;0,"기간종료",G13-$B$3&amp;"일")))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IF(C14="","",DATEDIF(C14,IF(직원명부!G14="",$B$3,MIN($B$3,직원명부!G14)),"Y")&amp;"년 "&amp;DATEDIF(C14,IF(직원명부!G14="",$B$3,MIN($B$3,직원명부!G14)),"YM")&amp;"개월")</f>
        <v/>
      </c>
      <c r="F14" s="26">
        <f>IF(C14="","",IF(DATEDIF(C14,IF(직원명부!G14="",$B$3,MIN($B$3,직원명부!G14)),"Y")&lt;1,C14,EDATE(C14,DATEDIF(C14,IF(직원명부!G14="",$B$3,MIN($B$3,직원명부!G14)),"Y")*12)))</f>
        <v/>
      </c>
      <c r="G14" s="26">
        <f>IF(C14="","",EDATE(C14,(DATEDIF(C14,IF(직원명부!G14="",$B$3,MIN($B$3,직원명부!G14)),"Y")+1)*12)-1)</f>
        <v/>
      </c>
      <c r="H14" s="27">
        <f>IF(C14="","",IF(DATEDIF(C14,IF(직원명부!G14="",$B$3,MIN($B$3,직원명부!G14)),"Y")&lt;1,MIN(11,DATEDIF(C14,IF(직원명부!G14="",$B$3,MIN($B$3,직원명부!G14)),"M")),MIN(25,15+INT((DATEDIF(C14,IF(직원명부!G14="",$B$3,MIN($B$3,직원명부!G14)),"Y")-1)/2))))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IF(C14="","",IF(직원명부!G14&lt;&gt;"","퇴사",IF(G14-$B$3&lt;0,"기간종료",G14-$B$3&amp;"일")))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IF(C15="","",DATEDIF(C15,IF(직원명부!G15="",$B$3,MIN($B$3,직원명부!G15)),"Y")&amp;"년 "&amp;DATEDIF(C15,IF(직원명부!G15="",$B$3,MIN($B$3,직원명부!G15)),"YM")&amp;"개월")</f>
        <v/>
      </c>
      <c r="F15" s="26">
        <f>IF(C15="","",IF(DATEDIF(C15,IF(직원명부!G15="",$B$3,MIN($B$3,직원명부!G15)),"Y")&lt;1,C15,EDATE(C15,DATEDIF(C15,IF(직원명부!G15="",$B$3,MIN($B$3,직원명부!G15)),"Y")*12)))</f>
        <v/>
      </c>
      <c r="G15" s="26">
        <f>IF(C15="","",EDATE(C15,(DATEDIF(C15,IF(직원명부!G15="",$B$3,MIN($B$3,직원명부!G15)),"Y")+1)*12)-1)</f>
        <v/>
      </c>
      <c r="H15" s="27">
        <f>IF(C15="","",IF(DATEDIF(C15,IF(직원명부!G15="",$B$3,MIN($B$3,직원명부!G15)),"Y")&lt;1,MIN(11,DATEDIF(C15,IF(직원명부!G15="",$B$3,MIN($B$3,직원명부!G15)),"M")),MIN(25,15+INT((DATEDIF(C15,IF(직원명부!G15="",$B$3,MIN($B$3,직원명부!G15)),"Y")-1)/2))))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IF(C15="","",IF(직원명부!G15&lt;&gt;"","퇴사",IF(G15-$B$3&lt;0,"기간종료",G15-$B$3&amp;"일")))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IF(C16="","",DATEDIF(C16,IF(직원명부!G16="",$B$3,MIN($B$3,직원명부!G16)),"Y")&amp;"년 "&amp;DATEDIF(C16,IF(직원명부!G16="",$B$3,MIN($B$3,직원명부!G16)),"YM")&amp;"개월")</f>
        <v/>
      </c>
      <c r="F16" s="26">
        <f>IF(C16="","",IF(DATEDIF(C16,IF(직원명부!G16="",$B$3,MIN($B$3,직원명부!G16)),"Y")&lt;1,C16,EDATE(C16,DATEDIF(C16,IF(직원명부!G16="",$B$3,MIN($B$3,직원명부!G16)),"Y")*12)))</f>
        <v/>
      </c>
      <c r="G16" s="26">
        <f>IF(C16="","",EDATE(C16,(DATEDIF(C16,IF(직원명부!G16="",$B$3,MIN($B$3,직원명부!G16)),"Y")+1)*12)-1)</f>
        <v/>
      </c>
      <c r="H16" s="27">
        <f>IF(C16="","",IF(DATEDIF(C16,IF(직원명부!G16="",$B$3,MIN($B$3,직원명부!G16)),"Y")&lt;1,MIN(11,DATEDIF(C16,IF(직원명부!G16="",$B$3,MIN($B$3,직원명부!G16)),"M")),MIN(25,15+INT((DATEDIF(C16,IF(직원명부!G16="",$B$3,MIN($B$3,직원명부!G16)),"Y")-1)/2))))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IF(C16="","",IF(직원명부!G16&lt;&gt;"","퇴사",IF(G16-$B$3&lt;0,"기간종료",G16-$B$3&amp;"일")))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IF(C17="","",DATEDIF(C17,IF(직원명부!G17="",$B$3,MIN($B$3,직원명부!G17)),"Y")&amp;"년 "&amp;DATEDIF(C17,IF(직원명부!G17="",$B$3,MIN($B$3,직원명부!G17)),"YM")&amp;"개월")</f>
        <v/>
      </c>
      <c r="F17" s="26">
        <f>IF(C17="","",IF(DATEDIF(C17,IF(직원명부!G17="",$B$3,MIN($B$3,직원명부!G17)),"Y")&lt;1,C17,EDATE(C17,DATEDIF(C17,IF(직원명부!G17="",$B$3,MIN($B$3,직원명부!G17)),"Y")*12)))</f>
        <v/>
      </c>
      <c r="G17" s="26">
        <f>IF(C17="","",EDATE(C17,(DATEDIF(C17,IF(직원명부!G17="",$B$3,MIN($B$3,직원명부!G17)),"Y")+1)*12)-1)</f>
        <v/>
      </c>
      <c r="H17" s="27">
        <f>IF(C17="","",IF(DATEDIF(C17,IF(직원명부!G17="",$B$3,MIN($B$3,직원명부!G17)),"Y")&lt;1,MIN(11,DATEDIF(C17,IF(직원명부!G17="",$B$3,MIN($B$3,직원명부!G17)),"M")),MIN(25,15+INT((DATEDIF(C17,IF(직원명부!G17="",$B$3,MIN($B$3,직원명부!G17)),"Y")-1)/2))))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IF(C17="","",IF(직원명부!G17&lt;&gt;"","퇴사",IF(G17-$B$3&lt;0,"기간종료",G17-$B$3&amp;"일")))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IF(C18="","",DATEDIF(C18,IF(직원명부!G18="",$B$3,MIN($B$3,직원명부!G18)),"Y")&amp;"년 "&amp;DATEDIF(C18,IF(직원명부!G18="",$B$3,MIN($B$3,직원명부!G18)),"YM")&amp;"개월")</f>
        <v/>
      </c>
      <c r="F18" s="26">
        <f>IF(C18="","",IF(DATEDIF(C18,IF(직원명부!G18="",$B$3,MIN($B$3,직원명부!G18)),"Y")&lt;1,C18,EDATE(C18,DATEDIF(C18,IF(직원명부!G18="",$B$3,MIN($B$3,직원명부!G18)),"Y")*12)))</f>
        <v/>
      </c>
      <c r="G18" s="26">
        <f>IF(C18="","",EDATE(C18,(DATEDIF(C18,IF(직원명부!G18="",$B$3,MIN($B$3,직원명부!G18)),"Y")+1)*12)-1)</f>
        <v/>
      </c>
      <c r="H18" s="27">
        <f>IF(C18="","",IF(DATEDIF(C18,IF(직원명부!G18="",$B$3,MIN($B$3,직원명부!G18)),"Y")&lt;1,MIN(11,DATEDIF(C18,IF(직원명부!G18="",$B$3,MIN($B$3,직원명부!G18)),"M")),MIN(25,15+INT((DATEDIF(C18,IF(직원명부!G18="",$B$3,MIN($B$3,직원명부!G18)),"Y")-1)/2))))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IF(C18="","",IF(직원명부!G18&lt;&gt;"","퇴사",IF(G18-$B$3&lt;0,"기간종료",G18-$B$3&amp;"일")))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IF(C19="","",DATEDIF(C19,IF(직원명부!G19="",$B$3,MIN($B$3,직원명부!G19)),"Y")&amp;"년 "&amp;DATEDIF(C19,IF(직원명부!G19="",$B$3,MIN($B$3,직원명부!G19)),"YM")&amp;"개월")</f>
        <v/>
      </c>
      <c r="F19" s="26">
        <f>IF(C19="","",IF(DATEDIF(C19,IF(직원명부!G19="",$B$3,MIN($B$3,직원명부!G19)),"Y")&lt;1,C19,EDATE(C19,DATEDIF(C19,IF(직원명부!G19="",$B$3,MIN($B$3,직원명부!G19)),"Y")*12)))</f>
        <v/>
      </c>
      <c r="G19" s="26">
        <f>IF(C19="","",EDATE(C19,(DATEDIF(C19,IF(직원명부!G19="",$B$3,MIN($B$3,직원명부!G19)),"Y")+1)*12)-1)</f>
        <v/>
      </c>
      <c r="H19" s="27">
        <f>IF(C19="","",IF(DATEDIF(C19,IF(직원명부!G19="",$B$3,MIN($B$3,직원명부!G19)),"Y")&lt;1,MIN(11,DATEDIF(C19,IF(직원명부!G19="",$B$3,MIN($B$3,직원명부!G19)),"M")),MIN(25,15+INT((DATEDIF(C19,IF(직원명부!G19="",$B$3,MIN($B$3,직원명부!G19)),"Y")-1)/2))))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IF(C19="","",IF(직원명부!G19&lt;&gt;"","퇴사",IF(G19-$B$3&lt;0,"기간종료",G19-$B$3&amp;"일")))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IF(C20="","",DATEDIF(C20,IF(직원명부!G20="",$B$3,MIN($B$3,직원명부!G20)),"Y")&amp;"년 "&amp;DATEDIF(C20,IF(직원명부!G20="",$B$3,MIN($B$3,직원명부!G20)),"YM")&amp;"개월")</f>
        <v/>
      </c>
      <c r="F20" s="26">
        <f>IF(C20="","",IF(DATEDIF(C20,IF(직원명부!G20="",$B$3,MIN($B$3,직원명부!G20)),"Y")&lt;1,C20,EDATE(C20,DATEDIF(C20,IF(직원명부!G20="",$B$3,MIN($B$3,직원명부!G20)),"Y")*12)))</f>
        <v/>
      </c>
      <c r="G20" s="26">
        <f>IF(C20="","",EDATE(C20,(DATEDIF(C20,IF(직원명부!G20="",$B$3,MIN($B$3,직원명부!G20)),"Y")+1)*12)-1)</f>
        <v/>
      </c>
      <c r="H20" s="27">
        <f>IF(C20="","",IF(DATEDIF(C20,IF(직원명부!G20="",$B$3,MIN($B$3,직원명부!G20)),"Y")&lt;1,MIN(11,DATEDIF(C20,IF(직원명부!G20="",$B$3,MIN($B$3,직원명부!G20)),"M")),MIN(25,15+INT((DATEDIF(C20,IF(직원명부!G20="",$B$3,MIN($B$3,직원명부!G20)),"Y")-1)/2))))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IF(C20="","",IF(직원명부!G20&lt;&gt;"","퇴사",IF(G20-$B$3&lt;0,"기간종료",G20-$B$3&amp;"일")))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IF(C21="","",DATEDIF(C21,IF(직원명부!G21="",$B$3,MIN($B$3,직원명부!G21)),"Y")&amp;"년 "&amp;DATEDIF(C21,IF(직원명부!G21="",$B$3,MIN($B$3,직원명부!G21)),"YM")&amp;"개월")</f>
        <v/>
      </c>
      <c r="F21" s="26">
        <f>IF(C21="","",IF(DATEDIF(C21,IF(직원명부!G21="",$B$3,MIN($B$3,직원명부!G21)),"Y")&lt;1,C21,EDATE(C21,DATEDIF(C21,IF(직원명부!G21="",$B$3,MIN($B$3,직원명부!G21)),"Y")*12)))</f>
        <v/>
      </c>
      <c r="G21" s="26">
        <f>IF(C21="","",EDATE(C21,(DATEDIF(C21,IF(직원명부!G21="",$B$3,MIN($B$3,직원명부!G21)),"Y")+1)*12)-1)</f>
        <v/>
      </c>
      <c r="H21" s="27">
        <f>IF(C21="","",IF(DATEDIF(C21,IF(직원명부!G21="",$B$3,MIN($B$3,직원명부!G21)),"Y")&lt;1,MIN(11,DATEDIF(C21,IF(직원명부!G21="",$B$3,MIN($B$3,직원명부!G21)),"M")),MIN(25,15+INT((DATEDIF(C21,IF(직원명부!G21="",$B$3,MIN($B$3,직원명부!G21)),"Y")-1)/2))))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IF(C21="","",IF(직원명부!G21&lt;&gt;"","퇴사",IF(G21-$B$3&lt;0,"기간종료",G21-$B$3&amp;"일")))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IF(C22="","",DATEDIF(C22,IF(직원명부!G22="",$B$3,MIN($B$3,직원명부!G22)),"Y")&amp;"년 "&amp;DATEDIF(C22,IF(직원명부!G22="",$B$3,MIN($B$3,직원명부!G22)),"YM")&amp;"개월")</f>
        <v/>
      </c>
      <c r="F22" s="26">
        <f>IF(C22="","",IF(DATEDIF(C22,IF(직원명부!G22="",$B$3,MIN($B$3,직원명부!G22)),"Y")&lt;1,C22,EDATE(C22,DATEDIF(C22,IF(직원명부!G22="",$B$3,MIN($B$3,직원명부!G22)),"Y")*12)))</f>
        <v/>
      </c>
      <c r="G22" s="26">
        <f>IF(C22="","",EDATE(C22,(DATEDIF(C22,IF(직원명부!G22="",$B$3,MIN($B$3,직원명부!G22)),"Y")+1)*12)-1)</f>
        <v/>
      </c>
      <c r="H22" s="27">
        <f>IF(C22="","",IF(DATEDIF(C22,IF(직원명부!G22="",$B$3,MIN($B$3,직원명부!G22)),"Y")&lt;1,MIN(11,DATEDIF(C22,IF(직원명부!G22="",$B$3,MIN($B$3,직원명부!G22)),"M")),MIN(25,15+INT((DATEDIF(C22,IF(직원명부!G22="",$B$3,MIN($B$3,직원명부!G22)),"Y")-1)/2))))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IF(C22="","",IF(직원명부!G22&lt;&gt;"","퇴사",IF(G22-$B$3&lt;0,"기간종료",G22-$B$3&amp;"일")))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IF(C23="","",DATEDIF(C23,IF(직원명부!G23="",$B$3,MIN($B$3,직원명부!G23)),"Y")&amp;"년 "&amp;DATEDIF(C23,IF(직원명부!G23="",$B$3,MIN($B$3,직원명부!G23)),"YM")&amp;"개월")</f>
        <v/>
      </c>
      <c r="F23" s="26">
        <f>IF(C23="","",IF(DATEDIF(C23,IF(직원명부!G23="",$B$3,MIN($B$3,직원명부!G23)),"Y")&lt;1,C23,EDATE(C23,DATEDIF(C23,IF(직원명부!G23="",$B$3,MIN($B$3,직원명부!G23)),"Y")*12)))</f>
        <v/>
      </c>
      <c r="G23" s="26">
        <f>IF(C23="","",EDATE(C23,(DATEDIF(C23,IF(직원명부!G23="",$B$3,MIN($B$3,직원명부!G23)),"Y")+1)*12)-1)</f>
        <v/>
      </c>
      <c r="H23" s="27">
        <f>IF(C23="","",IF(DATEDIF(C23,IF(직원명부!G23="",$B$3,MIN($B$3,직원명부!G23)),"Y")&lt;1,MIN(11,DATEDIF(C23,IF(직원명부!G23="",$B$3,MIN($B$3,직원명부!G23)),"M")),MIN(25,15+INT((DATEDIF(C23,IF(직원명부!G23="",$B$3,MIN($B$3,직원명부!G23)),"Y")-1)/2))))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IF(C23="","",IF(직원명부!G23&lt;&gt;"","퇴사",IF(G23-$B$3&lt;0,"기간종료",G23-$B$3&amp;"일")))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IF(C24="","",DATEDIF(C24,IF(직원명부!G24="",$B$3,MIN($B$3,직원명부!G24)),"Y")&amp;"년 "&amp;DATEDIF(C24,IF(직원명부!G24="",$B$3,MIN($B$3,직원명부!G24)),"YM")&amp;"개월")</f>
        <v/>
      </c>
      <c r="F24" s="26">
        <f>IF(C24="","",IF(DATEDIF(C24,IF(직원명부!G24="",$B$3,MIN($B$3,직원명부!G24)),"Y")&lt;1,C24,EDATE(C24,DATEDIF(C24,IF(직원명부!G24="",$B$3,MIN($B$3,직원명부!G24)),"Y")*12)))</f>
        <v/>
      </c>
      <c r="G24" s="26">
        <f>IF(C24="","",EDATE(C24,(DATEDIF(C24,IF(직원명부!G24="",$B$3,MIN($B$3,직원명부!G24)),"Y")+1)*12)-1)</f>
        <v/>
      </c>
      <c r="H24" s="27">
        <f>IF(C24="","",IF(DATEDIF(C24,IF(직원명부!G24="",$B$3,MIN($B$3,직원명부!G24)),"Y")&lt;1,MIN(11,DATEDIF(C24,IF(직원명부!G24="",$B$3,MIN($B$3,직원명부!G24)),"M")),MIN(25,15+INT((DATEDIF(C24,IF(직원명부!G24="",$B$3,MIN($B$3,직원명부!G24)),"Y")-1)/2))))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IF(C24="","",IF(직원명부!G24&lt;&gt;"","퇴사",IF(G24-$B$3&lt;0,"기간종료",G24-$B$3&amp;"일")))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</sheetData>
  <dataValidations count="1">
    <dataValidation sqref="L5:L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46296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2026-08-29T13:41:28Z</dcterms:created>
  <dcterms:modified xmlns:dcterms="http://purl.org/dc/terms/" xmlns:xsi="http://www.w3.org/2001/XMLSchema-instance" xsi:type="dcterms:W3CDTF">2026-08-29T13:41:34Z</dcterms:modified>
</cp:coreProperties>
</file>