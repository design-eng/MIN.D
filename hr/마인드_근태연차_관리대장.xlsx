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프로젝트집계" sheetId="7" state="visible" r:id="rId7"/>
    <sheet xmlns:r="http://schemas.openxmlformats.org/officeDocument/2006/relationships" name="보상휴가" sheetId="8" state="visible" r:id="rId8"/>
    <sheet xmlns:r="http://schemas.openxmlformats.org/officeDocument/2006/relationships" name="코드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IF(C5="","",DATEDIF(C5,IF(직원명부!G5="",$B$3,MIN($B$3,직원명부!G5)),"Y")&amp;"년 "&amp;DATEDIF(C5,IF(직원명부!G5="",$B$3,MIN($B$3,직원명부!G5)),"YM")&amp;"개월")</f>
        <v/>
      </c>
      <c r="F5" s="26">
        <f>IF(C5="","",IF(DATEDIF(C5,IF(직원명부!G5="",$B$3,MIN($B$3,직원명부!G5)),"Y")&lt;1,C5,EDATE(C5,DATEDIF(C5,IF(직원명부!G5="",$B$3,MIN($B$3,직원명부!G5)),"Y")*12)))</f>
        <v/>
      </c>
      <c r="G5" s="26">
        <f>IF(C5="","",EDATE(C5,(DATEDIF(C5,IF(직원명부!G5="",$B$3,MIN($B$3,직원명부!G5)),"Y")+1)*12)-1)</f>
        <v/>
      </c>
      <c r="H5" s="27">
        <f>IF(C5="","",IF(DATEDIF(C5,IF(직원명부!G5="",$B$3,MIN($B$3,직원명부!G5)),"Y")&lt;1,MIN(11,DATEDIF(C5,IF(직원명부!G5="",$B$3,MIN($B$3,직원명부!G5)),"M")),MIN(25,15+INT((DATEDIF(C5,IF(직원명부!G5="",$B$3,MIN($B$3,직원명부!G5)),"Y")-1)/2))))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IF(C5="","",IF(직원명부!G5&lt;&gt;"","퇴사",IF(G5-$B$3&lt;0,"기간종료",G5-$B$3&amp;"일")))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IF(C6="","",DATEDIF(C6,IF(직원명부!G6="",$B$3,MIN($B$3,직원명부!G6)),"Y")&amp;"년 "&amp;DATEDIF(C6,IF(직원명부!G6="",$B$3,MIN($B$3,직원명부!G6)),"YM")&amp;"개월")</f>
        <v/>
      </c>
      <c r="F6" s="26">
        <f>IF(C6="","",IF(DATEDIF(C6,IF(직원명부!G6="",$B$3,MIN($B$3,직원명부!G6)),"Y")&lt;1,C6,EDATE(C6,DATEDIF(C6,IF(직원명부!G6="",$B$3,MIN($B$3,직원명부!G6)),"Y")*12)))</f>
        <v/>
      </c>
      <c r="G6" s="26">
        <f>IF(C6="","",EDATE(C6,(DATEDIF(C6,IF(직원명부!G6="",$B$3,MIN($B$3,직원명부!G6)),"Y")+1)*12)-1)</f>
        <v/>
      </c>
      <c r="H6" s="27">
        <f>IF(C6="","",IF(DATEDIF(C6,IF(직원명부!G6="",$B$3,MIN($B$3,직원명부!G6)),"Y")&lt;1,MIN(11,DATEDIF(C6,IF(직원명부!G6="",$B$3,MIN($B$3,직원명부!G6)),"M")),MIN(25,15+INT((DATEDIF(C6,IF(직원명부!G6="",$B$3,MIN($B$3,직원명부!G6)),"Y")-1)/2))))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IF(C6="","",IF(직원명부!G6&lt;&gt;"","퇴사",IF(G6-$B$3&lt;0,"기간종료",G6-$B$3&amp;"일")))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IF(C7="","",DATEDIF(C7,IF(직원명부!G7="",$B$3,MIN($B$3,직원명부!G7)),"Y")&amp;"년 "&amp;DATEDIF(C7,IF(직원명부!G7="",$B$3,MIN($B$3,직원명부!G7)),"YM")&amp;"개월")</f>
        <v/>
      </c>
      <c r="F7" s="26">
        <f>IF(C7="","",IF(DATEDIF(C7,IF(직원명부!G7="",$B$3,MIN($B$3,직원명부!G7)),"Y")&lt;1,C7,EDATE(C7,DATEDIF(C7,IF(직원명부!G7="",$B$3,MIN($B$3,직원명부!G7)),"Y")*12)))</f>
        <v/>
      </c>
      <c r="G7" s="26">
        <f>IF(C7="","",EDATE(C7,(DATEDIF(C7,IF(직원명부!G7="",$B$3,MIN($B$3,직원명부!G7)),"Y")+1)*12)-1)</f>
        <v/>
      </c>
      <c r="H7" s="27">
        <f>IF(C7="","",IF(DATEDIF(C7,IF(직원명부!G7="",$B$3,MIN($B$3,직원명부!G7)),"Y")&lt;1,MIN(11,DATEDIF(C7,IF(직원명부!G7="",$B$3,MIN($B$3,직원명부!G7)),"M")),MIN(25,15+INT((DATEDIF(C7,IF(직원명부!G7="",$B$3,MIN($B$3,직원명부!G7)),"Y")-1)/2))))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IF(C7="","",IF(직원명부!G7&lt;&gt;"","퇴사",IF(G7-$B$3&lt;0,"기간종료",G7-$B$3&amp;"일")))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IF(C8="","",DATEDIF(C8,IF(직원명부!G8="",$B$3,MIN($B$3,직원명부!G8)),"Y")&amp;"년 "&amp;DATEDIF(C8,IF(직원명부!G8="",$B$3,MIN($B$3,직원명부!G8)),"YM")&amp;"개월")</f>
        <v/>
      </c>
      <c r="F8" s="26">
        <f>IF(C8="","",IF(DATEDIF(C8,IF(직원명부!G8="",$B$3,MIN($B$3,직원명부!G8)),"Y")&lt;1,C8,EDATE(C8,DATEDIF(C8,IF(직원명부!G8="",$B$3,MIN($B$3,직원명부!G8)),"Y")*12)))</f>
        <v/>
      </c>
      <c r="G8" s="26">
        <f>IF(C8="","",EDATE(C8,(DATEDIF(C8,IF(직원명부!G8="",$B$3,MIN($B$3,직원명부!G8)),"Y")+1)*12)-1)</f>
        <v/>
      </c>
      <c r="H8" s="27">
        <f>IF(C8="","",IF(DATEDIF(C8,IF(직원명부!G8="",$B$3,MIN($B$3,직원명부!G8)),"Y")&lt;1,MIN(11,DATEDIF(C8,IF(직원명부!G8="",$B$3,MIN($B$3,직원명부!G8)),"M")),MIN(25,15+INT((DATEDIF(C8,IF(직원명부!G8="",$B$3,MIN($B$3,직원명부!G8)),"Y")-1)/2))))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IF(C8="","",IF(직원명부!G8&lt;&gt;"","퇴사",IF(G8-$B$3&lt;0,"기간종료",G8-$B$3&amp;"일")))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IF(C9="","",DATEDIF(C9,IF(직원명부!G9="",$B$3,MIN($B$3,직원명부!G9)),"Y")&amp;"년 "&amp;DATEDIF(C9,IF(직원명부!G9="",$B$3,MIN($B$3,직원명부!G9)),"YM")&amp;"개월")</f>
        <v/>
      </c>
      <c r="F9" s="26">
        <f>IF(C9="","",IF(DATEDIF(C9,IF(직원명부!G9="",$B$3,MIN($B$3,직원명부!G9)),"Y")&lt;1,C9,EDATE(C9,DATEDIF(C9,IF(직원명부!G9="",$B$3,MIN($B$3,직원명부!G9)),"Y")*12)))</f>
        <v/>
      </c>
      <c r="G9" s="26">
        <f>IF(C9="","",EDATE(C9,(DATEDIF(C9,IF(직원명부!G9="",$B$3,MIN($B$3,직원명부!G9)),"Y")+1)*12)-1)</f>
        <v/>
      </c>
      <c r="H9" s="27">
        <f>IF(C9="","",IF(DATEDIF(C9,IF(직원명부!G9="",$B$3,MIN($B$3,직원명부!G9)),"Y")&lt;1,MIN(11,DATEDIF(C9,IF(직원명부!G9="",$B$3,MIN($B$3,직원명부!G9)),"M")),MIN(25,15+INT((DATEDIF(C9,IF(직원명부!G9="",$B$3,MIN($B$3,직원명부!G9)),"Y")-1)/2))))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IF(C9="","",IF(직원명부!G9&lt;&gt;"","퇴사",IF(G9-$B$3&lt;0,"기간종료",G9-$B$3&amp;"일")))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IF(C10="","",DATEDIF(C10,IF(직원명부!G10="",$B$3,MIN($B$3,직원명부!G10)),"Y")&amp;"년 "&amp;DATEDIF(C10,IF(직원명부!G10="",$B$3,MIN($B$3,직원명부!G10)),"YM")&amp;"개월")</f>
        <v/>
      </c>
      <c r="F10" s="26">
        <f>IF(C10="","",IF(DATEDIF(C10,IF(직원명부!G10="",$B$3,MIN($B$3,직원명부!G10)),"Y")&lt;1,C10,EDATE(C10,DATEDIF(C10,IF(직원명부!G10="",$B$3,MIN($B$3,직원명부!G10)),"Y")*12)))</f>
        <v/>
      </c>
      <c r="G10" s="26">
        <f>IF(C10="","",EDATE(C10,(DATEDIF(C10,IF(직원명부!G10="",$B$3,MIN($B$3,직원명부!G10)),"Y")+1)*12)-1)</f>
        <v/>
      </c>
      <c r="H10" s="27">
        <f>IF(C10="","",IF(DATEDIF(C10,IF(직원명부!G10="",$B$3,MIN($B$3,직원명부!G10)),"Y")&lt;1,MIN(11,DATEDIF(C10,IF(직원명부!G10="",$B$3,MIN($B$3,직원명부!G10)),"M")),MIN(25,15+INT((DATEDIF(C10,IF(직원명부!G10="",$B$3,MIN($B$3,직원명부!G10)),"Y")-1)/2))))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IF(C10="","",IF(직원명부!G10&lt;&gt;"","퇴사",IF(G10-$B$3&lt;0,"기간종료",G10-$B$3&amp;"일")))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IF(C11="","",DATEDIF(C11,IF(직원명부!G11="",$B$3,MIN($B$3,직원명부!G11)),"Y")&amp;"년 "&amp;DATEDIF(C11,IF(직원명부!G11="",$B$3,MIN($B$3,직원명부!G11)),"YM")&amp;"개월")</f>
        <v/>
      </c>
      <c r="F11" s="26">
        <f>IF(C11="","",IF(DATEDIF(C11,IF(직원명부!G11="",$B$3,MIN($B$3,직원명부!G11)),"Y")&lt;1,C11,EDATE(C11,DATEDIF(C11,IF(직원명부!G11="",$B$3,MIN($B$3,직원명부!G11)),"Y")*12)))</f>
        <v/>
      </c>
      <c r="G11" s="26">
        <f>IF(C11="","",EDATE(C11,(DATEDIF(C11,IF(직원명부!G11="",$B$3,MIN($B$3,직원명부!G11)),"Y")+1)*12)-1)</f>
        <v/>
      </c>
      <c r="H11" s="27">
        <f>IF(C11="","",IF(DATEDIF(C11,IF(직원명부!G11="",$B$3,MIN($B$3,직원명부!G11)),"Y")&lt;1,MIN(11,DATEDIF(C11,IF(직원명부!G11="",$B$3,MIN($B$3,직원명부!G11)),"M")),MIN(25,15+INT((DATEDIF(C11,IF(직원명부!G11="",$B$3,MIN($B$3,직원명부!G11)),"Y")-1)/2))))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IF(C11="","",IF(직원명부!G11&lt;&gt;"","퇴사",IF(G11-$B$3&lt;0,"기간종료",G11-$B$3&amp;"일")))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IF(C12="","",DATEDIF(C12,IF(직원명부!G12="",$B$3,MIN($B$3,직원명부!G12)),"Y")&amp;"년 "&amp;DATEDIF(C12,IF(직원명부!G12="",$B$3,MIN($B$3,직원명부!G12)),"YM")&amp;"개월")</f>
        <v/>
      </c>
      <c r="F12" s="26">
        <f>IF(C12="","",IF(DATEDIF(C12,IF(직원명부!G12="",$B$3,MIN($B$3,직원명부!G12)),"Y")&lt;1,C12,EDATE(C12,DATEDIF(C12,IF(직원명부!G12="",$B$3,MIN($B$3,직원명부!G12)),"Y")*12)))</f>
        <v/>
      </c>
      <c r="G12" s="26">
        <f>IF(C12="","",EDATE(C12,(DATEDIF(C12,IF(직원명부!G12="",$B$3,MIN($B$3,직원명부!G12)),"Y")+1)*12)-1)</f>
        <v/>
      </c>
      <c r="H12" s="27">
        <f>IF(C12="","",IF(DATEDIF(C12,IF(직원명부!G12="",$B$3,MIN($B$3,직원명부!G12)),"Y")&lt;1,MIN(11,DATEDIF(C12,IF(직원명부!G12="",$B$3,MIN($B$3,직원명부!G12)),"M")),MIN(25,15+INT((DATEDIF(C12,IF(직원명부!G12="",$B$3,MIN($B$3,직원명부!G12)),"Y")-1)/2))))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IF(C12="","",IF(직원명부!G12&lt;&gt;"","퇴사",IF(G12-$B$3&lt;0,"기간종료",G12-$B$3&amp;"일")))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IF(C13="","",DATEDIF(C13,IF(직원명부!G13="",$B$3,MIN($B$3,직원명부!G13)),"Y")&amp;"년 "&amp;DATEDIF(C13,IF(직원명부!G13="",$B$3,MIN($B$3,직원명부!G13)),"YM")&amp;"개월")</f>
        <v/>
      </c>
      <c r="F13" s="26">
        <f>IF(C13="","",IF(DATEDIF(C13,IF(직원명부!G13="",$B$3,MIN($B$3,직원명부!G13)),"Y")&lt;1,C13,EDATE(C13,DATEDIF(C13,IF(직원명부!G13="",$B$3,MIN($B$3,직원명부!G13)),"Y")*12)))</f>
        <v/>
      </c>
      <c r="G13" s="26">
        <f>IF(C13="","",EDATE(C13,(DATEDIF(C13,IF(직원명부!G13="",$B$3,MIN($B$3,직원명부!G13)),"Y")+1)*12)-1)</f>
        <v/>
      </c>
      <c r="H13" s="27">
        <f>IF(C13="","",IF(DATEDIF(C13,IF(직원명부!G13="",$B$3,MIN($B$3,직원명부!G13)),"Y")&lt;1,MIN(11,DATEDIF(C13,IF(직원명부!G13="",$B$3,MIN($B$3,직원명부!G13)),"M")),MIN(25,15+INT((DATEDIF(C13,IF(직원명부!G13="",$B$3,MIN($B$3,직원명부!G13)),"Y")-1)/2))))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IF(C13="","",IF(직원명부!G13&lt;&gt;"","퇴사",IF(G13-$B$3&lt;0,"기간종료",G13-$B$3&amp;"일")))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IF(C14="","",DATEDIF(C14,IF(직원명부!G14="",$B$3,MIN($B$3,직원명부!G14)),"Y")&amp;"년 "&amp;DATEDIF(C14,IF(직원명부!G14="",$B$3,MIN($B$3,직원명부!G14)),"YM")&amp;"개월")</f>
        <v/>
      </c>
      <c r="F14" s="26">
        <f>IF(C14="","",IF(DATEDIF(C14,IF(직원명부!G14="",$B$3,MIN($B$3,직원명부!G14)),"Y")&lt;1,C14,EDATE(C14,DATEDIF(C14,IF(직원명부!G14="",$B$3,MIN($B$3,직원명부!G14)),"Y")*12)))</f>
        <v/>
      </c>
      <c r="G14" s="26">
        <f>IF(C14="","",EDATE(C14,(DATEDIF(C14,IF(직원명부!G14="",$B$3,MIN($B$3,직원명부!G14)),"Y")+1)*12)-1)</f>
        <v/>
      </c>
      <c r="H14" s="27">
        <f>IF(C14="","",IF(DATEDIF(C14,IF(직원명부!G14="",$B$3,MIN($B$3,직원명부!G14)),"Y")&lt;1,MIN(11,DATEDIF(C14,IF(직원명부!G14="",$B$3,MIN($B$3,직원명부!G14)),"M")),MIN(25,15+INT((DATEDIF(C14,IF(직원명부!G14="",$B$3,MIN($B$3,직원명부!G14)),"Y")-1)/2))))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IF(C14="","",IF(직원명부!G14&lt;&gt;"","퇴사",IF(G14-$B$3&lt;0,"기간종료",G14-$B$3&amp;"일")))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IF(C15="","",DATEDIF(C15,IF(직원명부!G15="",$B$3,MIN($B$3,직원명부!G15)),"Y")&amp;"년 "&amp;DATEDIF(C15,IF(직원명부!G15="",$B$3,MIN($B$3,직원명부!G15)),"YM")&amp;"개월")</f>
        <v/>
      </c>
      <c r="F15" s="26">
        <f>IF(C15="","",IF(DATEDIF(C15,IF(직원명부!G15="",$B$3,MIN($B$3,직원명부!G15)),"Y")&lt;1,C15,EDATE(C15,DATEDIF(C15,IF(직원명부!G15="",$B$3,MIN($B$3,직원명부!G15)),"Y")*12)))</f>
        <v/>
      </c>
      <c r="G15" s="26">
        <f>IF(C15="","",EDATE(C15,(DATEDIF(C15,IF(직원명부!G15="",$B$3,MIN($B$3,직원명부!G15)),"Y")+1)*12)-1)</f>
        <v/>
      </c>
      <c r="H15" s="27">
        <f>IF(C15="","",IF(DATEDIF(C15,IF(직원명부!G15="",$B$3,MIN($B$3,직원명부!G15)),"Y")&lt;1,MIN(11,DATEDIF(C15,IF(직원명부!G15="",$B$3,MIN($B$3,직원명부!G15)),"M")),MIN(25,15+INT((DATEDIF(C15,IF(직원명부!G15="",$B$3,MIN($B$3,직원명부!G15)),"Y")-1)/2))))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IF(C15="","",IF(직원명부!G15&lt;&gt;"","퇴사",IF(G15-$B$3&lt;0,"기간종료",G15-$B$3&amp;"일")))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IF(C16="","",DATEDIF(C16,IF(직원명부!G16="",$B$3,MIN($B$3,직원명부!G16)),"Y")&amp;"년 "&amp;DATEDIF(C16,IF(직원명부!G16="",$B$3,MIN($B$3,직원명부!G16)),"YM")&amp;"개월")</f>
        <v/>
      </c>
      <c r="F16" s="26">
        <f>IF(C16="","",IF(DATEDIF(C16,IF(직원명부!G16="",$B$3,MIN($B$3,직원명부!G16)),"Y")&lt;1,C16,EDATE(C16,DATEDIF(C16,IF(직원명부!G16="",$B$3,MIN($B$3,직원명부!G16)),"Y")*12)))</f>
        <v/>
      </c>
      <c r="G16" s="26">
        <f>IF(C16="","",EDATE(C16,(DATEDIF(C16,IF(직원명부!G16="",$B$3,MIN($B$3,직원명부!G16)),"Y")+1)*12)-1)</f>
        <v/>
      </c>
      <c r="H16" s="27">
        <f>IF(C16="","",IF(DATEDIF(C16,IF(직원명부!G16="",$B$3,MIN($B$3,직원명부!G16)),"Y")&lt;1,MIN(11,DATEDIF(C16,IF(직원명부!G16="",$B$3,MIN($B$3,직원명부!G16)),"M")),MIN(25,15+INT((DATEDIF(C16,IF(직원명부!G16="",$B$3,MIN($B$3,직원명부!G16)),"Y")-1)/2))))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IF(C16="","",IF(직원명부!G16&lt;&gt;"","퇴사",IF(G16-$B$3&lt;0,"기간종료",G16-$B$3&amp;"일")))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IF(C17="","",DATEDIF(C17,IF(직원명부!G17="",$B$3,MIN($B$3,직원명부!G17)),"Y")&amp;"년 "&amp;DATEDIF(C17,IF(직원명부!G17="",$B$3,MIN($B$3,직원명부!G17)),"YM")&amp;"개월")</f>
        <v/>
      </c>
      <c r="F17" s="26">
        <f>IF(C17="","",IF(DATEDIF(C17,IF(직원명부!G17="",$B$3,MIN($B$3,직원명부!G17)),"Y")&lt;1,C17,EDATE(C17,DATEDIF(C17,IF(직원명부!G17="",$B$3,MIN($B$3,직원명부!G17)),"Y")*12)))</f>
        <v/>
      </c>
      <c r="G17" s="26">
        <f>IF(C17="","",EDATE(C17,(DATEDIF(C17,IF(직원명부!G17="",$B$3,MIN($B$3,직원명부!G17)),"Y")+1)*12)-1)</f>
        <v/>
      </c>
      <c r="H17" s="27">
        <f>IF(C17="","",IF(DATEDIF(C17,IF(직원명부!G17="",$B$3,MIN($B$3,직원명부!G17)),"Y")&lt;1,MIN(11,DATEDIF(C17,IF(직원명부!G17="",$B$3,MIN($B$3,직원명부!G17)),"M")),MIN(25,15+INT((DATEDIF(C17,IF(직원명부!G17="",$B$3,MIN($B$3,직원명부!G17)),"Y")-1)/2))))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IF(C17="","",IF(직원명부!G17&lt;&gt;"","퇴사",IF(G17-$B$3&lt;0,"기간종료",G17-$B$3&amp;"일")))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IF(C18="","",DATEDIF(C18,IF(직원명부!G18="",$B$3,MIN($B$3,직원명부!G18)),"Y")&amp;"년 "&amp;DATEDIF(C18,IF(직원명부!G18="",$B$3,MIN($B$3,직원명부!G18)),"YM")&amp;"개월")</f>
        <v/>
      </c>
      <c r="F18" s="26">
        <f>IF(C18="","",IF(DATEDIF(C18,IF(직원명부!G18="",$B$3,MIN($B$3,직원명부!G18)),"Y")&lt;1,C18,EDATE(C18,DATEDIF(C18,IF(직원명부!G18="",$B$3,MIN($B$3,직원명부!G18)),"Y")*12)))</f>
        <v/>
      </c>
      <c r="G18" s="26">
        <f>IF(C18="","",EDATE(C18,(DATEDIF(C18,IF(직원명부!G18="",$B$3,MIN($B$3,직원명부!G18)),"Y")+1)*12)-1)</f>
        <v/>
      </c>
      <c r="H18" s="27">
        <f>IF(C18="","",IF(DATEDIF(C18,IF(직원명부!G18="",$B$3,MIN($B$3,직원명부!G18)),"Y")&lt;1,MIN(11,DATEDIF(C18,IF(직원명부!G18="",$B$3,MIN($B$3,직원명부!G18)),"M")),MIN(25,15+INT((DATEDIF(C18,IF(직원명부!G18="",$B$3,MIN($B$3,직원명부!G18)),"Y")-1)/2))))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IF(C18="","",IF(직원명부!G18&lt;&gt;"","퇴사",IF(G18-$B$3&lt;0,"기간종료",G18-$B$3&amp;"일")))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IF(C19="","",DATEDIF(C19,IF(직원명부!G19="",$B$3,MIN($B$3,직원명부!G19)),"Y")&amp;"년 "&amp;DATEDIF(C19,IF(직원명부!G19="",$B$3,MIN($B$3,직원명부!G19)),"YM")&amp;"개월")</f>
        <v/>
      </c>
      <c r="F19" s="26">
        <f>IF(C19="","",IF(DATEDIF(C19,IF(직원명부!G19="",$B$3,MIN($B$3,직원명부!G19)),"Y")&lt;1,C19,EDATE(C19,DATEDIF(C19,IF(직원명부!G19="",$B$3,MIN($B$3,직원명부!G19)),"Y")*12)))</f>
        <v/>
      </c>
      <c r="G19" s="26">
        <f>IF(C19="","",EDATE(C19,(DATEDIF(C19,IF(직원명부!G19="",$B$3,MIN($B$3,직원명부!G19)),"Y")+1)*12)-1)</f>
        <v/>
      </c>
      <c r="H19" s="27">
        <f>IF(C19="","",IF(DATEDIF(C19,IF(직원명부!G19="",$B$3,MIN($B$3,직원명부!G19)),"Y")&lt;1,MIN(11,DATEDIF(C19,IF(직원명부!G19="",$B$3,MIN($B$3,직원명부!G19)),"M")),MIN(25,15+INT((DATEDIF(C19,IF(직원명부!G19="",$B$3,MIN($B$3,직원명부!G19)),"Y")-1)/2))))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IF(C19="","",IF(직원명부!G19&lt;&gt;"","퇴사",IF(G19-$B$3&lt;0,"기간종료",G19-$B$3&amp;"일")))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IF(C20="","",DATEDIF(C20,IF(직원명부!G20="",$B$3,MIN($B$3,직원명부!G20)),"Y")&amp;"년 "&amp;DATEDIF(C20,IF(직원명부!G20="",$B$3,MIN($B$3,직원명부!G20)),"YM")&amp;"개월")</f>
        <v/>
      </c>
      <c r="F20" s="26">
        <f>IF(C20="","",IF(DATEDIF(C20,IF(직원명부!G20="",$B$3,MIN($B$3,직원명부!G20)),"Y")&lt;1,C20,EDATE(C20,DATEDIF(C20,IF(직원명부!G20="",$B$3,MIN($B$3,직원명부!G20)),"Y")*12)))</f>
        <v/>
      </c>
      <c r="G20" s="26">
        <f>IF(C20="","",EDATE(C20,(DATEDIF(C20,IF(직원명부!G20="",$B$3,MIN($B$3,직원명부!G20)),"Y")+1)*12)-1)</f>
        <v/>
      </c>
      <c r="H20" s="27">
        <f>IF(C20="","",IF(DATEDIF(C20,IF(직원명부!G20="",$B$3,MIN($B$3,직원명부!G20)),"Y")&lt;1,MIN(11,DATEDIF(C20,IF(직원명부!G20="",$B$3,MIN($B$3,직원명부!G20)),"M")),MIN(25,15+INT((DATEDIF(C20,IF(직원명부!G20="",$B$3,MIN($B$3,직원명부!G20)),"Y")-1)/2))))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IF(C20="","",IF(직원명부!G20&lt;&gt;"","퇴사",IF(G20-$B$3&lt;0,"기간종료",G20-$B$3&amp;"일")))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IF(C21="","",DATEDIF(C21,IF(직원명부!G21="",$B$3,MIN($B$3,직원명부!G21)),"Y")&amp;"년 "&amp;DATEDIF(C21,IF(직원명부!G21="",$B$3,MIN($B$3,직원명부!G21)),"YM")&amp;"개월")</f>
        <v/>
      </c>
      <c r="F21" s="26">
        <f>IF(C21="","",IF(DATEDIF(C21,IF(직원명부!G21="",$B$3,MIN($B$3,직원명부!G21)),"Y")&lt;1,C21,EDATE(C21,DATEDIF(C21,IF(직원명부!G21="",$B$3,MIN($B$3,직원명부!G21)),"Y")*12)))</f>
        <v/>
      </c>
      <c r="G21" s="26">
        <f>IF(C21="","",EDATE(C21,(DATEDIF(C21,IF(직원명부!G21="",$B$3,MIN($B$3,직원명부!G21)),"Y")+1)*12)-1)</f>
        <v/>
      </c>
      <c r="H21" s="27">
        <f>IF(C21="","",IF(DATEDIF(C21,IF(직원명부!G21="",$B$3,MIN($B$3,직원명부!G21)),"Y")&lt;1,MIN(11,DATEDIF(C21,IF(직원명부!G21="",$B$3,MIN($B$3,직원명부!G21)),"M")),MIN(25,15+INT((DATEDIF(C21,IF(직원명부!G21="",$B$3,MIN($B$3,직원명부!G21)),"Y")-1)/2))))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IF(C21="","",IF(직원명부!G21&lt;&gt;"","퇴사",IF(G21-$B$3&lt;0,"기간종료",G21-$B$3&amp;"일")))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IF(C22="","",DATEDIF(C22,IF(직원명부!G22="",$B$3,MIN($B$3,직원명부!G22)),"Y")&amp;"년 "&amp;DATEDIF(C22,IF(직원명부!G22="",$B$3,MIN($B$3,직원명부!G22)),"YM")&amp;"개월")</f>
        <v/>
      </c>
      <c r="F22" s="26">
        <f>IF(C22="","",IF(DATEDIF(C22,IF(직원명부!G22="",$B$3,MIN($B$3,직원명부!G22)),"Y")&lt;1,C22,EDATE(C22,DATEDIF(C22,IF(직원명부!G22="",$B$3,MIN($B$3,직원명부!G22)),"Y")*12)))</f>
        <v/>
      </c>
      <c r="G22" s="26">
        <f>IF(C22="","",EDATE(C22,(DATEDIF(C22,IF(직원명부!G22="",$B$3,MIN($B$3,직원명부!G22)),"Y")+1)*12)-1)</f>
        <v/>
      </c>
      <c r="H22" s="27">
        <f>IF(C22="","",IF(DATEDIF(C22,IF(직원명부!G22="",$B$3,MIN($B$3,직원명부!G22)),"Y")&lt;1,MIN(11,DATEDIF(C22,IF(직원명부!G22="",$B$3,MIN($B$3,직원명부!G22)),"M")),MIN(25,15+INT((DATEDIF(C22,IF(직원명부!G22="",$B$3,MIN($B$3,직원명부!G22)),"Y")-1)/2))))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IF(C22="","",IF(직원명부!G22&lt;&gt;"","퇴사",IF(G22-$B$3&lt;0,"기간종료",G22-$B$3&amp;"일")))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IF(C23="","",DATEDIF(C23,IF(직원명부!G23="",$B$3,MIN($B$3,직원명부!G23)),"Y")&amp;"년 "&amp;DATEDIF(C23,IF(직원명부!G23="",$B$3,MIN($B$3,직원명부!G23)),"YM")&amp;"개월")</f>
        <v/>
      </c>
      <c r="F23" s="26">
        <f>IF(C23="","",IF(DATEDIF(C23,IF(직원명부!G23="",$B$3,MIN($B$3,직원명부!G23)),"Y")&lt;1,C23,EDATE(C23,DATEDIF(C23,IF(직원명부!G23="",$B$3,MIN($B$3,직원명부!G23)),"Y")*12)))</f>
        <v/>
      </c>
      <c r="G23" s="26">
        <f>IF(C23="","",EDATE(C23,(DATEDIF(C23,IF(직원명부!G23="",$B$3,MIN($B$3,직원명부!G23)),"Y")+1)*12)-1)</f>
        <v/>
      </c>
      <c r="H23" s="27">
        <f>IF(C23="","",IF(DATEDIF(C23,IF(직원명부!G23="",$B$3,MIN($B$3,직원명부!G23)),"Y")&lt;1,MIN(11,DATEDIF(C23,IF(직원명부!G23="",$B$3,MIN($B$3,직원명부!G23)),"M")),MIN(25,15+INT((DATEDIF(C23,IF(직원명부!G23="",$B$3,MIN($B$3,직원명부!G23)),"Y")-1)/2))))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IF(C23="","",IF(직원명부!G23&lt;&gt;"","퇴사",IF(G23-$B$3&lt;0,"기간종료",G23-$B$3&amp;"일")))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IF(C24="","",DATEDIF(C24,IF(직원명부!G24="",$B$3,MIN($B$3,직원명부!G24)),"Y")&amp;"년 "&amp;DATEDIF(C24,IF(직원명부!G24="",$B$3,MIN($B$3,직원명부!G24)),"YM")&amp;"개월")</f>
        <v/>
      </c>
      <c r="F24" s="26">
        <f>IF(C24="","",IF(DATEDIF(C24,IF(직원명부!G24="",$B$3,MIN($B$3,직원명부!G24)),"Y")&lt;1,C24,EDATE(C24,DATEDIF(C24,IF(직원명부!G24="",$B$3,MIN($B$3,직원명부!G24)),"Y")*12)))</f>
        <v/>
      </c>
      <c r="G24" s="26">
        <f>IF(C24="","",EDATE(C24,(DATEDIF(C24,IF(직원명부!G24="",$B$3,MIN($B$3,직원명부!G24)),"Y")+1)*12)-1)</f>
        <v/>
      </c>
      <c r="H24" s="27">
        <f>IF(C24="","",IF(DATEDIF(C24,IF(직원명부!G24="",$B$3,MIN($B$3,직원명부!G24)),"Y")&lt;1,MIN(11,DATEDIF(C24,IF(직원명부!G24="",$B$3,MIN($B$3,직원명부!G24)),"M")),MIN(25,15+INT((DATEDIF(C24,IF(직원명부!G24="",$B$3,MIN($B$3,직원명부!G24)),"Y")-1)/2))))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IF(C24="","",IF(직원명부!G24&lt;&gt;"","퇴사",IF(G24-$B$3&lt;0,"기간종료",G24-$B$3&amp;"일")))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0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9" t="n">
        <v>46034</v>
      </c>
      <c r="B5" s="25">
        <f>IF(A5="","",CHOOSE(WEEKDAY(A5,2),"월","화","수","목","금","토","일"))</f>
        <v/>
      </c>
      <c r="C5" s="18" t="inlineStr">
        <is>
          <t>M001</t>
        </is>
      </c>
      <c r="D5" s="25">
        <f>IFERROR(IF(C5="","",INDEX(직원명부!$B$5:$B$24,MATCH(C5,직원명부!$A$5:$A$24,0))),"사번 확인")</f>
        <v/>
      </c>
      <c r="E5" s="34" t="n">
        <v>0.375</v>
      </c>
      <c r="F5" s="34" t="n">
        <v>0.75</v>
      </c>
      <c r="G5" s="28" t="n">
        <v>1</v>
      </c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8" t="inlineStr">
        <is>
          <t>정상</t>
        </is>
      </c>
      <c r="M5" s="12" t="n"/>
      <c r="N5" s="17" t="n"/>
    </row>
    <row r="6">
      <c r="A6" s="19" t="n">
        <v>46035</v>
      </c>
      <c r="B6" s="25">
        <f>IF(A6="","",CHOOSE(WEEKDAY(A6,2),"월","화","수","목","금","토","일"))</f>
        <v/>
      </c>
      <c r="C6" s="18" t="inlineStr">
        <is>
          <t>M001</t>
        </is>
      </c>
      <c r="D6" s="25">
        <f>IFERROR(IF(C6="","",INDEX(직원명부!$B$5:$B$24,MATCH(C6,직원명부!$A$5:$A$24,0))),"사번 확인")</f>
        <v/>
      </c>
      <c r="E6" s="34" t="n">
        <v>0.375</v>
      </c>
      <c r="F6" s="34" t="n">
        <v>0.75</v>
      </c>
      <c r="G6" s="28" t="n">
        <v>1</v>
      </c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inlineStr">
        <is>
          <t>정상</t>
        </is>
      </c>
      <c r="M6" s="18" t="n"/>
      <c r="N6" s="22" t="n"/>
    </row>
    <row r="7">
      <c r="A7" s="19" t="n">
        <v>46036</v>
      </c>
      <c r="B7" s="25">
        <f>IF(A7="","",CHOOSE(WEEKDAY(A7,2),"월","화","수","목","금","토","일"))</f>
        <v/>
      </c>
      <c r="C7" s="18" t="inlineStr">
        <is>
          <t>M001</t>
        </is>
      </c>
      <c r="D7" s="25">
        <f>IFERROR(IF(C7="","",INDEX(직원명부!$B$5:$B$24,MATCH(C7,직원명부!$A$5:$A$24,0))),"사번 확인")</f>
        <v/>
      </c>
      <c r="E7" s="34" t="n">
        <v>0.375</v>
      </c>
      <c r="F7" s="34" t="n">
        <v>0.75</v>
      </c>
      <c r="G7" s="28" t="n">
        <v>1</v>
      </c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inlineStr">
        <is>
          <t>정상</t>
        </is>
      </c>
      <c r="M7" s="18" t="n"/>
      <c r="N7" s="22" t="n"/>
    </row>
    <row r="8">
      <c r="A8" s="19" t="n">
        <v>46037</v>
      </c>
      <c r="B8" s="25">
        <f>IF(A8="","",CHOOSE(WEEKDAY(A8,2),"월","화","수","목","금","토","일"))</f>
        <v/>
      </c>
      <c r="C8" s="18" t="inlineStr">
        <is>
          <t>M001</t>
        </is>
      </c>
      <c r="D8" s="25">
        <f>IFERROR(IF(C8="","",INDEX(직원명부!$B$5:$B$24,MATCH(C8,직원명부!$A$5:$A$24,0))),"사번 확인")</f>
        <v/>
      </c>
      <c r="E8" s="34" t="n">
        <v>0.375</v>
      </c>
      <c r="F8" s="34" t="n">
        <v>0.75</v>
      </c>
      <c r="G8" s="28" t="n">
        <v>1</v>
      </c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inlineStr">
        <is>
          <t>정상</t>
        </is>
      </c>
      <c r="M8" s="18" t="n"/>
      <c r="N8" s="22" t="n"/>
    </row>
    <row r="9">
      <c r="A9" s="19" t="n">
        <v>46038</v>
      </c>
      <c r="B9" s="25">
        <f>IF(A9="","",CHOOSE(WEEKDAY(A9,2),"월","화","수","목","금","토","일"))</f>
        <v/>
      </c>
      <c r="C9" s="18" t="inlineStr">
        <is>
          <t>M001</t>
        </is>
      </c>
      <c r="D9" s="25">
        <f>IFERROR(IF(C9="","",INDEX(직원명부!$B$5:$B$24,MATCH(C9,직원명부!$A$5:$A$24,0))),"사번 확인")</f>
        <v/>
      </c>
      <c r="E9" s="34" t="n">
        <v>0.375</v>
      </c>
      <c r="F9" s="34" t="n">
        <v>0.75</v>
      </c>
      <c r="G9" s="28" t="n">
        <v>1</v>
      </c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inlineStr">
        <is>
          <t>정상</t>
        </is>
      </c>
      <c r="M9" s="18" t="n"/>
      <c r="N9" s="22" t="n"/>
    </row>
    <row r="10">
      <c r="A10" s="19" t="n">
        <v>46039</v>
      </c>
      <c r="B10" s="25">
        <f>IF(A10="","",CHOOSE(WEEKDAY(A10,2),"월","화","수","목","금","토","일"))</f>
        <v/>
      </c>
      <c r="C10" s="18" t="inlineStr">
        <is>
          <t>M001</t>
        </is>
      </c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42" t="inlineStr">
        <is>
          <t>주말</t>
        </is>
      </c>
    </row>
    <row r="11">
      <c r="A11" s="19" t="n">
        <v>46040</v>
      </c>
      <c r="B11" s="25">
        <f>IF(A11="","",CHOOSE(WEEKDAY(A11,2),"월","화","수","목","금","토","일"))</f>
        <v/>
      </c>
      <c r="C11" s="18" t="inlineStr">
        <is>
          <t>M001</t>
        </is>
      </c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42" t="inlineStr">
        <is>
          <t>주말</t>
        </is>
      </c>
    </row>
    <row r="12">
      <c r="A12" s="19" t="n">
        <v>46041</v>
      </c>
      <c r="B12" s="25">
        <f>IF(A12="","",CHOOSE(WEEKDAY(A12,2),"월","화","수","목","금","토","일"))</f>
        <v/>
      </c>
      <c r="C12" s="18" t="inlineStr">
        <is>
          <t>M001</t>
        </is>
      </c>
      <c r="D12" s="25">
        <f>IFERROR(IF(C12="","",INDEX(직원명부!$B$5:$B$24,MATCH(C12,직원명부!$A$5:$A$24,0))),"사번 확인")</f>
        <v/>
      </c>
      <c r="E12" s="34" t="n">
        <v>0.375</v>
      </c>
      <c r="F12" s="34" t="n">
        <v>0.75</v>
      </c>
      <c r="G12" s="28" t="n">
        <v>1</v>
      </c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inlineStr">
        <is>
          <t>정상</t>
        </is>
      </c>
      <c r="M12" s="18" t="n"/>
      <c r="N12" s="22" t="n"/>
    </row>
    <row r="13">
      <c r="A13" s="19" t="n">
        <v>46042</v>
      </c>
      <c r="B13" s="25">
        <f>IF(A13="","",CHOOSE(WEEKDAY(A13,2),"월","화","수","목","금","토","일"))</f>
        <v/>
      </c>
      <c r="C13" s="18" t="inlineStr">
        <is>
          <t>M001</t>
        </is>
      </c>
      <c r="D13" s="25">
        <f>IFERROR(IF(C13="","",INDEX(직원명부!$B$5:$B$24,MATCH(C13,직원명부!$A$5:$A$24,0))),"사번 확인")</f>
        <v/>
      </c>
      <c r="E13" s="34" t="n">
        <v>0.375</v>
      </c>
      <c r="F13" s="34" t="n">
        <v>0.75</v>
      </c>
      <c r="G13" s="28" t="n">
        <v>1</v>
      </c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inlineStr">
        <is>
          <t>정상</t>
        </is>
      </c>
      <c r="M13" s="18" t="n"/>
      <c r="N13" s="22" t="n"/>
    </row>
    <row r="14">
      <c r="A14" s="19" t="n">
        <v>46043</v>
      </c>
      <c r="B14" s="25">
        <f>IF(A14="","",CHOOSE(WEEKDAY(A14,2),"월","화","수","목","금","토","일"))</f>
        <v/>
      </c>
      <c r="C14" s="18" t="inlineStr">
        <is>
          <t>M001</t>
        </is>
      </c>
      <c r="D14" s="25">
        <f>IFERROR(IF(C14="","",INDEX(직원명부!$B$5:$B$24,MATCH(C14,직원명부!$A$5:$A$24,0))),"사번 확인")</f>
        <v/>
      </c>
      <c r="E14" s="34" t="n">
        <v>0.375</v>
      </c>
      <c r="F14" s="34" t="n">
        <v>0.75</v>
      </c>
      <c r="G14" s="28" t="n">
        <v>1</v>
      </c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inlineStr">
        <is>
          <t>정상</t>
        </is>
      </c>
      <c r="M14" s="18" t="n"/>
      <c r="N14" s="22" t="n"/>
    </row>
    <row r="15">
      <c r="A15" s="19" t="n">
        <v>46044</v>
      </c>
      <c r="B15" s="25">
        <f>IF(A15="","",CHOOSE(WEEKDAY(A15,2),"월","화","수","목","금","토","일"))</f>
        <v/>
      </c>
      <c r="C15" s="18" t="inlineStr">
        <is>
          <t>M001</t>
        </is>
      </c>
      <c r="D15" s="25">
        <f>IFERROR(IF(C15="","",INDEX(직원명부!$B$5:$B$24,MATCH(C15,직원명부!$A$5:$A$24,0))),"사번 확인")</f>
        <v/>
      </c>
      <c r="E15" s="34" t="n">
        <v>0.375</v>
      </c>
      <c r="F15" s="34" t="n">
        <v>0.75</v>
      </c>
      <c r="G15" s="28" t="n">
        <v>1</v>
      </c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inlineStr">
        <is>
          <t>정상</t>
        </is>
      </c>
      <c r="M15" s="18" t="n"/>
      <c r="N15" s="22" t="n"/>
    </row>
    <row r="16">
      <c r="A16" s="19" t="n">
        <v>46045</v>
      </c>
      <c r="B16" s="25">
        <f>IF(A16="","",CHOOSE(WEEKDAY(A16,2),"월","화","수","목","금","토","일"))</f>
        <v/>
      </c>
      <c r="C16" s="18" t="inlineStr">
        <is>
          <t>M001</t>
        </is>
      </c>
      <c r="D16" s="25">
        <f>IFERROR(IF(C16="","",INDEX(직원명부!$B$5:$B$24,MATCH(C16,직원명부!$A$5:$A$24,0))),"사번 확인")</f>
        <v/>
      </c>
      <c r="E16" s="34" t="n">
        <v>0.375</v>
      </c>
      <c r="F16" s="34" t="n">
        <v>0.75</v>
      </c>
      <c r="G16" s="28" t="n">
        <v>1</v>
      </c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inlineStr">
        <is>
          <t>정상</t>
        </is>
      </c>
      <c r="M16" s="18" t="n"/>
      <c r="N16" s="22" t="n"/>
    </row>
    <row r="17">
      <c r="A17" s="19" t="n">
        <v>46046</v>
      </c>
      <c r="B17" s="25">
        <f>IF(A17="","",CHOOSE(WEEKDAY(A17,2),"월","화","수","목","금","토","일"))</f>
        <v/>
      </c>
      <c r="C17" s="18" t="inlineStr">
        <is>
          <t>M001</t>
        </is>
      </c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42" t="inlineStr">
        <is>
          <t>주말</t>
        </is>
      </c>
    </row>
    <row r="18">
      <c r="A18" s="19" t="n">
        <v>46047</v>
      </c>
      <c r="B18" s="25">
        <f>IF(A18="","",CHOOSE(WEEKDAY(A18,2),"월","화","수","목","금","토","일"))</f>
        <v/>
      </c>
      <c r="C18" s="18" t="inlineStr">
        <is>
          <t>M001</t>
        </is>
      </c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42" t="inlineStr">
        <is>
          <t>주말</t>
        </is>
      </c>
    </row>
    <row r="19">
      <c r="A19" s="19" t="n">
        <v>46048</v>
      </c>
      <c r="B19" s="25">
        <f>IF(A19="","",CHOOSE(WEEKDAY(A19,2),"월","화","수","목","금","토","일"))</f>
        <v/>
      </c>
      <c r="C19" s="18" t="inlineStr">
        <is>
          <t>M001</t>
        </is>
      </c>
      <c r="D19" s="25">
        <f>IFERROR(IF(C19="","",INDEX(직원명부!$B$5:$B$24,MATCH(C19,직원명부!$A$5:$A$24,0))),"사번 확인")</f>
        <v/>
      </c>
      <c r="E19" s="34" t="n">
        <v>0.375</v>
      </c>
      <c r="F19" s="34" t="n">
        <v>0.75</v>
      </c>
      <c r="G19" s="28" t="n">
        <v>1</v>
      </c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inlineStr">
        <is>
          <t>정상</t>
        </is>
      </c>
      <c r="M19" s="18" t="n"/>
      <c r="N19" s="22" t="n"/>
    </row>
    <row r="20">
      <c r="A20" s="19" t="n">
        <v>46049</v>
      </c>
      <c r="B20" s="25">
        <f>IF(A20="","",CHOOSE(WEEKDAY(A20,2),"월","화","수","목","금","토","일"))</f>
        <v/>
      </c>
      <c r="C20" s="18" t="inlineStr">
        <is>
          <t>M001</t>
        </is>
      </c>
      <c r="D20" s="25">
        <f>IFERROR(IF(C20="","",INDEX(직원명부!$B$5:$B$24,MATCH(C20,직원명부!$A$5:$A$24,0))),"사번 확인")</f>
        <v/>
      </c>
      <c r="E20" s="34" t="n">
        <v>0.375</v>
      </c>
      <c r="F20" s="34" t="n">
        <v>0.75</v>
      </c>
      <c r="G20" s="28" t="n">
        <v>1</v>
      </c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inlineStr">
        <is>
          <t>정상</t>
        </is>
      </c>
      <c r="M20" s="18" t="n"/>
      <c r="N20" s="22" t="n"/>
    </row>
    <row r="21">
      <c r="A21" s="19" t="n">
        <v>46050</v>
      </c>
      <c r="B21" s="25">
        <f>IF(A21="","",CHOOSE(WEEKDAY(A21,2),"월","화","수","목","금","토","일"))</f>
        <v/>
      </c>
      <c r="C21" s="18" t="inlineStr">
        <is>
          <t>M001</t>
        </is>
      </c>
      <c r="D21" s="25">
        <f>IFERROR(IF(C21="","",INDEX(직원명부!$B$5:$B$24,MATCH(C21,직원명부!$A$5:$A$24,0))),"사번 확인")</f>
        <v/>
      </c>
      <c r="E21" s="34" t="n">
        <v>0.375</v>
      </c>
      <c r="F21" s="34" t="n">
        <v>0.75</v>
      </c>
      <c r="G21" s="28" t="n">
        <v>1</v>
      </c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inlineStr">
        <is>
          <t>정상</t>
        </is>
      </c>
      <c r="M21" s="18" t="n"/>
      <c r="N21" s="22" t="n"/>
    </row>
    <row r="22">
      <c r="A22" s="19" t="n">
        <v>46051</v>
      </c>
      <c r="B22" s="25">
        <f>IF(A22="","",CHOOSE(WEEKDAY(A22,2),"월","화","수","목","금","토","일"))</f>
        <v/>
      </c>
      <c r="C22" s="18" t="inlineStr">
        <is>
          <t>M001</t>
        </is>
      </c>
      <c r="D22" s="25">
        <f>IFERROR(IF(C22="","",INDEX(직원명부!$B$5:$B$24,MATCH(C22,직원명부!$A$5:$A$24,0))),"사번 확인")</f>
        <v/>
      </c>
      <c r="E22" s="34" t="n">
        <v>0.375</v>
      </c>
      <c r="F22" s="34" t="n">
        <v>0.75</v>
      </c>
      <c r="G22" s="28" t="n">
        <v>1</v>
      </c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inlineStr">
        <is>
          <t>정상</t>
        </is>
      </c>
      <c r="M22" s="18" t="n"/>
      <c r="N22" s="22" t="n"/>
    </row>
    <row r="23">
      <c r="A23" s="19" t="n">
        <v>46052</v>
      </c>
      <c r="B23" s="25">
        <f>IF(A23="","",CHOOSE(WEEKDAY(A23,2),"월","화","수","목","금","토","일"))</f>
        <v/>
      </c>
      <c r="C23" s="18" t="inlineStr">
        <is>
          <t>M001</t>
        </is>
      </c>
      <c r="D23" s="25">
        <f>IFERROR(IF(C23="","",INDEX(직원명부!$B$5:$B$24,MATCH(C23,직원명부!$A$5:$A$24,0))),"사번 확인")</f>
        <v/>
      </c>
      <c r="E23" s="34" t="n">
        <v>0.375</v>
      </c>
      <c r="F23" s="34" t="n">
        <v>0.75</v>
      </c>
      <c r="G23" s="28" t="n">
        <v>1</v>
      </c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inlineStr">
        <is>
          <t>정상</t>
        </is>
      </c>
      <c r="M23" s="18" t="n"/>
      <c r="N23" s="22" t="n"/>
    </row>
    <row r="24">
      <c r="A24" s="19" t="n">
        <v>46053</v>
      </c>
      <c r="B24" s="25">
        <f>IF(A24="","",CHOOSE(WEEKDAY(A24,2),"월","화","수","목","금","토","일"))</f>
        <v/>
      </c>
      <c r="C24" s="18" t="inlineStr">
        <is>
          <t>M001</t>
        </is>
      </c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42" t="inlineStr">
        <is>
          <t>주말</t>
        </is>
      </c>
    </row>
    <row r="25">
      <c r="A25" s="19" t="n">
        <v>46054</v>
      </c>
      <c r="B25" s="25">
        <f>IF(A25="","",CHOOSE(WEEKDAY(A25,2),"월","화","수","목","금","토","일"))</f>
        <v/>
      </c>
      <c r="C25" s="18" t="inlineStr">
        <is>
          <t>M001</t>
        </is>
      </c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42" t="inlineStr">
        <is>
          <t>주말</t>
        </is>
      </c>
    </row>
    <row r="26">
      <c r="A26" s="19" t="n">
        <v>46055</v>
      </c>
      <c r="B26" s="25">
        <f>IF(A26="","",CHOOSE(WEEKDAY(A26,2),"월","화","수","목","금","토","일"))</f>
        <v/>
      </c>
      <c r="C26" s="18" t="inlineStr">
        <is>
          <t>M001</t>
        </is>
      </c>
      <c r="D26" s="25">
        <f>IFERROR(IF(C26="","",INDEX(직원명부!$B$5:$B$24,MATCH(C26,직원명부!$A$5:$A$24,0))),"사번 확인")</f>
        <v/>
      </c>
      <c r="E26" s="34" t="n">
        <v>0.375</v>
      </c>
      <c r="F26" s="34" t="n">
        <v>0.75</v>
      </c>
      <c r="G26" s="28" t="n">
        <v>1</v>
      </c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inlineStr">
        <is>
          <t>정상</t>
        </is>
      </c>
      <c r="M26" s="18" t="n"/>
      <c r="N26" s="22" t="n"/>
    </row>
    <row r="27">
      <c r="A27" s="19" t="n">
        <v>46056</v>
      </c>
      <c r="B27" s="25">
        <f>IF(A27="","",CHOOSE(WEEKDAY(A27,2),"월","화","수","목","금","토","일"))</f>
        <v/>
      </c>
      <c r="C27" s="18" t="inlineStr">
        <is>
          <t>M001</t>
        </is>
      </c>
      <c r="D27" s="25">
        <f>IFERROR(IF(C27="","",INDEX(직원명부!$B$5:$B$24,MATCH(C27,직원명부!$A$5:$A$24,0))),"사번 확인")</f>
        <v/>
      </c>
      <c r="E27" s="34" t="n">
        <v>0.375</v>
      </c>
      <c r="F27" s="34" t="n">
        <v>0.75</v>
      </c>
      <c r="G27" s="28" t="n">
        <v>1</v>
      </c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inlineStr">
        <is>
          <t>정상</t>
        </is>
      </c>
      <c r="M27" s="18" t="n"/>
      <c r="N27" s="22" t="n"/>
    </row>
    <row r="28">
      <c r="A28" s="19" t="n">
        <v>46057</v>
      </c>
      <c r="B28" s="25">
        <f>IF(A28="","",CHOOSE(WEEKDAY(A28,2),"월","화","수","목","금","토","일"))</f>
        <v/>
      </c>
      <c r="C28" s="18" t="inlineStr">
        <is>
          <t>M001</t>
        </is>
      </c>
      <c r="D28" s="25">
        <f>IFERROR(IF(C28="","",INDEX(직원명부!$B$5:$B$24,MATCH(C28,직원명부!$A$5:$A$24,0))),"사번 확인")</f>
        <v/>
      </c>
      <c r="E28" s="34" t="n">
        <v>0.375</v>
      </c>
      <c r="F28" s="34" t="n">
        <v>0.75</v>
      </c>
      <c r="G28" s="28" t="n">
        <v>1</v>
      </c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inlineStr">
        <is>
          <t>정상</t>
        </is>
      </c>
      <c r="M28" s="18" t="n"/>
      <c r="N28" s="22" t="n"/>
    </row>
    <row r="29">
      <c r="A29" s="19" t="n">
        <v>46058</v>
      </c>
      <c r="B29" s="25">
        <f>IF(A29="","",CHOOSE(WEEKDAY(A29,2),"월","화","수","목","금","토","일"))</f>
        <v/>
      </c>
      <c r="C29" s="18" t="inlineStr">
        <is>
          <t>M001</t>
        </is>
      </c>
      <c r="D29" s="25">
        <f>IFERROR(IF(C29="","",INDEX(직원명부!$B$5:$B$24,MATCH(C29,직원명부!$A$5:$A$24,0))),"사번 확인")</f>
        <v/>
      </c>
      <c r="E29" s="34" t="n">
        <v>0.375</v>
      </c>
      <c r="F29" s="34" t="n">
        <v>0.75</v>
      </c>
      <c r="G29" s="28" t="n">
        <v>1</v>
      </c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inlineStr">
        <is>
          <t>정상</t>
        </is>
      </c>
      <c r="M29" s="18" t="n"/>
      <c r="N29" s="22" t="n"/>
    </row>
    <row r="30">
      <c r="A30" s="19" t="n">
        <v>46059</v>
      </c>
      <c r="B30" s="25">
        <f>IF(A30="","",CHOOSE(WEEKDAY(A30,2),"월","화","수","목","금","토","일"))</f>
        <v/>
      </c>
      <c r="C30" s="18" t="inlineStr">
        <is>
          <t>M001</t>
        </is>
      </c>
      <c r="D30" s="25">
        <f>IFERROR(IF(C30="","",INDEX(직원명부!$B$5:$B$24,MATCH(C30,직원명부!$A$5:$A$24,0))),"사번 확인")</f>
        <v/>
      </c>
      <c r="E30" s="34" t="n">
        <v>0.375</v>
      </c>
      <c r="F30" s="34" t="n">
        <v>0.75</v>
      </c>
      <c r="G30" s="28" t="n">
        <v>1</v>
      </c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inlineStr">
        <is>
          <t>정상</t>
        </is>
      </c>
      <c r="M30" s="18" t="n"/>
      <c r="N30" s="22" t="n"/>
    </row>
    <row r="31">
      <c r="A31" s="19" t="n">
        <v>46060</v>
      </c>
      <c r="B31" s="25">
        <f>IF(A31="","",CHOOSE(WEEKDAY(A31,2),"월","화","수","목","금","토","일"))</f>
        <v/>
      </c>
      <c r="C31" s="18" t="inlineStr">
        <is>
          <t>M001</t>
        </is>
      </c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42" t="inlineStr">
        <is>
          <t>주말</t>
        </is>
      </c>
    </row>
    <row r="32">
      <c r="A32" s="19" t="n">
        <v>46061</v>
      </c>
      <c r="B32" s="25">
        <f>IF(A32="","",CHOOSE(WEEKDAY(A32,2),"월","화","수","목","금","토","일"))</f>
        <v/>
      </c>
      <c r="C32" s="18" t="inlineStr">
        <is>
          <t>M001</t>
        </is>
      </c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42" t="inlineStr">
        <is>
          <t>주말</t>
        </is>
      </c>
    </row>
    <row r="33">
      <c r="A33" s="19" t="n">
        <v>46062</v>
      </c>
      <c r="B33" s="25">
        <f>IF(A33="","",CHOOSE(WEEKDAY(A33,2),"월","화","수","목","금","토","일"))</f>
        <v/>
      </c>
      <c r="C33" s="18" t="inlineStr">
        <is>
          <t>M001</t>
        </is>
      </c>
      <c r="D33" s="25">
        <f>IFERROR(IF(C33="","",INDEX(직원명부!$B$5:$B$24,MATCH(C33,직원명부!$A$5:$A$24,0))),"사번 확인")</f>
        <v/>
      </c>
      <c r="E33" s="34" t="n">
        <v>0.375</v>
      </c>
      <c r="F33" s="34" t="n">
        <v>0.75</v>
      </c>
      <c r="G33" s="28" t="n">
        <v>1</v>
      </c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inlineStr">
        <is>
          <t>정상</t>
        </is>
      </c>
      <c r="M33" s="18" t="n"/>
      <c r="N33" s="22" t="n"/>
    </row>
    <row r="34">
      <c r="A34" s="19" t="n">
        <v>46063</v>
      </c>
      <c r="B34" s="25">
        <f>IF(A34="","",CHOOSE(WEEKDAY(A34,2),"월","화","수","목","금","토","일"))</f>
        <v/>
      </c>
      <c r="C34" s="18" t="inlineStr">
        <is>
          <t>M001</t>
        </is>
      </c>
      <c r="D34" s="25">
        <f>IFERROR(IF(C34="","",INDEX(직원명부!$B$5:$B$24,MATCH(C34,직원명부!$A$5:$A$24,0))),"사번 확인")</f>
        <v/>
      </c>
      <c r="E34" s="34" t="n">
        <v>0.375</v>
      </c>
      <c r="F34" s="34" t="n">
        <v>0.75</v>
      </c>
      <c r="G34" s="28" t="n">
        <v>1</v>
      </c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inlineStr">
        <is>
          <t>정상</t>
        </is>
      </c>
      <c r="M34" s="18" t="n"/>
      <c r="N34" s="22" t="n"/>
    </row>
    <row r="35">
      <c r="A35" s="19" t="n">
        <v>46064</v>
      </c>
      <c r="B35" s="25">
        <f>IF(A35="","",CHOOSE(WEEKDAY(A35,2),"월","화","수","목","금","토","일"))</f>
        <v/>
      </c>
      <c r="C35" s="18" t="inlineStr">
        <is>
          <t>M001</t>
        </is>
      </c>
      <c r="D35" s="25">
        <f>IFERROR(IF(C35="","",INDEX(직원명부!$B$5:$B$24,MATCH(C35,직원명부!$A$5:$A$24,0))),"사번 확인")</f>
        <v/>
      </c>
      <c r="E35" s="34" t="n">
        <v>0.375</v>
      </c>
      <c r="F35" s="34" t="n">
        <v>0.75</v>
      </c>
      <c r="G35" s="28" t="n">
        <v>1</v>
      </c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inlineStr">
        <is>
          <t>정상</t>
        </is>
      </c>
      <c r="M35" s="18" t="n"/>
      <c r="N35" s="22" t="n"/>
    </row>
    <row r="36">
      <c r="A36" s="19" t="n">
        <v>46065</v>
      </c>
      <c r="B36" s="25">
        <f>IF(A36="","",CHOOSE(WEEKDAY(A36,2),"월","화","수","목","금","토","일"))</f>
        <v/>
      </c>
      <c r="C36" s="18" t="inlineStr">
        <is>
          <t>M001</t>
        </is>
      </c>
      <c r="D36" s="25">
        <f>IFERROR(IF(C36="","",INDEX(직원명부!$B$5:$B$24,MATCH(C36,직원명부!$A$5:$A$24,0))),"사번 확인")</f>
        <v/>
      </c>
      <c r="E36" s="34" t="n">
        <v>0.375</v>
      </c>
      <c r="F36" s="34" t="n">
        <v>0.75</v>
      </c>
      <c r="G36" s="28" t="n">
        <v>1</v>
      </c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inlineStr">
        <is>
          <t>정상</t>
        </is>
      </c>
      <c r="M36" s="18" t="n"/>
      <c r="N36" s="22" t="n"/>
    </row>
    <row r="37">
      <c r="A37" s="19" t="n">
        <v>46066</v>
      </c>
      <c r="B37" s="25">
        <f>IF(A37="","",CHOOSE(WEEKDAY(A37,2),"월","화","수","목","금","토","일"))</f>
        <v/>
      </c>
      <c r="C37" s="18" t="inlineStr">
        <is>
          <t>M001</t>
        </is>
      </c>
      <c r="D37" s="25">
        <f>IFERROR(IF(C37="","",INDEX(직원명부!$B$5:$B$24,MATCH(C37,직원명부!$A$5:$A$24,0))),"사번 확인")</f>
        <v/>
      </c>
      <c r="E37" s="34" t="n">
        <v>0.375</v>
      </c>
      <c r="F37" s="34" t="n">
        <v>0.75</v>
      </c>
      <c r="G37" s="28" t="n">
        <v>1</v>
      </c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inlineStr">
        <is>
          <t>정상</t>
        </is>
      </c>
      <c r="M37" s="18" t="n"/>
      <c r="N37" s="22" t="n"/>
    </row>
    <row r="38">
      <c r="A38" s="19" t="n">
        <v>46067</v>
      </c>
      <c r="B38" s="25">
        <f>IF(A38="","",CHOOSE(WEEKDAY(A38,2),"월","화","수","목","금","토","일"))</f>
        <v/>
      </c>
      <c r="C38" s="18" t="inlineStr">
        <is>
          <t>M001</t>
        </is>
      </c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42" t="inlineStr">
        <is>
          <t>주말</t>
        </is>
      </c>
    </row>
    <row r="39">
      <c r="A39" s="19" t="n">
        <v>46068</v>
      </c>
      <c r="B39" s="25">
        <f>IF(A39="","",CHOOSE(WEEKDAY(A39,2),"월","화","수","목","금","토","일"))</f>
        <v/>
      </c>
      <c r="C39" s="18" t="inlineStr">
        <is>
          <t>M001</t>
        </is>
      </c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42" t="inlineStr">
        <is>
          <t>주말</t>
        </is>
      </c>
    </row>
    <row r="40">
      <c r="A40" s="19" t="n">
        <v>46069</v>
      </c>
      <c r="B40" s="25">
        <f>IF(A40="","",CHOOSE(WEEKDAY(A40,2),"월","화","수","목","금","토","일"))</f>
        <v/>
      </c>
      <c r="C40" s="18" t="inlineStr">
        <is>
          <t>M001</t>
        </is>
      </c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42" t="inlineStr">
        <is>
          <t>설날 연휴</t>
        </is>
      </c>
    </row>
    <row r="41">
      <c r="A41" s="19" t="n">
        <v>46070</v>
      </c>
      <c r="B41" s="25">
        <f>IF(A41="","",CHOOSE(WEEKDAY(A41,2),"월","화","수","목","금","토","일"))</f>
        <v/>
      </c>
      <c r="C41" s="18" t="inlineStr">
        <is>
          <t>M001</t>
        </is>
      </c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42" t="inlineStr">
        <is>
          <t>설날</t>
        </is>
      </c>
    </row>
    <row r="42">
      <c r="A42" s="19" t="n">
        <v>46071</v>
      </c>
      <c r="B42" s="25">
        <f>IF(A42="","",CHOOSE(WEEKDAY(A42,2),"월","화","수","목","금","토","일"))</f>
        <v/>
      </c>
      <c r="C42" s="18" t="inlineStr">
        <is>
          <t>M001</t>
        </is>
      </c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42" t="inlineStr">
        <is>
          <t>설날 연휴</t>
        </is>
      </c>
    </row>
    <row r="43">
      <c r="A43" s="19" t="n">
        <v>46072</v>
      </c>
      <c r="B43" s="25">
        <f>IF(A43="","",CHOOSE(WEEKDAY(A43,2),"월","화","수","목","금","토","일"))</f>
        <v/>
      </c>
      <c r="C43" s="18" t="inlineStr">
        <is>
          <t>M001</t>
        </is>
      </c>
      <c r="D43" s="25">
        <f>IFERROR(IF(C43="","",INDEX(직원명부!$B$5:$B$24,MATCH(C43,직원명부!$A$5:$A$24,0))),"사번 확인")</f>
        <v/>
      </c>
      <c r="E43" s="34" t="n">
        <v>0.375</v>
      </c>
      <c r="F43" s="34" t="n">
        <v>0.75</v>
      </c>
      <c r="G43" s="28" t="n">
        <v>1</v>
      </c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inlineStr">
        <is>
          <t>정상</t>
        </is>
      </c>
      <c r="M43" s="18" t="n"/>
      <c r="N43" s="22" t="n"/>
    </row>
    <row r="44">
      <c r="A44" s="19" t="n">
        <v>46073</v>
      </c>
      <c r="B44" s="25">
        <f>IF(A44="","",CHOOSE(WEEKDAY(A44,2),"월","화","수","목","금","토","일"))</f>
        <v/>
      </c>
      <c r="C44" s="18" t="inlineStr">
        <is>
          <t>M001</t>
        </is>
      </c>
      <c r="D44" s="25">
        <f>IFERROR(IF(C44="","",INDEX(직원명부!$B$5:$B$24,MATCH(C44,직원명부!$A$5:$A$24,0))),"사번 확인")</f>
        <v/>
      </c>
      <c r="E44" s="34" t="n">
        <v>0.375</v>
      </c>
      <c r="F44" s="34" t="n">
        <v>0.75</v>
      </c>
      <c r="G44" s="28" t="n">
        <v>1</v>
      </c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inlineStr">
        <is>
          <t>정상</t>
        </is>
      </c>
      <c r="M44" s="18" t="n"/>
      <c r="N44" s="22" t="n"/>
    </row>
    <row r="45">
      <c r="A45" s="19" t="n">
        <v>46074</v>
      </c>
      <c r="B45" s="25">
        <f>IF(A45="","",CHOOSE(WEEKDAY(A45,2),"월","화","수","목","금","토","일"))</f>
        <v/>
      </c>
      <c r="C45" s="18" t="inlineStr">
        <is>
          <t>M001</t>
        </is>
      </c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42" t="inlineStr">
        <is>
          <t>주말</t>
        </is>
      </c>
    </row>
    <row r="46">
      <c r="A46" s="19" t="n">
        <v>46075</v>
      </c>
      <c r="B46" s="25">
        <f>IF(A46="","",CHOOSE(WEEKDAY(A46,2),"월","화","수","목","금","토","일"))</f>
        <v/>
      </c>
      <c r="C46" s="18" t="inlineStr">
        <is>
          <t>M001</t>
        </is>
      </c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42" t="inlineStr">
        <is>
          <t>주말</t>
        </is>
      </c>
    </row>
    <row r="47">
      <c r="A47" s="19" t="n">
        <v>46076</v>
      </c>
      <c r="B47" s="25">
        <f>IF(A47="","",CHOOSE(WEEKDAY(A47,2),"월","화","수","목","금","토","일"))</f>
        <v/>
      </c>
      <c r="C47" s="18" t="inlineStr">
        <is>
          <t>M001</t>
        </is>
      </c>
      <c r="D47" s="25">
        <f>IFERROR(IF(C47="","",INDEX(직원명부!$B$5:$B$24,MATCH(C47,직원명부!$A$5:$A$24,0))),"사번 확인")</f>
        <v/>
      </c>
      <c r="E47" s="34" t="n">
        <v>0.375</v>
      </c>
      <c r="F47" s="34" t="n">
        <v>0.75</v>
      </c>
      <c r="G47" s="28" t="n">
        <v>1</v>
      </c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inlineStr">
        <is>
          <t>정상</t>
        </is>
      </c>
      <c r="M47" s="18" t="n"/>
      <c r="N47" s="22" t="n"/>
    </row>
    <row r="48">
      <c r="A48" s="19" t="n">
        <v>46077</v>
      </c>
      <c r="B48" s="25">
        <f>IF(A48="","",CHOOSE(WEEKDAY(A48,2),"월","화","수","목","금","토","일"))</f>
        <v/>
      </c>
      <c r="C48" s="18" t="inlineStr">
        <is>
          <t>M001</t>
        </is>
      </c>
      <c r="D48" s="25">
        <f>IFERROR(IF(C48="","",INDEX(직원명부!$B$5:$B$24,MATCH(C48,직원명부!$A$5:$A$24,0))),"사번 확인")</f>
        <v/>
      </c>
      <c r="E48" s="34" t="n">
        <v>0.375</v>
      </c>
      <c r="F48" s="34" t="n">
        <v>0.75</v>
      </c>
      <c r="G48" s="28" t="n">
        <v>1</v>
      </c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inlineStr">
        <is>
          <t>정상</t>
        </is>
      </c>
      <c r="M48" s="18" t="n"/>
      <c r="N48" s="22" t="n"/>
    </row>
    <row r="49">
      <c r="A49" s="19" t="n">
        <v>46078</v>
      </c>
      <c r="B49" s="25">
        <f>IF(A49="","",CHOOSE(WEEKDAY(A49,2),"월","화","수","목","금","토","일"))</f>
        <v/>
      </c>
      <c r="C49" s="18" t="inlineStr">
        <is>
          <t>M001</t>
        </is>
      </c>
      <c r="D49" s="25">
        <f>IFERROR(IF(C49="","",INDEX(직원명부!$B$5:$B$24,MATCH(C49,직원명부!$A$5:$A$24,0))),"사번 확인")</f>
        <v/>
      </c>
      <c r="E49" s="34" t="n">
        <v>0.375</v>
      </c>
      <c r="F49" s="34" t="n">
        <v>0.75</v>
      </c>
      <c r="G49" s="28" t="n">
        <v>1</v>
      </c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inlineStr">
        <is>
          <t>정상</t>
        </is>
      </c>
      <c r="M49" s="18" t="n"/>
      <c r="N49" s="22" t="n"/>
    </row>
    <row r="50">
      <c r="A50" s="19" t="n">
        <v>46079</v>
      </c>
      <c r="B50" s="25">
        <f>IF(A50="","",CHOOSE(WEEKDAY(A50,2),"월","화","수","목","금","토","일"))</f>
        <v/>
      </c>
      <c r="C50" s="18" t="inlineStr">
        <is>
          <t>M001</t>
        </is>
      </c>
      <c r="D50" s="25">
        <f>IFERROR(IF(C50="","",INDEX(직원명부!$B$5:$B$24,MATCH(C50,직원명부!$A$5:$A$24,0))),"사번 확인")</f>
        <v/>
      </c>
      <c r="E50" s="34" t="n">
        <v>0.375</v>
      </c>
      <c r="F50" s="34" t="n">
        <v>0.75</v>
      </c>
      <c r="G50" s="28" t="n">
        <v>1</v>
      </c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inlineStr">
        <is>
          <t>정상</t>
        </is>
      </c>
      <c r="M50" s="18" t="n"/>
      <c r="N50" s="22" t="n"/>
    </row>
    <row r="51">
      <c r="A51" s="19" t="n">
        <v>46080</v>
      </c>
      <c r="B51" s="25">
        <f>IF(A51="","",CHOOSE(WEEKDAY(A51,2),"월","화","수","목","금","토","일"))</f>
        <v/>
      </c>
      <c r="C51" s="18" t="inlineStr">
        <is>
          <t>M001</t>
        </is>
      </c>
      <c r="D51" s="25">
        <f>IFERROR(IF(C51="","",INDEX(직원명부!$B$5:$B$24,MATCH(C51,직원명부!$A$5:$A$24,0))),"사번 확인")</f>
        <v/>
      </c>
      <c r="E51" s="34" t="n">
        <v>0.375</v>
      </c>
      <c r="F51" s="34" t="n">
        <v>0.75</v>
      </c>
      <c r="G51" s="28" t="n">
        <v>1</v>
      </c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inlineStr">
        <is>
          <t>정상</t>
        </is>
      </c>
      <c r="M51" s="18" t="n"/>
      <c r="N51" s="22" t="n"/>
    </row>
    <row r="52">
      <c r="A52" s="19" t="n">
        <v>46081</v>
      </c>
      <c r="B52" s="25">
        <f>IF(A52="","",CHOOSE(WEEKDAY(A52,2),"월","화","수","목","금","토","일"))</f>
        <v/>
      </c>
      <c r="C52" s="18" t="inlineStr">
        <is>
          <t>M001</t>
        </is>
      </c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42" t="inlineStr">
        <is>
          <t>주말</t>
        </is>
      </c>
    </row>
    <row r="53">
      <c r="A53" s="19" t="n">
        <v>46082</v>
      </c>
      <c r="B53" s="25">
        <f>IF(A53="","",CHOOSE(WEEKDAY(A53,2),"월","화","수","목","금","토","일"))</f>
        <v/>
      </c>
      <c r="C53" s="18" t="inlineStr">
        <is>
          <t>M001</t>
        </is>
      </c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42" t="inlineStr">
        <is>
          <t>삼일절</t>
        </is>
      </c>
    </row>
    <row r="54">
      <c r="A54" s="19" t="n">
        <v>46083</v>
      </c>
      <c r="B54" s="25">
        <f>IF(A54="","",CHOOSE(WEEKDAY(A54,2),"월","화","수","목","금","토","일"))</f>
        <v/>
      </c>
      <c r="C54" s="18" t="inlineStr">
        <is>
          <t>M001</t>
        </is>
      </c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42" t="inlineStr">
        <is>
          <t>삼일절 대체공휴일</t>
        </is>
      </c>
    </row>
    <row r="55">
      <c r="A55" s="19" t="n">
        <v>46084</v>
      </c>
      <c r="B55" s="25">
        <f>IF(A55="","",CHOOSE(WEEKDAY(A55,2),"월","화","수","목","금","토","일"))</f>
        <v/>
      </c>
      <c r="C55" s="18" t="inlineStr">
        <is>
          <t>M001</t>
        </is>
      </c>
      <c r="D55" s="25">
        <f>IFERROR(IF(C55="","",INDEX(직원명부!$B$5:$B$24,MATCH(C55,직원명부!$A$5:$A$24,0))),"사번 확인")</f>
        <v/>
      </c>
      <c r="E55" s="34" t="n">
        <v>0.375</v>
      </c>
      <c r="F55" s="34" t="n">
        <v>0.75</v>
      </c>
      <c r="G55" s="28" t="n">
        <v>1</v>
      </c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inlineStr">
        <is>
          <t>정상</t>
        </is>
      </c>
      <c r="M55" s="18" t="n"/>
      <c r="N55" s="22" t="n"/>
    </row>
    <row r="56">
      <c r="A56" s="19" t="n">
        <v>46085</v>
      </c>
      <c r="B56" s="25">
        <f>IF(A56="","",CHOOSE(WEEKDAY(A56,2),"월","화","수","목","금","토","일"))</f>
        <v/>
      </c>
      <c r="C56" s="18" t="inlineStr">
        <is>
          <t>M001</t>
        </is>
      </c>
      <c r="D56" s="25">
        <f>IFERROR(IF(C56="","",INDEX(직원명부!$B$5:$B$24,MATCH(C56,직원명부!$A$5:$A$24,0))),"사번 확인")</f>
        <v/>
      </c>
      <c r="E56" s="34" t="n">
        <v>0.375</v>
      </c>
      <c r="F56" s="34" t="n">
        <v>0.75</v>
      </c>
      <c r="G56" s="28" t="n">
        <v>1</v>
      </c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inlineStr">
        <is>
          <t>정상</t>
        </is>
      </c>
      <c r="M56" s="18" t="n"/>
      <c r="N56" s="22" t="n"/>
    </row>
    <row r="57">
      <c r="A57" s="19" t="n">
        <v>46086</v>
      </c>
      <c r="B57" s="25">
        <f>IF(A57="","",CHOOSE(WEEKDAY(A57,2),"월","화","수","목","금","토","일"))</f>
        <v/>
      </c>
      <c r="C57" s="18" t="inlineStr">
        <is>
          <t>M001</t>
        </is>
      </c>
      <c r="D57" s="25">
        <f>IFERROR(IF(C57="","",INDEX(직원명부!$B$5:$B$24,MATCH(C57,직원명부!$A$5:$A$24,0))),"사번 확인")</f>
        <v/>
      </c>
      <c r="E57" s="34" t="n">
        <v>0.375</v>
      </c>
      <c r="F57" s="34" t="n">
        <v>0.75</v>
      </c>
      <c r="G57" s="28" t="n">
        <v>1</v>
      </c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inlineStr">
        <is>
          <t>정상</t>
        </is>
      </c>
      <c r="M57" s="18" t="n"/>
      <c r="N57" s="22" t="n"/>
    </row>
    <row r="58">
      <c r="A58" s="19" t="n">
        <v>46087</v>
      </c>
      <c r="B58" s="25">
        <f>IF(A58="","",CHOOSE(WEEKDAY(A58,2),"월","화","수","목","금","토","일"))</f>
        <v/>
      </c>
      <c r="C58" s="18" t="inlineStr">
        <is>
          <t>M001</t>
        </is>
      </c>
      <c r="D58" s="25">
        <f>IFERROR(IF(C58="","",INDEX(직원명부!$B$5:$B$24,MATCH(C58,직원명부!$A$5:$A$24,0))),"사번 확인")</f>
        <v/>
      </c>
      <c r="E58" s="34" t="n">
        <v>0.375</v>
      </c>
      <c r="F58" s="34" t="n">
        <v>0.75</v>
      </c>
      <c r="G58" s="28" t="n">
        <v>1</v>
      </c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inlineStr">
        <is>
          <t>정상</t>
        </is>
      </c>
      <c r="M58" s="18" t="n"/>
      <c r="N58" s="22" t="n"/>
    </row>
    <row r="59">
      <c r="A59" s="19" t="n">
        <v>46088</v>
      </c>
      <c r="B59" s="25">
        <f>IF(A59="","",CHOOSE(WEEKDAY(A59,2),"월","화","수","목","금","토","일"))</f>
        <v/>
      </c>
      <c r="C59" s="18" t="inlineStr">
        <is>
          <t>M001</t>
        </is>
      </c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42" t="inlineStr">
        <is>
          <t>주말</t>
        </is>
      </c>
    </row>
    <row r="60">
      <c r="A60" s="19" t="n">
        <v>46089</v>
      </c>
      <c r="B60" s="25">
        <f>IF(A60="","",CHOOSE(WEEKDAY(A60,2),"월","화","수","목","금","토","일"))</f>
        <v/>
      </c>
      <c r="C60" s="18" t="inlineStr">
        <is>
          <t>M001</t>
        </is>
      </c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42" t="inlineStr">
        <is>
          <t>주말</t>
        </is>
      </c>
    </row>
    <row r="61">
      <c r="A61" s="19" t="n">
        <v>46090</v>
      </c>
      <c r="B61" s="25">
        <f>IF(A61="","",CHOOSE(WEEKDAY(A61,2),"월","화","수","목","금","토","일"))</f>
        <v/>
      </c>
      <c r="C61" s="18" t="inlineStr">
        <is>
          <t>M001</t>
        </is>
      </c>
      <c r="D61" s="25">
        <f>IFERROR(IF(C61="","",INDEX(직원명부!$B$5:$B$24,MATCH(C61,직원명부!$A$5:$A$24,0))),"사번 확인")</f>
        <v/>
      </c>
      <c r="E61" s="34" t="n">
        <v>0.375</v>
      </c>
      <c r="F61" s="34" t="n">
        <v>0.75</v>
      </c>
      <c r="G61" s="28" t="n">
        <v>1</v>
      </c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inlineStr">
        <is>
          <t>정상</t>
        </is>
      </c>
      <c r="M61" s="18" t="n"/>
      <c r="N61" s="22" t="n"/>
    </row>
    <row r="62">
      <c r="A62" s="19" t="n">
        <v>46091</v>
      </c>
      <c r="B62" s="25">
        <f>IF(A62="","",CHOOSE(WEEKDAY(A62,2),"월","화","수","목","금","토","일"))</f>
        <v/>
      </c>
      <c r="C62" s="18" t="inlineStr">
        <is>
          <t>M001</t>
        </is>
      </c>
      <c r="D62" s="25">
        <f>IFERROR(IF(C62="","",INDEX(직원명부!$B$5:$B$24,MATCH(C62,직원명부!$A$5:$A$24,0))),"사번 확인")</f>
        <v/>
      </c>
      <c r="E62" s="34" t="n">
        <v>0.375</v>
      </c>
      <c r="F62" s="34" t="n">
        <v>0.75</v>
      </c>
      <c r="G62" s="28" t="n">
        <v>1</v>
      </c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inlineStr">
        <is>
          <t>정상</t>
        </is>
      </c>
      <c r="M62" s="18" t="n"/>
      <c r="N62" s="22" t="n"/>
    </row>
    <row r="63">
      <c r="A63" s="19" t="n">
        <v>46092</v>
      </c>
      <c r="B63" s="25">
        <f>IF(A63="","",CHOOSE(WEEKDAY(A63,2),"월","화","수","목","금","토","일"))</f>
        <v/>
      </c>
      <c r="C63" s="18" t="inlineStr">
        <is>
          <t>M001</t>
        </is>
      </c>
      <c r="D63" s="25">
        <f>IFERROR(IF(C63="","",INDEX(직원명부!$B$5:$B$24,MATCH(C63,직원명부!$A$5:$A$24,0))),"사번 확인")</f>
        <v/>
      </c>
      <c r="E63" s="34" t="n">
        <v>0.375</v>
      </c>
      <c r="F63" s="34" t="n">
        <v>0.75</v>
      </c>
      <c r="G63" s="28" t="n">
        <v>1</v>
      </c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inlineStr">
        <is>
          <t>정상</t>
        </is>
      </c>
      <c r="M63" s="18" t="n"/>
      <c r="N63" s="22" t="n"/>
    </row>
    <row r="64">
      <c r="A64" s="19" t="n">
        <v>46093</v>
      </c>
      <c r="B64" s="25">
        <f>IF(A64="","",CHOOSE(WEEKDAY(A64,2),"월","화","수","목","금","토","일"))</f>
        <v/>
      </c>
      <c r="C64" s="18" t="inlineStr">
        <is>
          <t>M001</t>
        </is>
      </c>
      <c r="D64" s="25">
        <f>IFERROR(IF(C64="","",INDEX(직원명부!$B$5:$B$24,MATCH(C64,직원명부!$A$5:$A$24,0))),"사번 확인")</f>
        <v/>
      </c>
      <c r="E64" s="34" t="n">
        <v>0.375</v>
      </c>
      <c r="F64" s="34" t="n">
        <v>0.75</v>
      </c>
      <c r="G64" s="28" t="n">
        <v>1</v>
      </c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inlineStr">
        <is>
          <t>정상</t>
        </is>
      </c>
      <c r="M64" s="18" t="n"/>
      <c r="N64" s="22" t="n"/>
    </row>
    <row r="65">
      <c r="A65" s="19" t="n">
        <v>46094</v>
      </c>
      <c r="B65" s="25">
        <f>IF(A65="","",CHOOSE(WEEKDAY(A65,2),"월","화","수","목","금","토","일"))</f>
        <v/>
      </c>
      <c r="C65" s="18" t="inlineStr">
        <is>
          <t>M001</t>
        </is>
      </c>
      <c r="D65" s="25">
        <f>IFERROR(IF(C65="","",INDEX(직원명부!$B$5:$B$24,MATCH(C65,직원명부!$A$5:$A$24,0))),"사번 확인")</f>
        <v/>
      </c>
      <c r="E65" s="34" t="n">
        <v>0.375</v>
      </c>
      <c r="F65" s="34" t="n">
        <v>0.75</v>
      </c>
      <c r="G65" s="28" t="n">
        <v>1</v>
      </c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inlineStr">
        <is>
          <t>정상</t>
        </is>
      </c>
      <c r="M65" s="18" t="n"/>
      <c r="N65" s="22" t="n"/>
    </row>
    <row r="66">
      <c r="A66" s="19" t="n">
        <v>46095</v>
      </c>
      <c r="B66" s="25">
        <f>IF(A66="","",CHOOSE(WEEKDAY(A66,2),"월","화","수","목","금","토","일"))</f>
        <v/>
      </c>
      <c r="C66" s="18" t="inlineStr">
        <is>
          <t>M001</t>
        </is>
      </c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42" t="inlineStr">
        <is>
          <t>주말</t>
        </is>
      </c>
    </row>
    <row r="67">
      <c r="A67" s="19" t="n">
        <v>46096</v>
      </c>
      <c r="B67" s="25">
        <f>IF(A67="","",CHOOSE(WEEKDAY(A67,2),"월","화","수","목","금","토","일"))</f>
        <v/>
      </c>
      <c r="C67" s="18" t="inlineStr">
        <is>
          <t>M001</t>
        </is>
      </c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42" t="inlineStr">
        <is>
          <t>주말</t>
        </is>
      </c>
    </row>
    <row r="68">
      <c r="A68" s="19" t="n">
        <v>46097</v>
      </c>
      <c r="B68" s="25">
        <f>IF(A68="","",CHOOSE(WEEKDAY(A68,2),"월","화","수","목","금","토","일"))</f>
        <v/>
      </c>
      <c r="C68" s="18" t="inlineStr">
        <is>
          <t>M001</t>
        </is>
      </c>
      <c r="D68" s="25">
        <f>IFERROR(IF(C68="","",INDEX(직원명부!$B$5:$B$24,MATCH(C68,직원명부!$A$5:$A$24,0))),"사번 확인")</f>
        <v/>
      </c>
      <c r="E68" s="34" t="n">
        <v>0.375</v>
      </c>
      <c r="F68" s="34" t="n">
        <v>0.75</v>
      </c>
      <c r="G68" s="28" t="n">
        <v>1</v>
      </c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inlineStr">
        <is>
          <t>정상</t>
        </is>
      </c>
      <c r="M68" s="18" t="n"/>
      <c r="N68" s="22" t="n"/>
    </row>
    <row r="69">
      <c r="A69" s="19" t="n">
        <v>46098</v>
      </c>
      <c r="B69" s="25">
        <f>IF(A69="","",CHOOSE(WEEKDAY(A69,2),"월","화","수","목","금","토","일"))</f>
        <v/>
      </c>
      <c r="C69" s="18" t="inlineStr">
        <is>
          <t>M001</t>
        </is>
      </c>
      <c r="D69" s="25">
        <f>IFERROR(IF(C69="","",INDEX(직원명부!$B$5:$B$24,MATCH(C69,직원명부!$A$5:$A$24,0))),"사번 확인")</f>
        <v/>
      </c>
      <c r="E69" s="34" t="n">
        <v>0.375</v>
      </c>
      <c r="F69" s="34" t="n">
        <v>0.75</v>
      </c>
      <c r="G69" s="28" t="n">
        <v>1</v>
      </c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inlineStr">
        <is>
          <t>정상</t>
        </is>
      </c>
      <c r="M69" s="18" t="n"/>
      <c r="N69" s="22" t="n"/>
    </row>
    <row r="70">
      <c r="A70" s="19" t="n">
        <v>46099</v>
      </c>
      <c r="B70" s="25">
        <f>IF(A70="","",CHOOSE(WEEKDAY(A70,2),"월","화","수","목","금","토","일"))</f>
        <v/>
      </c>
      <c r="C70" s="18" t="inlineStr">
        <is>
          <t>M001</t>
        </is>
      </c>
      <c r="D70" s="25">
        <f>IFERROR(IF(C70="","",INDEX(직원명부!$B$5:$B$24,MATCH(C70,직원명부!$A$5:$A$24,0))),"사번 확인")</f>
        <v/>
      </c>
      <c r="E70" s="34" t="n">
        <v>0.375</v>
      </c>
      <c r="F70" s="34" t="n">
        <v>0.75</v>
      </c>
      <c r="G70" s="28" t="n">
        <v>1</v>
      </c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inlineStr">
        <is>
          <t>정상</t>
        </is>
      </c>
      <c r="M70" s="18" t="n"/>
      <c r="N70" s="22" t="n"/>
    </row>
    <row r="71">
      <c r="A71" s="19" t="n">
        <v>46100</v>
      </c>
      <c r="B71" s="25">
        <f>IF(A71="","",CHOOSE(WEEKDAY(A71,2),"월","화","수","목","금","토","일"))</f>
        <v/>
      </c>
      <c r="C71" s="18" t="inlineStr">
        <is>
          <t>M001</t>
        </is>
      </c>
      <c r="D71" s="25">
        <f>IFERROR(IF(C71="","",INDEX(직원명부!$B$5:$B$24,MATCH(C71,직원명부!$A$5:$A$24,0))),"사번 확인")</f>
        <v/>
      </c>
      <c r="E71" s="34" t="n">
        <v>0.375</v>
      </c>
      <c r="F71" s="34" t="n">
        <v>0.75</v>
      </c>
      <c r="G71" s="28" t="n">
        <v>1</v>
      </c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inlineStr">
        <is>
          <t>정상</t>
        </is>
      </c>
      <c r="M71" s="18" t="n"/>
      <c r="N71" s="22" t="n"/>
    </row>
    <row r="72">
      <c r="A72" s="19" t="n">
        <v>46101</v>
      </c>
      <c r="B72" s="25">
        <f>IF(A72="","",CHOOSE(WEEKDAY(A72,2),"월","화","수","목","금","토","일"))</f>
        <v/>
      </c>
      <c r="C72" s="18" t="inlineStr">
        <is>
          <t>M001</t>
        </is>
      </c>
      <c r="D72" s="25">
        <f>IFERROR(IF(C72="","",INDEX(직원명부!$B$5:$B$24,MATCH(C72,직원명부!$A$5:$A$24,0))),"사번 확인")</f>
        <v/>
      </c>
      <c r="E72" s="34" t="n">
        <v>0.375</v>
      </c>
      <c r="F72" s="34" t="n">
        <v>0.75</v>
      </c>
      <c r="G72" s="28" t="n">
        <v>1</v>
      </c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inlineStr">
        <is>
          <t>정상</t>
        </is>
      </c>
      <c r="M72" s="18" t="n"/>
      <c r="N72" s="22" t="n"/>
    </row>
    <row r="73">
      <c r="A73" s="19" t="n">
        <v>46102</v>
      </c>
      <c r="B73" s="25">
        <f>IF(A73="","",CHOOSE(WEEKDAY(A73,2),"월","화","수","목","금","토","일"))</f>
        <v/>
      </c>
      <c r="C73" s="18" t="inlineStr">
        <is>
          <t>M001</t>
        </is>
      </c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42" t="inlineStr">
        <is>
          <t>주말</t>
        </is>
      </c>
    </row>
    <row r="74">
      <c r="A74" s="19" t="n">
        <v>46103</v>
      </c>
      <c r="B74" s="25">
        <f>IF(A74="","",CHOOSE(WEEKDAY(A74,2),"월","화","수","목","금","토","일"))</f>
        <v/>
      </c>
      <c r="C74" s="18" t="inlineStr">
        <is>
          <t>M001</t>
        </is>
      </c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42" t="inlineStr">
        <is>
          <t>주말</t>
        </is>
      </c>
    </row>
    <row r="75">
      <c r="A75" s="19" t="n">
        <v>46104</v>
      </c>
      <c r="B75" s="25">
        <f>IF(A75="","",CHOOSE(WEEKDAY(A75,2),"월","화","수","목","금","토","일"))</f>
        <v/>
      </c>
      <c r="C75" s="18" t="inlineStr">
        <is>
          <t>M001</t>
        </is>
      </c>
      <c r="D75" s="25">
        <f>IFERROR(IF(C75="","",INDEX(직원명부!$B$5:$B$24,MATCH(C75,직원명부!$A$5:$A$24,0))),"사번 확인")</f>
        <v/>
      </c>
      <c r="E75" s="34" t="n">
        <v>0.375</v>
      </c>
      <c r="F75" s="34" t="n">
        <v>0.75</v>
      </c>
      <c r="G75" s="28" t="n">
        <v>1</v>
      </c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inlineStr">
        <is>
          <t>정상</t>
        </is>
      </c>
      <c r="M75" s="18" t="n"/>
      <c r="N75" s="22" t="n"/>
    </row>
    <row r="76">
      <c r="A76" s="19" t="n">
        <v>46105</v>
      </c>
      <c r="B76" s="25">
        <f>IF(A76="","",CHOOSE(WEEKDAY(A76,2),"월","화","수","목","금","토","일"))</f>
        <v/>
      </c>
      <c r="C76" s="18" t="inlineStr">
        <is>
          <t>M001</t>
        </is>
      </c>
      <c r="D76" s="25">
        <f>IFERROR(IF(C76="","",INDEX(직원명부!$B$5:$B$24,MATCH(C76,직원명부!$A$5:$A$24,0))),"사번 확인")</f>
        <v/>
      </c>
      <c r="E76" s="34" t="n">
        <v>0.375</v>
      </c>
      <c r="F76" s="34" t="n">
        <v>0.75</v>
      </c>
      <c r="G76" s="28" t="n">
        <v>1</v>
      </c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inlineStr">
        <is>
          <t>정상</t>
        </is>
      </c>
      <c r="M76" s="18" t="n"/>
      <c r="N76" s="22" t="n"/>
    </row>
    <row r="77">
      <c r="A77" s="19" t="n">
        <v>46106</v>
      </c>
      <c r="B77" s="25">
        <f>IF(A77="","",CHOOSE(WEEKDAY(A77,2),"월","화","수","목","금","토","일"))</f>
        <v/>
      </c>
      <c r="C77" s="18" t="inlineStr">
        <is>
          <t>M001</t>
        </is>
      </c>
      <c r="D77" s="25">
        <f>IFERROR(IF(C77="","",INDEX(직원명부!$B$5:$B$24,MATCH(C77,직원명부!$A$5:$A$24,0))),"사번 확인")</f>
        <v/>
      </c>
      <c r="E77" s="34" t="n">
        <v>0.375</v>
      </c>
      <c r="F77" s="34" t="n">
        <v>0.75</v>
      </c>
      <c r="G77" s="28" t="n">
        <v>1</v>
      </c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inlineStr">
        <is>
          <t>정상</t>
        </is>
      </c>
      <c r="M77" s="18" t="n"/>
      <c r="N77" s="22" t="n"/>
    </row>
    <row r="78">
      <c r="A78" s="19" t="n">
        <v>46107</v>
      </c>
      <c r="B78" s="25">
        <f>IF(A78="","",CHOOSE(WEEKDAY(A78,2),"월","화","수","목","금","토","일"))</f>
        <v/>
      </c>
      <c r="C78" s="18" t="inlineStr">
        <is>
          <t>M001</t>
        </is>
      </c>
      <c r="D78" s="25">
        <f>IFERROR(IF(C78="","",INDEX(직원명부!$B$5:$B$24,MATCH(C78,직원명부!$A$5:$A$24,0))),"사번 확인")</f>
        <v/>
      </c>
      <c r="E78" s="34" t="n">
        <v>0.375</v>
      </c>
      <c r="F78" s="34" t="n">
        <v>0.75</v>
      </c>
      <c r="G78" s="28" t="n">
        <v>1</v>
      </c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inlineStr">
        <is>
          <t>정상</t>
        </is>
      </c>
      <c r="M78" s="18" t="n"/>
      <c r="N78" s="22" t="n"/>
    </row>
    <row r="79">
      <c r="A79" s="19" t="n">
        <v>46108</v>
      </c>
      <c r="B79" s="25">
        <f>IF(A79="","",CHOOSE(WEEKDAY(A79,2),"월","화","수","목","금","토","일"))</f>
        <v/>
      </c>
      <c r="C79" s="18" t="inlineStr">
        <is>
          <t>M001</t>
        </is>
      </c>
      <c r="D79" s="25">
        <f>IFERROR(IF(C79="","",INDEX(직원명부!$B$5:$B$24,MATCH(C79,직원명부!$A$5:$A$24,0))),"사번 확인")</f>
        <v/>
      </c>
      <c r="E79" s="34" t="n">
        <v>0.375</v>
      </c>
      <c r="F79" s="34" t="n">
        <v>0.75</v>
      </c>
      <c r="G79" s="28" t="n">
        <v>1</v>
      </c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inlineStr">
        <is>
          <t>정상</t>
        </is>
      </c>
      <c r="M79" s="18" t="n"/>
      <c r="N79" s="22" t="n"/>
    </row>
    <row r="80">
      <c r="A80" s="19" t="n">
        <v>46109</v>
      </c>
      <c r="B80" s="25">
        <f>IF(A80="","",CHOOSE(WEEKDAY(A80,2),"월","화","수","목","금","토","일"))</f>
        <v/>
      </c>
      <c r="C80" s="18" t="inlineStr">
        <is>
          <t>M001</t>
        </is>
      </c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42" t="inlineStr">
        <is>
          <t>주말</t>
        </is>
      </c>
    </row>
    <row r="81">
      <c r="A81" s="19" t="n">
        <v>46110</v>
      </c>
      <c r="B81" s="25">
        <f>IF(A81="","",CHOOSE(WEEKDAY(A81,2),"월","화","수","목","금","토","일"))</f>
        <v/>
      </c>
      <c r="C81" s="18" t="inlineStr">
        <is>
          <t>M001</t>
        </is>
      </c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42" t="inlineStr">
        <is>
          <t>주말</t>
        </is>
      </c>
    </row>
    <row r="82">
      <c r="A82" s="19" t="n">
        <v>46111</v>
      </c>
      <c r="B82" s="25">
        <f>IF(A82="","",CHOOSE(WEEKDAY(A82,2),"월","화","수","목","금","토","일"))</f>
        <v/>
      </c>
      <c r="C82" s="18" t="inlineStr">
        <is>
          <t>M001</t>
        </is>
      </c>
      <c r="D82" s="25">
        <f>IFERROR(IF(C82="","",INDEX(직원명부!$B$5:$B$24,MATCH(C82,직원명부!$A$5:$A$24,0))),"사번 확인")</f>
        <v/>
      </c>
      <c r="E82" s="34" t="n">
        <v>0.375</v>
      </c>
      <c r="F82" s="34" t="n">
        <v>0.75</v>
      </c>
      <c r="G82" s="28" t="n">
        <v>1</v>
      </c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inlineStr">
        <is>
          <t>정상</t>
        </is>
      </c>
      <c r="M82" s="18" t="n"/>
      <c r="N82" s="22" t="n"/>
    </row>
    <row r="83">
      <c r="A83" s="19" t="n">
        <v>46112</v>
      </c>
      <c r="B83" s="25">
        <f>IF(A83="","",CHOOSE(WEEKDAY(A83,2),"월","화","수","목","금","토","일"))</f>
        <v/>
      </c>
      <c r="C83" s="18" t="inlineStr">
        <is>
          <t>M001</t>
        </is>
      </c>
      <c r="D83" s="25">
        <f>IFERROR(IF(C83="","",INDEX(직원명부!$B$5:$B$24,MATCH(C83,직원명부!$A$5:$A$24,0))),"사번 확인")</f>
        <v/>
      </c>
      <c r="E83" s="34" t="n">
        <v>0.375</v>
      </c>
      <c r="F83" s="34" t="n">
        <v>0.75</v>
      </c>
      <c r="G83" s="28" t="n">
        <v>1</v>
      </c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inlineStr">
        <is>
          <t>정상</t>
        </is>
      </c>
      <c r="M83" s="18" t="n"/>
      <c r="N83" s="22" t="n"/>
    </row>
    <row r="84">
      <c r="A84" s="19" t="n">
        <v>46113</v>
      </c>
      <c r="B84" s="25">
        <f>IF(A84="","",CHOOSE(WEEKDAY(A84,2),"월","화","수","목","금","토","일"))</f>
        <v/>
      </c>
      <c r="C84" s="18" t="inlineStr">
        <is>
          <t>M001</t>
        </is>
      </c>
      <c r="D84" s="25">
        <f>IFERROR(IF(C84="","",INDEX(직원명부!$B$5:$B$24,MATCH(C84,직원명부!$A$5:$A$24,0))),"사번 확인")</f>
        <v/>
      </c>
      <c r="E84" s="34" t="n">
        <v>0.375</v>
      </c>
      <c r="F84" s="34" t="n">
        <v>0.75</v>
      </c>
      <c r="G84" s="28" t="n">
        <v>1</v>
      </c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inlineStr">
        <is>
          <t>정상</t>
        </is>
      </c>
      <c r="M84" s="18" t="n"/>
      <c r="N84" s="22" t="n"/>
    </row>
    <row r="85">
      <c r="A85" s="19" t="n">
        <v>46114</v>
      </c>
      <c r="B85" s="25">
        <f>IF(A85="","",CHOOSE(WEEKDAY(A85,2),"월","화","수","목","금","토","일"))</f>
        <v/>
      </c>
      <c r="C85" s="18" t="inlineStr">
        <is>
          <t>M001</t>
        </is>
      </c>
      <c r="D85" s="25">
        <f>IFERROR(IF(C85="","",INDEX(직원명부!$B$5:$B$24,MATCH(C85,직원명부!$A$5:$A$24,0))),"사번 확인")</f>
        <v/>
      </c>
      <c r="E85" s="34" t="n">
        <v>0.375</v>
      </c>
      <c r="F85" s="34" t="n">
        <v>0.75</v>
      </c>
      <c r="G85" s="28" t="n">
        <v>1</v>
      </c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inlineStr">
        <is>
          <t>정상</t>
        </is>
      </c>
      <c r="M85" s="18" t="n"/>
      <c r="N85" s="22" t="n"/>
    </row>
    <row r="86">
      <c r="A86" s="19" t="n">
        <v>46115</v>
      </c>
      <c r="B86" s="25">
        <f>IF(A86="","",CHOOSE(WEEKDAY(A86,2),"월","화","수","목","금","토","일"))</f>
        <v/>
      </c>
      <c r="C86" s="18" t="inlineStr">
        <is>
          <t>M001</t>
        </is>
      </c>
      <c r="D86" s="25">
        <f>IFERROR(IF(C86="","",INDEX(직원명부!$B$5:$B$24,MATCH(C86,직원명부!$A$5:$A$24,0))),"사번 확인")</f>
        <v/>
      </c>
      <c r="E86" s="34" t="n">
        <v>0.375</v>
      </c>
      <c r="F86" s="34" t="n">
        <v>0.75</v>
      </c>
      <c r="G86" s="28" t="n">
        <v>1</v>
      </c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inlineStr">
        <is>
          <t>정상</t>
        </is>
      </c>
      <c r="M86" s="18" t="n"/>
      <c r="N86" s="22" t="n"/>
    </row>
    <row r="87">
      <c r="A87" s="19" t="n">
        <v>46116</v>
      </c>
      <c r="B87" s="25">
        <f>IF(A87="","",CHOOSE(WEEKDAY(A87,2),"월","화","수","목","금","토","일"))</f>
        <v/>
      </c>
      <c r="C87" s="18" t="inlineStr">
        <is>
          <t>M001</t>
        </is>
      </c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42" t="inlineStr">
        <is>
          <t>주말</t>
        </is>
      </c>
    </row>
    <row r="88">
      <c r="A88" s="19" t="n">
        <v>46117</v>
      </c>
      <c r="B88" s="25">
        <f>IF(A88="","",CHOOSE(WEEKDAY(A88,2),"월","화","수","목","금","토","일"))</f>
        <v/>
      </c>
      <c r="C88" s="18" t="inlineStr">
        <is>
          <t>M001</t>
        </is>
      </c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42" t="inlineStr">
        <is>
          <t>주말</t>
        </is>
      </c>
    </row>
    <row r="89">
      <c r="A89" s="19" t="n">
        <v>46118</v>
      </c>
      <c r="B89" s="25">
        <f>IF(A89="","",CHOOSE(WEEKDAY(A89,2),"월","화","수","목","금","토","일"))</f>
        <v/>
      </c>
      <c r="C89" s="18" t="inlineStr">
        <is>
          <t>M001</t>
        </is>
      </c>
      <c r="D89" s="25">
        <f>IFERROR(IF(C89="","",INDEX(직원명부!$B$5:$B$24,MATCH(C89,직원명부!$A$5:$A$24,0))),"사번 확인")</f>
        <v/>
      </c>
      <c r="E89" s="34" t="n">
        <v>0.375</v>
      </c>
      <c r="F89" s="34" t="n">
        <v>0.75</v>
      </c>
      <c r="G89" s="28" t="n">
        <v>1</v>
      </c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inlineStr">
        <is>
          <t>정상</t>
        </is>
      </c>
      <c r="M89" s="18" t="n"/>
      <c r="N89" s="22" t="n"/>
    </row>
    <row r="90">
      <c r="A90" s="19" t="n">
        <v>46119</v>
      </c>
      <c r="B90" s="25">
        <f>IF(A90="","",CHOOSE(WEEKDAY(A90,2),"월","화","수","목","금","토","일"))</f>
        <v/>
      </c>
      <c r="C90" s="18" t="inlineStr">
        <is>
          <t>M001</t>
        </is>
      </c>
      <c r="D90" s="25">
        <f>IFERROR(IF(C90="","",INDEX(직원명부!$B$5:$B$24,MATCH(C90,직원명부!$A$5:$A$24,0))),"사번 확인")</f>
        <v/>
      </c>
      <c r="E90" s="34" t="n">
        <v>0.375</v>
      </c>
      <c r="F90" s="34" t="n">
        <v>0.75</v>
      </c>
      <c r="G90" s="28" t="n">
        <v>1</v>
      </c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inlineStr">
        <is>
          <t>정상</t>
        </is>
      </c>
      <c r="M90" s="18" t="n"/>
      <c r="N90" s="22" t="n"/>
    </row>
    <row r="91">
      <c r="A91" s="19" t="n">
        <v>46120</v>
      </c>
      <c r="B91" s="25">
        <f>IF(A91="","",CHOOSE(WEEKDAY(A91,2),"월","화","수","목","금","토","일"))</f>
        <v/>
      </c>
      <c r="C91" s="18" t="inlineStr">
        <is>
          <t>M001</t>
        </is>
      </c>
      <c r="D91" s="25">
        <f>IFERROR(IF(C91="","",INDEX(직원명부!$B$5:$B$24,MATCH(C91,직원명부!$A$5:$A$24,0))),"사번 확인")</f>
        <v/>
      </c>
      <c r="E91" s="34" t="n">
        <v>0.375</v>
      </c>
      <c r="F91" s="34" t="n">
        <v>0.75</v>
      </c>
      <c r="G91" s="28" t="n">
        <v>1</v>
      </c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inlineStr">
        <is>
          <t>정상</t>
        </is>
      </c>
      <c r="M91" s="18" t="n"/>
      <c r="N91" s="22" t="n"/>
    </row>
    <row r="92">
      <c r="A92" s="19" t="n">
        <v>46121</v>
      </c>
      <c r="B92" s="25">
        <f>IF(A92="","",CHOOSE(WEEKDAY(A92,2),"월","화","수","목","금","토","일"))</f>
        <v/>
      </c>
      <c r="C92" s="18" t="inlineStr">
        <is>
          <t>M001</t>
        </is>
      </c>
      <c r="D92" s="25">
        <f>IFERROR(IF(C92="","",INDEX(직원명부!$B$5:$B$24,MATCH(C92,직원명부!$A$5:$A$24,0))),"사번 확인")</f>
        <v/>
      </c>
      <c r="E92" s="34" t="n">
        <v>0.375</v>
      </c>
      <c r="F92" s="34" t="n">
        <v>0.75</v>
      </c>
      <c r="G92" s="28" t="n">
        <v>1</v>
      </c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inlineStr">
        <is>
          <t>정상</t>
        </is>
      </c>
      <c r="M92" s="18" t="n"/>
      <c r="N92" s="22" t="n"/>
    </row>
    <row r="93">
      <c r="A93" s="19" t="n">
        <v>46122</v>
      </c>
      <c r="B93" s="25">
        <f>IF(A93="","",CHOOSE(WEEKDAY(A93,2),"월","화","수","목","금","토","일"))</f>
        <v/>
      </c>
      <c r="C93" s="18" t="inlineStr">
        <is>
          <t>M001</t>
        </is>
      </c>
      <c r="D93" s="25">
        <f>IFERROR(IF(C93="","",INDEX(직원명부!$B$5:$B$24,MATCH(C93,직원명부!$A$5:$A$24,0))),"사번 확인")</f>
        <v/>
      </c>
      <c r="E93" s="34" t="n">
        <v>0.375</v>
      </c>
      <c r="F93" s="34" t="n">
        <v>0.75</v>
      </c>
      <c r="G93" s="28" t="n">
        <v>1</v>
      </c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inlineStr">
        <is>
          <t>정상</t>
        </is>
      </c>
      <c r="M93" s="18" t="n"/>
      <c r="N93" s="22" t="n"/>
    </row>
    <row r="94">
      <c r="A94" s="19" t="n">
        <v>46123</v>
      </c>
      <c r="B94" s="25">
        <f>IF(A94="","",CHOOSE(WEEKDAY(A94,2),"월","화","수","목","금","토","일"))</f>
        <v/>
      </c>
      <c r="C94" s="18" t="inlineStr">
        <is>
          <t>M001</t>
        </is>
      </c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42" t="inlineStr">
        <is>
          <t>주말</t>
        </is>
      </c>
    </row>
    <row r="95">
      <c r="A95" s="19" t="n">
        <v>46124</v>
      </c>
      <c r="B95" s="25">
        <f>IF(A95="","",CHOOSE(WEEKDAY(A95,2),"월","화","수","목","금","토","일"))</f>
        <v/>
      </c>
      <c r="C95" s="18" t="inlineStr">
        <is>
          <t>M001</t>
        </is>
      </c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42" t="inlineStr">
        <is>
          <t>주말</t>
        </is>
      </c>
    </row>
    <row r="96">
      <c r="A96" s="19" t="n">
        <v>46125</v>
      </c>
      <c r="B96" s="25">
        <f>IF(A96="","",CHOOSE(WEEKDAY(A96,2),"월","화","수","목","금","토","일"))</f>
        <v/>
      </c>
      <c r="C96" s="18" t="inlineStr">
        <is>
          <t>M001</t>
        </is>
      </c>
      <c r="D96" s="25">
        <f>IFERROR(IF(C96="","",INDEX(직원명부!$B$5:$B$24,MATCH(C96,직원명부!$A$5:$A$24,0))),"사번 확인")</f>
        <v/>
      </c>
      <c r="E96" s="34" t="n">
        <v>0.375</v>
      </c>
      <c r="F96" s="34" t="n">
        <v>0.75</v>
      </c>
      <c r="G96" s="28" t="n">
        <v>1</v>
      </c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inlineStr">
        <is>
          <t>정상</t>
        </is>
      </c>
      <c r="M96" s="18" t="n"/>
      <c r="N96" s="22" t="n"/>
    </row>
    <row r="97">
      <c r="A97" s="19" t="n">
        <v>46126</v>
      </c>
      <c r="B97" s="25">
        <f>IF(A97="","",CHOOSE(WEEKDAY(A97,2),"월","화","수","목","금","토","일"))</f>
        <v/>
      </c>
      <c r="C97" s="18" t="inlineStr">
        <is>
          <t>M001</t>
        </is>
      </c>
      <c r="D97" s="25">
        <f>IFERROR(IF(C97="","",INDEX(직원명부!$B$5:$B$24,MATCH(C97,직원명부!$A$5:$A$24,0))),"사번 확인")</f>
        <v/>
      </c>
      <c r="E97" s="34" t="n">
        <v>0.375</v>
      </c>
      <c r="F97" s="34" t="n">
        <v>0.75</v>
      </c>
      <c r="G97" s="28" t="n">
        <v>1</v>
      </c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inlineStr">
        <is>
          <t>정상</t>
        </is>
      </c>
      <c r="M97" s="18" t="n"/>
      <c r="N97" s="22" t="n"/>
    </row>
    <row r="98">
      <c r="A98" s="19" t="n">
        <v>46127</v>
      </c>
      <c r="B98" s="25">
        <f>IF(A98="","",CHOOSE(WEEKDAY(A98,2),"월","화","수","목","금","토","일"))</f>
        <v/>
      </c>
      <c r="C98" s="18" t="inlineStr">
        <is>
          <t>M001</t>
        </is>
      </c>
      <c r="D98" s="25">
        <f>IFERROR(IF(C98="","",INDEX(직원명부!$B$5:$B$24,MATCH(C98,직원명부!$A$5:$A$24,0))),"사번 확인")</f>
        <v/>
      </c>
      <c r="E98" s="34" t="n">
        <v>0.375</v>
      </c>
      <c r="F98" s="34" t="n">
        <v>0.75</v>
      </c>
      <c r="G98" s="28" t="n">
        <v>1</v>
      </c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inlineStr">
        <is>
          <t>정상</t>
        </is>
      </c>
      <c r="M98" s="18" t="n"/>
      <c r="N98" s="22" t="n"/>
    </row>
    <row r="99">
      <c r="A99" s="19" t="n">
        <v>46128</v>
      </c>
      <c r="B99" s="25">
        <f>IF(A99="","",CHOOSE(WEEKDAY(A99,2),"월","화","수","목","금","토","일"))</f>
        <v/>
      </c>
      <c r="C99" s="18" t="inlineStr">
        <is>
          <t>M001</t>
        </is>
      </c>
      <c r="D99" s="25">
        <f>IFERROR(IF(C99="","",INDEX(직원명부!$B$5:$B$24,MATCH(C99,직원명부!$A$5:$A$24,0))),"사번 확인")</f>
        <v/>
      </c>
      <c r="E99" s="34" t="n">
        <v>0.375</v>
      </c>
      <c r="F99" s="34" t="n">
        <v>0.75</v>
      </c>
      <c r="G99" s="28" t="n">
        <v>1</v>
      </c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inlineStr">
        <is>
          <t>정상</t>
        </is>
      </c>
      <c r="M99" s="18" t="n"/>
      <c r="N99" s="22" t="n"/>
    </row>
    <row r="100">
      <c r="A100" s="19" t="n">
        <v>46129</v>
      </c>
      <c r="B100" s="25">
        <f>IF(A100="","",CHOOSE(WEEKDAY(A100,2),"월","화","수","목","금","토","일"))</f>
        <v/>
      </c>
      <c r="C100" s="18" t="inlineStr">
        <is>
          <t>M001</t>
        </is>
      </c>
      <c r="D100" s="25">
        <f>IFERROR(IF(C100="","",INDEX(직원명부!$B$5:$B$24,MATCH(C100,직원명부!$A$5:$A$24,0))),"사번 확인")</f>
        <v/>
      </c>
      <c r="E100" s="34" t="n">
        <v>0.375</v>
      </c>
      <c r="F100" s="34" t="n">
        <v>0.75</v>
      </c>
      <c r="G100" s="28" t="n">
        <v>1</v>
      </c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inlineStr">
        <is>
          <t>정상</t>
        </is>
      </c>
      <c r="M100" s="18" t="n"/>
      <c r="N100" s="22" t="n"/>
    </row>
    <row r="101">
      <c r="A101" s="19" t="n">
        <v>46130</v>
      </c>
      <c r="B101" s="25">
        <f>IF(A101="","",CHOOSE(WEEKDAY(A101,2),"월","화","수","목","금","토","일"))</f>
        <v/>
      </c>
      <c r="C101" s="18" t="inlineStr">
        <is>
          <t>M001</t>
        </is>
      </c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42" t="inlineStr">
        <is>
          <t>주말</t>
        </is>
      </c>
    </row>
    <row r="102">
      <c r="A102" s="19" t="n">
        <v>46131</v>
      </c>
      <c r="B102" s="25">
        <f>IF(A102="","",CHOOSE(WEEKDAY(A102,2),"월","화","수","목","금","토","일"))</f>
        <v/>
      </c>
      <c r="C102" s="18" t="inlineStr">
        <is>
          <t>M001</t>
        </is>
      </c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42" t="inlineStr">
        <is>
          <t>주말</t>
        </is>
      </c>
    </row>
    <row r="103">
      <c r="A103" s="19" t="n">
        <v>46132</v>
      </c>
      <c r="B103" s="25">
        <f>IF(A103="","",CHOOSE(WEEKDAY(A103,2),"월","화","수","목","금","토","일"))</f>
        <v/>
      </c>
      <c r="C103" s="18" t="inlineStr">
        <is>
          <t>M001</t>
        </is>
      </c>
      <c r="D103" s="25">
        <f>IFERROR(IF(C103="","",INDEX(직원명부!$B$5:$B$24,MATCH(C103,직원명부!$A$5:$A$24,0))),"사번 확인")</f>
        <v/>
      </c>
      <c r="E103" s="34" t="n">
        <v>0.375</v>
      </c>
      <c r="F103" s="34" t="n">
        <v>0.75</v>
      </c>
      <c r="G103" s="28" t="n">
        <v>1</v>
      </c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inlineStr">
        <is>
          <t>정상</t>
        </is>
      </c>
      <c r="M103" s="18" t="n"/>
      <c r="N103" s="22" t="n"/>
    </row>
    <row r="104">
      <c r="A104" s="19" t="n">
        <v>46133</v>
      </c>
      <c r="B104" s="25">
        <f>IF(A104="","",CHOOSE(WEEKDAY(A104,2),"월","화","수","목","금","토","일"))</f>
        <v/>
      </c>
      <c r="C104" s="18" t="inlineStr">
        <is>
          <t>M001</t>
        </is>
      </c>
      <c r="D104" s="25">
        <f>IFERROR(IF(C104="","",INDEX(직원명부!$B$5:$B$24,MATCH(C104,직원명부!$A$5:$A$24,0))),"사번 확인")</f>
        <v/>
      </c>
      <c r="E104" s="34" t="n">
        <v>0.375</v>
      </c>
      <c r="F104" s="34" t="n">
        <v>0.75</v>
      </c>
      <c r="G104" s="28" t="n">
        <v>1</v>
      </c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inlineStr">
        <is>
          <t>정상</t>
        </is>
      </c>
      <c r="M104" s="18" t="n"/>
      <c r="N104" s="22" t="n"/>
    </row>
    <row r="105">
      <c r="A105" s="19" t="n">
        <v>46134</v>
      </c>
      <c r="B105" s="25">
        <f>IF(A105="","",CHOOSE(WEEKDAY(A105,2),"월","화","수","목","금","토","일"))</f>
        <v/>
      </c>
      <c r="C105" s="18" t="inlineStr">
        <is>
          <t>M001</t>
        </is>
      </c>
      <c r="D105" s="25">
        <f>IFERROR(IF(C105="","",INDEX(직원명부!$B$5:$B$24,MATCH(C105,직원명부!$A$5:$A$24,0))),"사번 확인")</f>
        <v/>
      </c>
      <c r="E105" s="34" t="n">
        <v>0.375</v>
      </c>
      <c r="F105" s="34" t="n">
        <v>0.75</v>
      </c>
      <c r="G105" s="28" t="n">
        <v>1</v>
      </c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inlineStr">
        <is>
          <t>정상</t>
        </is>
      </c>
      <c r="M105" s="18" t="n"/>
      <c r="N105" s="22" t="n"/>
    </row>
    <row r="106">
      <c r="A106" s="19" t="n">
        <v>46135</v>
      </c>
      <c r="B106" s="25">
        <f>IF(A106="","",CHOOSE(WEEKDAY(A106,2),"월","화","수","목","금","토","일"))</f>
        <v/>
      </c>
      <c r="C106" s="18" t="inlineStr">
        <is>
          <t>M001</t>
        </is>
      </c>
      <c r="D106" s="25">
        <f>IFERROR(IF(C106="","",INDEX(직원명부!$B$5:$B$24,MATCH(C106,직원명부!$A$5:$A$24,0))),"사번 확인")</f>
        <v/>
      </c>
      <c r="E106" s="34" t="n">
        <v>0.375</v>
      </c>
      <c r="F106" s="34" t="n">
        <v>0.75</v>
      </c>
      <c r="G106" s="28" t="n">
        <v>1</v>
      </c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inlineStr">
        <is>
          <t>정상</t>
        </is>
      </c>
      <c r="M106" s="18" t="n"/>
      <c r="N106" s="22" t="n"/>
    </row>
    <row r="107">
      <c r="A107" s="19" t="n">
        <v>46136</v>
      </c>
      <c r="B107" s="25">
        <f>IF(A107="","",CHOOSE(WEEKDAY(A107,2),"월","화","수","목","금","토","일"))</f>
        <v/>
      </c>
      <c r="C107" s="18" t="inlineStr">
        <is>
          <t>M001</t>
        </is>
      </c>
      <c r="D107" s="25">
        <f>IFERROR(IF(C107="","",INDEX(직원명부!$B$5:$B$24,MATCH(C107,직원명부!$A$5:$A$24,0))),"사번 확인")</f>
        <v/>
      </c>
      <c r="E107" s="34" t="n">
        <v>0.375</v>
      </c>
      <c r="F107" s="34" t="n">
        <v>0.75</v>
      </c>
      <c r="G107" s="28" t="n">
        <v>1</v>
      </c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inlineStr">
        <is>
          <t>정상</t>
        </is>
      </c>
      <c r="M107" s="18" t="n"/>
      <c r="N107" s="22" t="n"/>
    </row>
    <row r="108">
      <c r="A108" s="19" t="n">
        <v>46137</v>
      </c>
      <c r="B108" s="25">
        <f>IF(A108="","",CHOOSE(WEEKDAY(A108,2),"월","화","수","목","금","토","일"))</f>
        <v/>
      </c>
      <c r="C108" s="18" t="inlineStr">
        <is>
          <t>M001</t>
        </is>
      </c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42" t="inlineStr">
        <is>
          <t>주말</t>
        </is>
      </c>
    </row>
    <row r="109">
      <c r="A109" s="19" t="n">
        <v>46138</v>
      </c>
      <c r="B109" s="25">
        <f>IF(A109="","",CHOOSE(WEEKDAY(A109,2),"월","화","수","목","금","토","일"))</f>
        <v/>
      </c>
      <c r="C109" s="18" t="inlineStr">
        <is>
          <t>M001</t>
        </is>
      </c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42" t="inlineStr">
        <is>
          <t>주말</t>
        </is>
      </c>
    </row>
    <row r="110">
      <c r="A110" s="19" t="n">
        <v>46139</v>
      </c>
      <c r="B110" s="25">
        <f>IF(A110="","",CHOOSE(WEEKDAY(A110,2),"월","화","수","목","금","토","일"))</f>
        <v/>
      </c>
      <c r="C110" s="18" t="inlineStr">
        <is>
          <t>M001</t>
        </is>
      </c>
      <c r="D110" s="25">
        <f>IFERROR(IF(C110="","",INDEX(직원명부!$B$5:$B$24,MATCH(C110,직원명부!$A$5:$A$24,0))),"사번 확인")</f>
        <v/>
      </c>
      <c r="E110" s="34" t="n">
        <v>0.375</v>
      </c>
      <c r="F110" s="34" t="n">
        <v>0.75</v>
      </c>
      <c r="G110" s="28" t="n">
        <v>1</v>
      </c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inlineStr">
        <is>
          <t>정상</t>
        </is>
      </c>
      <c r="M110" s="18" t="n"/>
      <c r="N110" s="22" t="n"/>
    </row>
    <row r="111">
      <c r="A111" s="19" t="n">
        <v>46140</v>
      </c>
      <c r="B111" s="25">
        <f>IF(A111="","",CHOOSE(WEEKDAY(A111,2),"월","화","수","목","금","토","일"))</f>
        <v/>
      </c>
      <c r="C111" s="18" t="inlineStr">
        <is>
          <t>M001</t>
        </is>
      </c>
      <c r="D111" s="25">
        <f>IFERROR(IF(C111="","",INDEX(직원명부!$B$5:$B$24,MATCH(C111,직원명부!$A$5:$A$24,0))),"사번 확인")</f>
        <v/>
      </c>
      <c r="E111" s="34" t="n">
        <v>0.375</v>
      </c>
      <c r="F111" s="34" t="n">
        <v>0.75</v>
      </c>
      <c r="G111" s="28" t="n">
        <v>1</v>
      </c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inlineStr">
        <is>
          <t>정상</t>
        </is>
      </c>
      <c r="M111" s="18" t="n"/>
      <c r="N111" s="22" t="n"/>
    </row>
    <row r="112">
      <c r="A112" s="19" t="n">
        <v>46141</v>
      </c>
      <c r="B112" s="25">
        <f>IF(A112="","",CHOOSE(WEEKDAY(A112,2),"월","화","수","목","금","토","일"))</f>
        <v/>
      </c>
      <c r="C112" s="18" t="inlineStr">
        <is>
          <t>M001</t>
        </is>
      </c>
      <c r="D112" s="25">
        <f>IFERROR(IF(C112="","",INDEX(직원명부!$B$5:$B$24,MATCH(C112,직원명부!$A$5:$A$24,0))),"사번 확인")</f>
        <v/>
      </c>
      <c r="E112" s="34" t="n">
        <v>0.375</v>
      </c>
      <c r="F112" s="34" t="n">
        <v>0.75</v>
      </c>
      <c r="G112" s="28" t="n">
        <v>1</v>
      </c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inlineStr">
        <is>
          <t>정상</t>
        </is>
      </c>
      <c r="M112" s="18" t="n"/>
      <c r="N112" s="22" t="n"/>
    </row>
    <row r="113">
      <c r="A113" s="19" t="n">
        <v>46142</v>
      </c>
      <c r="B113" s="25">
        <f>IF(A113="","",CHOOSE(WEEKDAY(A113,2),"월","화","수","목","금","토","일"))</f>
        <v/>
      </c>
      <c r="C113" s="18" t="inlineStr">
        <is>
          <t>M001</t>
        </is>
      </c>
      <c r="D113" s="25">
        <f>IFERROR(IF(C113="","",INDEX(직원명부!$B$5:$B$24,MATCH(C113,직원명부!$A$5:$A$24,0))),"사번 확인")</f>
        <v/>
      </c>
      <c r="E113" s="34" t="n">
        <v>0.375</v>
      </c>
      <c r="F113" s="34" t="n">
        <v>0.75</v>
      </c>
      <c r="G113" s="28" t="n">
        <v>1</v>
      </c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inlineStr">
        <is>
          <t>정상</t>
        </is>
      </c>
      <c r="M113" s="18" t="n"/>
      <c r="N113" s="22" t="n"/>
    </row>
    <row r="114">
      <c r="A114" s="19" t="n">
        <v>46143</v>
      </c>
      <c r="B114" s="25">
        <f>IF(A114="","",CHOOSE(WEEKDAY(A114,2),"월","화","수","목","금","토","일"))</f>
        <v/>
      </c>
      <c r="C114" s="18" t="inlineStr">
        <is>
          <t>M001</t>
        </is>
      </c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42" t="inlineStr">
        <is>
          <t>근로자의 날</t>
        </is>
      </c>
    </row>
    <row r="115">
      <c r="A115" s="19" t="n">
        <v>46144</v>
      </c>
      <c r="B115" s="25">
        <f>IF(A115="","",CHOOSE(WEEKDAY(A115,2),"월","화","수","목","금","토","일"))</f>
        <v/>
      </c>
      <c r="C115" s="18" t="inlineStr">
        <is>
          <t>M001</t>
        </is>
      </c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42" t="inlineStr">
        <is>
          <t>주말</t>
        </is>
      </c>
    </row>
    <row r="116">
      <c r="A116" s="19" t="n">
        <v>46145</v>
      </c>
      <c r="B116" s="25">
        <f>IF(A116="","",CHOOSE(WEEKDAY(A116,2),"월","화","수","목","금","토","일"))</f>
        <v/>
      </c>
      <c r="C116" s="18" t="inlineStr">
        <is>
          <t>M001</t>
        </is>
      </c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42" t="inlineStr">
        <is>
          <t>주말</t>
        </is>
      </c>
    </row>
    <row r="117">
      <c r="A117" s="19" t="n">
        <v>46146</v>
      </c>
      <c r="B117" s="25">
        <f>IF(A117="","",CHOOSE(WEEKDAY(A117,2),"월","화","수","목","금","토","일"))</f>
        <v/>
      </c>
      <c r="C117" s="18" t="inlineStr">
        <is>
          <t>M001</t>
        </is>
      </c>
      <c r="D117" s="25">
        <f>IFERROR(IF(C117="","",INDEX(직원명부!$B$5:$B$24,MATCH(C117,직원명부!$A$5:$A$24,0))),"사번 확인")</f>
        <v/>
      </c>
      <c r="E117" s="34" t="n">
        <v>0.375</v>
      </c>
      <c r="F117" s="34" t="n">
        <v>0.75</v>
      </c>
      <c r="G117" s="28" t="n">
        <v>1</v>
      </c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inlineStr">
        <is>
          <t>정상</t>
        </is>
      </c>
      <c r="M117" s="18" t="n"/>
      <c r="N117" s="22" t="n"/>
    </row>
    <row r="118">
      <c r="A118" s="19" t="n">
        <v>46147</v>
      </c>
      <c r="B118" s="25">
        <f>IF(A118="","",CHOOSE(WEEKDAY(A118,2),"월","화","수","목","금","토","일"))</f>
        <v/>
      </c>
      <c r="C118" s="18" t="inlineStr">
        <is>
          <t>M001</t>
        </is>
      </c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42" t="inlineStr">
        <is>
          <t>어린이날</t>
        </is>
      </c>
    </row>
    <row r="119">
      <c r="A119" s="19" t="n">
        <v>46148</v>
      </c>
      <c r="B119" s="25">
        <f>IF(A119="","",CHOOSE(WEEKDAY(A119,2),"월","화","수","목","금","토","일"))</f>
        <v/>
      </c>
      <c r="C119" s="18" t="inlineStr">
        <is>
          <t>M001</t>
        </is>
      </c>
      <c r="D119" s="25">
        <f>IFERROR(IF(C119="","",INDEX(직원명부!$B$5:$B$24,MATCH(C119,직원명부!$A$5:$A$24,0))),"사번 확인")</f>
        <v/>
      </c>
      <c r="E119" s="34" t="n">
        <v>0.375</v>
      </c>
      <c r="F119" s="34" t="n">
        <v>0.75</v>
      </c>
      <c r="G119" s="28" t="n">
        <v>1</v>
      </c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inlineStr">
        <is>
          <t>정상</t>
        </is>
      </c>
      <c r="M119" s="18" t="n"/>
      <c r="N119" s="22" t="n"/>
    </row>
    <row r="120">
      <c r="A120" s="19" t="n">
        <v>46149</v>
      </c>
      <c r="B120" s="25">
        <f>IF(A120="","",CHOOSE(WEEKDAY(A120,2),"월","화","수","목","금","토","일"))</f>
        <v/>
      </c>
      <c r="C120" s="18" t="inlineStr">
        <is>
          <t>M001</t>
        </is>
      </c>
      <c r="D120" s="25">
        <f>IFERROR(IF(C120="","",INDEX(직원명부!$B$5:$B$24,MATCH(C120,직원명부!$A$5:$A$24,0))),"사번 확인")</f>
        <v/>
      </c>
      <c r="E120" s="34" t="n">
        <v>0.375</v>
      </c>
      <c r="F120" s="34" t="n">
        <v>0.75</v>
      </c>
      <c r="G120" s="28" t="n">
        <v>1</v>
      </c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inlineStr">
        <is>
          <t>정상</t>
        </is>
      </c>
      <c r="M120" s="18" t="n"/>
      <c r="N120" s="22" t="n"/>
    </row>
    <row r="121">
      <c r="A121" s="19" t="n">
        <v>46150</v>
      </c>
      <c r="B121" s="25">
        <f>IF(A121="","",CHOOSE(WEEKDAY(A121,2),"월","화","수","목","금","토","일"))</f>
        <v/>
      </c>
      <c r="C121" s="18" t="inlineStr">
        <is>
          <t>M001</t>
        </is>
      </c>
      <c r="D121" s="25">
        <f>IFERROR(IF(C121="","",INDEX(직원명부!$B$5:$B$24,MATCH(C121,직원명부!$A$5:$A$24,0))),"사번 확인")</f>
        <v/>
      </c>
      <c r="E121" s="34" t="n">
        <v>0.375</v>
      </c>
      <c r="F121" s="34" t="n">
        <v>0.75</v>
      </c>
      <c r="G121" s="28" t="n">
        <v>1</v>
      </c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inlineStr">
        <is>
          <t>정상</t>
        </is>
      </c>
      <c r="M121" s="18" t="n"/>
      <c r="N121" s="22" t="n"/>
    </row>
    <row r="122">
      <c r="A122" s="19" t="n">
        <v>46151</v>
      </c>
      <c r="B122" s="25">
        <f>IF(A122="","",CHOOSE(WEEKDAY(A122,2),"월","화","수","목","금","토","일"))</f>
        <v/>
      </c>
      <c r="C122" s="18" t="inlineStr">
        <is>
          <t>M001</t>
        </is>
      </c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42" t="inlineStr">
        <is>
          <t>주말</t>
        </is>
      </c>
    </row>
    <row r="123">
      <c r="A123" s="19" t="n">
        <v>46152</v>
      </c>
      <c r="B123" s="25">
        <f>IF(A123="","",CHOOSE(WEEKDAY(A123,2),"월","화","수","목","금","토","일"))</f>
        <v/>
      </c>
      <c r="C123" s="18" t="inlineStr">
        <is>
          <t>M001</t>
        </is>
      </c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42" t="inlineStr">
        <is>
          <t>주말</t>
        </is>
      </c>
    </row>
    <row r="124">
      <c r="A124" s="19" t="n">
        <v>46153</v>
      </c>
      <c r="B124" s="25">
        <f>IF(A124="","",CHOOSE(WEEKDAY(A124,2),"월","화","수","목","금","토","일"))</f>
        <v/>
      </c>
      <c r="C124" s="18" t="inlineStr">
        <is>
          <t>M001</t>
        </is>
      </c>
      <c r="D124" s="25">
        <f>IFERROR(IF(C124="","",INDEX(직원명부!$B$5:$B$24,MATCH(C124,직원명부!$A$5:$A$24,0))),"사번 확인")</f>
        <v/>
      </c>
      <c r="E124" s="34" t="n">
        <v>0.375</v>
      </c>
      <c r="F124" s="34" t="n">
        <v>0.75</v>
      </c>
      <c r="G124" s="28" t="n">
        <v>1</v>
      </c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inlineStr">
        <is>
          <t>정상</t>
        </is>
      </c>
      <c r="M124" s="18" t="n"/>
      <c r="N124" s="22" t="n"/>
    </row>
    <row r="125">
      <c r="A125" s="19" t="n">
        <v>46154</v>
      </c>
      <c r="B125" s="25">
        <f>IF(A125="","",CHOOSE(WEEKDAY(A125,2),"월","화","수","목","금","토","일"))</f>
        <v/>
      </c>
      <c r="C125" s="18" t="inlineStr">
        <is>
          <t>M001</t>
        </is>
      </c>
      <c r="D125" s="25">
        <f>IFERROR(IF(C125="","",INDEX(직원명부!$B$5:$B$24,MATCH(C125,직원명부!$A$5:$A$24,0))),"사번 확인")</f>
        <v/>
      </c>
      <c r="E125" s="34" t="n">
        <v>0.375</v>
      </c>
      <c r="F125" s="34" t="n">
        <v>0.75</v>
      </c>
      <c r="G125" s="28" t="n">
        <v>1</v>
      </c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inlineStr">
        <is>
          <t>정상</t>
        </is>
      </c>
      <c r="M125" s="18" t="n"/>
      <c r="N125" s="22" t="n"/>
    </row>
    <row r="126">
      <c r="A126" s="19" t="n">
        <v>46155</v>
      </c>
      <c r="B126" s="25">
        <f>IF(A126="","",CHOOSE(WEEKDAY(A126,2),"월","화","수","목","금","토","일"))</f>
        <v/>
      </c>
      <c r="C126" s="18" t="inlineStr">
        <is>
          <t>M001</t>
        </is>
      </c>
      <c r="D126" s="25">
        <f>IFERROR(IF(C126="","",INDEX(직원명부!$B$5:$B$24,MATCH(C126,직원명부!$A$5:$A$24,0))),"사번 확인")</f>
        <v/>
      </c>
      <c r="E126" s="34" t="n">
        <v>0.375</v>
      </c>
      <c r="F126" s="34" t="n">
        <v>0.75</v>
      </c>
      <c r="G126" s="28" t="n">
        <v>1</v>
      </c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inlineStr">
        <is>
          <t>정상</t>
        </is>
      </c>
      <c r="M126" s="18" t="n"/>
      <c r="N126" s="22" t="n"/>
    </row>
    <row r="127">
      <c r="A127" s="19" t="n">
        <v>46156</v>
      </c>
      <c r="B127" s="25">
        <f>IF(A127="","",CHOOSE(WEEKDAY(A127,2),"월","화","수","목","금","토","일"))</f>
        <v/>
      </c>
      <c r="C127" s="18" t="inlineStr">
        <is>
          <t>M001</t>
        </is>
      </c>
      <c r="D127" s="25">
        <f>IFERROR(IF(C127="","",INDEX(직원명부!$B$5:$B$24,MATCH(C127,직원명부!$A$5:$A$24,0))),"사번 확인")</f>
        <v/>
      </c>
      <c r="E127" s="34" t="n">
        <v>0.375</v>
      </c>
      <c r="F127" s="34" t="n">
        <v>0.75</v>
      </c>
      <c r="G127" s="28" t="n">
        <v>1</v>
      </c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inlineStr">
        <is>
          <t>정상</t>
        </is>
      </c>
      <c r="M127" s="18" t="n"/>
      <c r="N127" s="22" t="n"/>
    </row>
    <row r="128">
      <c r="A128" s="19" t="n">
        <v>46157</v>
      </c>
      <c r="B128" s="25">
        <f>IF(A128="","",CHOOSE(WEEKDAY(A128,2),"월","화","수","목","금","토","일"))</f>
        <v/>
      </c>
      <c r="C128" s="18" t="inlineStr">
        <is>
          <t>M001</t>
        </is>
      </c>
      <c r="D128" s="25">
        <f>IFERROR(IF(C128="","",INDEX(직원명부!$B$5:$B$24,MATCH(C128,직원명부!$A$5:$A$24,0))),"사번 확인")</f>
        <v/>
      </c>
      <c r="E128" s="34" t="n">
        <v>0.375</v>
      </c>
      <c r="F128" s="34" t="n">
        <v>0.75</v>
      </c>
      <c r="G128" s="28" t="n">
        <v>1</v>
      </c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inlineStr">
        <is>
          <t>정상</t>
        </is>
      </c>
      <c r="M128" s="18" t="n"/>
      <c r="N128" s="22" t="n"/>
    </row>
    <row r="129">
      <c r="A129" s="19" t="n">
        <v>46158</v>
      </c>
      <c r="B129" s="25">
        <f>IF(A129="","",CHOOSE(WEEKDAY(A129,2),"월","화","수","목","금","토","일"))</f>
        <v/>
      </c>
      <c r="C129" s="18" t="inlineStr">
        <is>
          <t>M001</t>
        </is>
      </c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42" t="inlineStr">
        <is>
          <t>주말</t>
        </is>
      </c>
    </row>
    <row r="130">
      <c r="A130" s="19" t="n">
        <v>46159</v>
      </c>
      <c r="B130" s="25">
        <f>IF(A130="","",CHOOSE(WEEKDAY(A130,2),"월","화","수","목","금","토","일"))</f>
        <v/>
      </c>
      <c r="C130" s="18" t="inlineStr">
        <is>
          <t>M001</t>
        </is>
      </c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42" t="inlineStr">
        <is>
          <t>주말</t>
        </is>
      </c>
    </row>
    <row r="131">
      <c r="A131" s="19" t="n">
        <v>46160</v>
      </c>
      <c r="B131" s="25">
        <f>IF(A131="","",CHOOSE(WEEKDAY(A131,2),"월","화","수","목","금","토","일"))</f>
        <v/>
      </c>
      <c r="C131" s="18" t="inlineStr">
        <is>
          <t>M001</t>
        </is>
      </c>
      <c r="D131" s="25">
        <f>IFERROR(IF(C131="","",INDEX(직원명부!$B$5:$B$24,MATCH(C131,직원명부!$A$5:$A$24,0))),"사번 확인")</f>
        <v/>
      </c>
      <c r="E131" s="34" t="n">
        <v>0.375</v>
      </c>
      <c r="F131" s="34" t="n">
        <v>0.75</v>
      </c>
      <c r="G131" s="28" t="n">
        <v>1</v>
      </c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inlineStr">
        <is>
          <t>정상</t>
        </is>
      </c>
      <c r="M131" s="18" t="n"/>
      <c r="N131" s="22" t="n"/>
    </row>
    <row r="132">
      <c r="A132" s="19" t="n">
        <v>46161</v>
      </c>
      <c r="B132" s="25">
        <f>IF(A132="","",CHOOSE(WEEKDAY(A132,2),"월","화","수","목","금","토","일"))</f>
        <v/>
      </c>
      <c r="C132" s="18" t="inlineStr">
        <is>
          <t>M001</t>
        </is>
      </c>
      <c r="D132" s="25">
        <f>IFERROR(IF(C132="","",INDEX(직원명부!$B$5:$B$24,MATCH(C132,직원명부!$A$5:$A$24,0))),"사번 확인")</f>
        <v/>
      </c>
      <c r="E132" s="34" t="n">
        <v>0.375</v>
      </c>
      <c r="F132" s="34" t="n">
        <v>0.75</v>
      </c>
      <c r="G132" s="28" t="n">
        <v>1</v>
      </c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inlineStr">
        <is>
          <t>정상</t>
        </is>
      </c>
      <c r="M132" s="18" t="n"/>
      <c r="N132" s="22" t="n"/>
    </row>
    <row r="133">
      <c r="A133" s="19" t="n">
        <v>46162</v>
      </c>
      <c r="B133" s="25">
        <f>IF(A133="","",CHOOSE(WEEKDAY(A133,2),"월","화","수","목","금","토","일"))</f>
        <v/>
      </c>
      <c r="C133" s="18" t="inlineStr">
        <is>
          <t>M001</t>
        </is>
      </c>
      <c r="D133" s="25">
        <f>IFERROR(IF(C133="","",INDEX(직원명부!$B$5:$B$24,MATCH(C133,직원명부!$A$5:$A$24,0))),"사번 확인")</f>
        <v/>
      </c>
      <c r="E133" s="34" t="n">
        <v>0.375</v>
      </c>
      <c r="F133" s="34" t="n">
        <v>0.75</v>
      </c>
      <c r="G133" s="28" t="n">
        <v>1</v>
      </c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inlineStr">
        <is>
          <t>정상</t>
        </is>
      </c>
      <c r="M133" s="18" t="n"/>
      <c r="N133" s="22" t="n"/>
    </row>
    <row r="134">
      <c r="A134" s="19" t="n">
        <v>46163</v>
      </c>
      <c r="B134" s="25">
        <f>IF(A134="","",CHOOSE(WEEKDAY(A134,2),"월","화","수","목","금","토","일"))</f>
        <v/>
      </c>
      <c r="C134" s="18" t="inlineStr">
        <is>
          <t>M001</t>
        </is>
      </c>
      <c r="D134" s="25">
        <f>IFERROR(IF(C134="","",INDEX(직원명부!$B$5:$B$24,MATCH(C134,직원명부!$A$5:$A$24,0))),"사번 확인")</f>
        <v/>
      </c>
      <c r="E134" s="34" t="n">
        <v>0.375</v>
      </c>
      <c r="F134" s="34" t="n">
        <v>0.75</v>
      </c>
      <c r="G134" s="28" t="n">
        <v>1</v>
      </c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inlineStr">
        <is>
          <t>정상</t>
        </is>
      </c>
      <c r="M134" s="18" t="n"/>
      <c r="N134" s="22" t="n"/>
    </row>
    <row r="135">
      <c r="A135" s="19" t="n">
        <v>46164</v>
      </c>
      <c r="B135" s="25">
        <f>IF(A135="","",CHOOSE(WEEKDAY(A135,2),"월","화","수","목","금","토","일"))</f>
        <v/>
      </c>
      <c r="C135" s="18" t="inlineStr">
        <is>
          <t>M001</t>
        </is>
      </c>
      <c r="D135" s="25">
        <f>IFERROR(IF(C135="","",INDEX(직원명부!$B$5:$B$24,MATCH(C135,직원명부!$A$5:$A$24,0))),"사번 확인")</f>
        <v/>
      </c>
      <c r="E135" s="34" t="n">
        <v>0.375</v>
      </c>
      <c r="F135" s="34" t="n">
        <v>0.75</v>
      </c>
      <c r="G135" s="28" t="n">
        <v>1</v>
      </c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inlineStr">
        <is>
          <t>정상</t>
        </is>
      </c>
      <c r="M135" s="18" t="n"/>
      <c r="N135" s="22" t="n"/>
    </row>
    <row r="136">
      <c r="A136" s="19" t="n">
        <v>46165</v>
      </c>
      <c r="B136" s="25">
        <f>IF(A136="","",CHOOSE(WEEKDAY(A136,2),"월","화","수","목","금","토","일"))</f>
        <v/>
      </c>
      <c r="C136" s="18" t="inlineStr">
        <is>
          <t>M001</t>
        </is>
      </c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42" t="inlineStr">
        <is>
          <t>주말</t>
        </is>
      </c>
    </row>
    <row r="137">
      <c r="A137" s="19" t="n">
        <v>46166</v>
      </c>
      <c r="B137" s="25">
        <f>IF(A137="","",CHOOSE(WEEKDAY(A137,2),"월","화","수","목","금","토","일"))</f>
        <v/>
      </c>
      <c r="C137" s="18" t="inlineStr">
        <is>
          <t>M001</t>
        </is>
      </c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42" t="inlineStr">
        <is>
          <t>부처님오신날</t>
        </is>
      </c>
    </row>
    <row r="138">
      <c r="A138" s="19" t="n">
        <v>46167</v>
      </c>
      <c r="B138" s="25">
        <f>IF(A138="","",CHOOSE(WEEKDAY(A138,2),"월","화","수","목","금","토","일"))</f>
        <v/>
      </c>
      <c r="C138" s="18" t="inlineStr">
        <is>
          <t>M001</t>
        </is>
      </c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42" t="inlineStr">
        <is>
          <t>부처님오신날 대체공휴일</t>
        </is>
      </c>
    </row>
    <row r="139">
      <c r="A139" s="19" t="n">
        <v>46168</v>
      </c>
      <c r="B139" s="25">
        <f>IF(A139="","",CHOOSE(WEEKDAY(A139,2),"월","화","수","목","금","토","일"))</f>
        <v/>
      </c>
      <c r="C139" s="18" t="inlineStr">
        <is>
          <t>M001</t>
        </is>
      </c>
      <c r="D139" s="25">
        <f>IFERROR(IF(C139="","",INDEX(직원명부!$B$5:$B$24,MATCH(C139,직원명부!$A$5:$A$24,0))),"사번 확인")</f>
        <v/>
      </c>
      <c r="E139" s="34" t="n">
        <v>0.375</v>
      </c>
      <c r="F139" s="34" t="n">
        <v>0.75</v>
      </c>
      <c r="G139" s="28" t="n">
        <v>1</v>
      </c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inlineStr">
        <is>
          <t>정상</t>
        </is>
      </c>
      <c r="M139" s="18" t="n"/>
      <c r="N139" s="22" t="n"/>
    </row>
    <row r="140">
      <c r="A140" s="19" t="n">
        <v>46169</v>
      </c>
      <c r="B140" s="25">
        <f>IF(A140="","",CHOOSE(WEEKDAY(A140,2),"월","화","수","목","금","토","일"))</f>
        <v/>
      </c>
      <c r="C140" s="18" t="inlineStr">
        <is>
          <t>M001</t>
        </is>
      </c>
      <c r="D140" s="25">
        <f>IFERROR(IF(C140="","",INDEX(직원명부!$B$5:$B$24,MATCH(C140,직원명부!$A$5:$A$24,0))),"사번 확인")</f>
        <v/>
      </c>
      <c r="E140" s="34" t="n">
        <v>0.375</v>
      </c>
      <c r="F140" s="34" t="n">
        <v>0.75</v>
      </c>
      <c r="G140" s="28" t="n">
        <v>1</v>
      </c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inlineStr">
        <is>
          <t>정상</t>
        </is>
      </c>
      <c r="M140" s="18" t="n"/>
      <c r="N140" s="22" t="n"/>
    </row>
    <row r="141">
      <c r="A141" s="19" t="n">
        <v>46170</v>
      </c>
      <c r="B141" s="25">
        <f>IF(A141="","",CHOOSE(WEEKDAY(A141,2),"월","화","수","목","금","토","일"))</f>
        <v/>
      </c>
      <c r="C141" s="18" t="inlineStr">
        <is>
          <t>M001</t>
        </is>
      </c>
      <c r="D141" s="25">
        <f>IFERROR(IF(C141="","",INDEX(직원명부!$B$5:$B$24,MATCH(C141,직원명부!$A$5:$A$24,0))),"사번 확인")</f>
        <v/>
      </c>
      <c r="E141" s="34" t="n">
        <v>0.375</v>
      </c>
      <c r="F141" s="34" t="n">
        <v>0.75</v>
      </c>
      <c r="G141" s="28" t="n">
        <v>1</v>
      </c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inlineStr">
        <is>
          <t>정상</t>
        </is>
      </c>
      <c r="M141" s="18" t="n"/>
      <c r="N141" s="22" t="n"/>
    </row>
    <row r="142">
      <c r="A142" s="19" t="n">
        <v>46171</v>
      </c>
      <c r="B142" s="25">
        <f>IF(A142="","",CHOOSE(WEEKDAY(A142,2),"월","화","수","목","금","토","일"))</f>
        <v/>
      </c>
      <c r="C142" s="18" t="inlineStr">
        <is>
          <t>M001</t>
        </is>
      </c>
      <c r="D142" s="25">
        <f>IFERROR(IF(C142="","",INDEX(직원명부!$B$5:$B$24,MATCH(C142,직원명부!$A$5:$A$24,0))),"사번 확인")</f>
        <v/>
      </c>
      <c r="E142" s="34" t="n">
        <v>0.375</v>
      </c>
      <c r="F142" s="34" t="n">
        <v>0.75</v>
      </c>
      <c r="G142" s="28" t="n">
        <v>1</v>
      </c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inlineStr">
        <is>
          <t>정상</t>
        </is>
      </c>
      <c r="M142" s="18" t="n"/>
      <c r="N142" s="22" t="n"/>
    </row>
    <row r="143">
      <c r="A143" s="19" t="n">
        <v>46172</v>
      </c>
      <c r="B143" s="25">
        <f>IF(A143="","",CHOOSE(WEEKDAY(A143,2),"월","화","수","목","금","토","일"))</f>
        <v/>
      </c>
      <c r="C143" s="18" t="inlineStr">
        <is>
          <t>M001</t>
        </is>
      </c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42" t="inlineStr">
        <is>
          <t>주말</t>
        </is>
      </c>
    </row>
    <row r="144">
      <c r="A144" s="19" t="n">
        <v>46173</v>
      </c>
      <c r="B144" s="25">
        <f>IF(A144="","",CHOOSE(WEEKDAY(A144,2),"월","화","수","목","금","토","일"))</f>
        <v/>
      </c>
      <c r="C144" s="18" t="inlineStr">
        <is>
          <t>M001</t>
        </is>
      </c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42" t="inlineStr">
        <is>
          <t>주말</t>
        </is>
      </c>
    </row>
    <row r="145">
      <c r="A145" s="19" t="n">
        <v>46174</v>
      </c>
      <c r="B145" s="25">
        <f>IF(A145="","",CHOOSE(WEEKDAY(A145,2),"월","화","수","목","금","토","일"))</f>
        <v/>
      </c>
      <c r="C145" s="18" t="inlineStr">
        <is>
          <t>M001</t>
        </is>
      </c>
      <c r="D145" s="25">
        <f>IFERROR(IF(C145="","",INDEX(직원명부!$B$5:$B$24,MATCH(C145,직원명부!$A$5:$A$24,0))),"사번 확인")</f>
        <v/>
      </c>
      <c r="E145" s="34" t="n">
        <v>0.375</v>
      </c>
      <c r="F145" s="34" t="n">
        <v>0.75</v>
      </c>
      <c r="G145" s="28" t="n">
        <v>1</v>
      </c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inlineStr">
        <is>
          <t>정상</t>
        </is>
      </c>
      <c r="M145" s="18" t="n"/>
      <c r="N145" s="22" t="n"/>
    </row>
    <row r="146">
      <c r="A146" s="19" t="n">
        <v>46175</v>
      </c>
      <c r="B146" s="25">
        <f>IF(A146="","",CHOOSE(WEEKDAY(A146,2),"월","화","수","목","금","토","일"))</f>
        <v/>
      </c>
      <c r="C146" s="18" t="inlineStr">
        <is>
          <t>M001</t>
        </is>
      </c>
      <c r="D146" s="25">
        <f>IFERROR(IF(C146="","",INDEX(직원명부!$B$5:$B$24,MATCH(C146,직원명부!$A$5:$A$24,0))),"사번 확인")</f>
        <v/>
      </c>
      <c r="E146" s="34" t="n">
        <v>0.375</v>
      </c>
      <c r="F146" s="34" t="n">
        <v>0.75</v>
      </c>
      <c r="G146" s="28" t="n">
        <v>1</v>
      </c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inlineStr">
        <is>
          <t>정상</t>
        </is>
      </c>
      <c r="M146" s="18" t="n"/>
      <c r="N146" s="22" t="n"/>
    </row>
    <row r="147">
      <c r="A147" s="19" t="n">
        <v>46176</v>
      </c>
      <c r="B147" s="25">
        <f>IF(A147="","",CHOOSE(WEEKDAY(A147,2),"월","화","수","목","금","토","일"))</f>
        <v/>
      </c>
      <c r="C147" s="18" t="inlineStr">
        <is>
          <t>M001</t>
        </is>
      </c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42" t="inlineStr">
        <is>
          <t>지방선거일</t>
        </is>
      </c>
    </row>
    <row r="148">
      <c r="A148" s="19" t="n">
        <v>46177</v>
      </c>
      <c r="B148" s="25">
        <f>IF(A148="","",CHOOSE(WEEKDAY(A148,2),"월","화","수","목","금","토","일"))</f>
        <v/>
      </c>
      <c r="C148" s="18" t="inlineStr">
        <is>
          <t>M001</t>
        </is>
      </c>
      <c r="D148" s="25">
        <f>IFERROR(IF(C148="","",INDEX(직원명부!$B$5:$B$24,MATCH(C148,직원명부!$A$5:$A$24,0))),"사번 확인")</f>
        <v/>
      </c>
      <c r="E148" s="34" t="n">
        <v>0.375</v>
      </c>
      <c r="F148" s="34" t="n">
        <v>0.75</v>
      </c>
      <c r="G148" s="28" t="n">
        <v>1</v>
      </c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inlineStr">
        <is>
          <t>정상</t>
        </is>
      </c>
      <c r="M148" s="18" t="n"/>
      <c r="N148" s="22" t="n"/>
    </row>
    <row r="149">
      <c r="A149" s="19" t="n">
        <v>46178</v>
      </c>
      <c r="B149" s="25">
        <f>IF(A149="","",CHOOSE(WEEKDAY(A149,2),"월","화","수","목","금","토","일"))</f>
        <v/>
      </c>
      <c r="C149" s="18" t="inlineStr">
        <is>
          <t>M001</t>
        </is>
      </c>
      <c r="D149" s="25">
        <f>IFERROR(IF(C149="","",INDEX(직원명부!$B$5:$B$24,MATCH(C149,직원명부!$A$5:$A$24,0))),"사번 확인")</f>
        <v/>
      </c>
      <c r="E149" s="34" t="n">
        <v>0.375</v>
      </c>
      <c r="F149" s="34" t="n">
        <v>0.75</v>
      </c>
      <c r="G149" s="28" t="n">
        <v>1</v>
      </c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inlineStr">
        <is>
          <t>정상</t>
        </is>
      </c>
      <c r="M149" s="18" t="n"/>
      <c r="N149" s="22" t="n"/>
    </row>
    <row r="150">
      <c r="A150" s="19" t="n">
        <v>46179</v>
      </c>
      <c r="B150" s="25">
        <f>IF(A150="","",CHOOSE(WEEKDAY(A150,2),"월","화","수","목","금","토","일"))</f>
        <v/>
      </c>
      <c r="C150" s="18" t="inlineStr">
        <is>
          <t>M001</t>
        </is>
      </c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42" t="inlineStr">
        <is>
          <t>현충일</t>
        </is>
      </c>
    </row>
    <row r="151">
      <c r="A151" s="19" t="n">
        <v>46180</v>
      </c>
      <c r="B151" s="25">
        <f>IF(A151="","",CHOOSE(WEEKDAY(A151,2),"월","화","수","목","금","토","일"))</f>
        <v/>
      </c>
      <c r="C151" s="18" t="inlineStr">
        <is>
          <t>M001</t>
        </is>
      </c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42" t="inlineStr">
        <is>
          <t>주말</t>
        </is>
      </c>
    </row>
    <row r="152">
      <c r="A152" s="19" t="n">
        <v>46181</v>
      </c>
      <c r="B152" s="25">
        <f>IF(A152="","",CHOOSE(WEEKDAY(A152,2),"월","화","수","목","금","토","일"))</f>
        <v/>
      </c>
      <c r="C152" s="18" t="inlineStr">
        <is>
          <t>M001</t>
        </is>
      </c>
      <c r="D152" s="25">
        <f>IFERROR(IF(C152="","",INDEX(직원명부!$B$5:$B$24,MATCH(C152,직원명부!$A$5:$A$24,0))),"사번 확인")</f>
        <v/>
      </c>
      <c r="E152" s="34" t="n">
        <v>0.375</v>
      </c>
      <c r="F152" s="34" t="n">
        <v>0.75</v>
      </c>
      <c r="G152" s="28" t="n">
        <v>1</v>
      </c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inlineStr">
        <is>
          <t>정상</t>
        </is>
      </c>
      <c r="M152" s="18" t="n"/>
      <c r="N152" s="22" t="n"/>
    </row>
    <row r="153">
      <c r="A153" s="19" t="n">
        <v>46182</v>
      </c>
      <c r="B153" s="25">
        <f>IF(A153="","",CHOOSE(WEEKDAY(A153,2),"월","화","수","목","금","토","일"))</f>
        <v/>
      </c>
      <c r="C153" s="18" t="inlineStr">
        <is>
          <t>M001</t>
        </is>
      </c>
      <c r="D153" s="25">
        <f>IFERROR(IF(C153="","",INDEX(직원명부!$B$5:$B$24,MATCH(C153,직원명부!$A$5:$A$24,0))),"사번 확인")</f>
        <v/>
      </c>
      <c r="E153" s="34" t="n">
        <v>0.375</v>
      </c>
      <c r="F153" s="34" t="n">
        <v>0.75</v>
      </c>
      <c r="G153" s="28" t="n">
        <v>1</v>
      </c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inlineStr">
        <is>
          <t>정상</t>
        </is>
      </c>
      <c r="M153" s="18" t="n"/>
      <c r="N153" s="22" t="n"/>
    </row>
    <row r="154">
      <c r="A154" s="19" t="n">
        <v>46183</v>
      </c>
      <c r="B154" s="25">
        <f>IF(A154="","",CHOOSE(WEEKDAY(A154,2),"월","화","수","목","금","토","일"))</f>
        <v/>
      </c>
      <c r="C154" s="18" t="inlineStr">
        <is>
          <t>M001</t>
        </is>
      </c>
      <c r="D154" s="25">
        <f>IFERROR(IF(C154="","",INDEX(직원명부!$B$5:$B$24,MATCH(C154,직원명부!$A$5:$A$24,0))),"사번 확인")</f>
        <v/>
      </c>
      <c r="E154" s="34" t="n">
        <v>0.375</v>
      </c>
      <c r="F154" s="34" t="n">
        <v>0.75</v>
      </c>
      <c r="G154" s="28" t="n">
        <v>1</v>
      </c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inlineStr">
        <is>
          <t>정상</t>
        </is>
      </c>
      <c r="M154" s="18" t="n"/>
      <c r="N154" s="22" t="n"/>
    </row>
    <row r="155">
      <c r="A155" s="19" t="n">
        <v>46184</v>
      </c>
      <c r="B155" s="25">
        <f>IF(A155="","",CHOOSE(WEEKDAY(A155,2),"월","화","수","목","금","토","일"))</f>
        <v/>
      </c>
      <c r="C155" s="18" t="inlineStr">
        <is>
          <t>M001</t>
        </is>
      </c>
      <c r="D155" s="25">
        <f>IFERROR(IF(C155="","",INDEX(직원명부!$B$5:$B$24,MATCH(C155,직원명부!$A$5:$A$24,0))),"사번 확인")</f>
        <v/>
      </c>
      <c r="E155" s="34" t="n">
        <v>0.375</v>
      </c>
      <c r="F155" s="34" t="n">
        <v>0.75</v>
      </c>
      <c r="G155" s="28" t="n">
        <v>1</v>
      </c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inlineStr">
        <is>
          <t>정상</t>
        </is>
      </c>
      <c r="M155" s="18" t="n"/>
      <c r="N155" s="22" t="n"/>
    </row>
    <row r="156">
      <c r="A156" s="19" t="n">
        <v>46185</v>
      </c>
      <c r="B156" s="25">
        <f>IF(A156="","",CHOOSE(WEEKDAY(A156,2),"월","화","수","목","금","토","일"))</f>
        <v/>
      </c>
      <c r="C156" s="18" t="inlineStr">
        <is>
          <t>M001</t>
        </is>
      </c>
      <c r="D156" s="25">
        <f>IFERROR(IF(C156="","",INDEX(직원명부!$B$5:$B$24,MATCH(C156,직원명부!$A$5:$A$24,0))),"사번 확인")</f>
        <v/>
      </c>
      <c r="E156" s="34" t="n">
        <v>0.375</v>
      </c>
      <c r="F156" s="34" t="n">
        <v>0.75</v>
      </c>
      <c r="G156" s="28" t="n">
        <v>1</v>
      </c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inlineStr">
        <is>
          <t>정상</t>
        </is>
      </c>
      <c r="M156" s="18" t="n"/>
      <c r="N156" s="22" t="n"/>
    </row>
    <row r="157">
      <c r="A157" s="19" t="n">
        <v>46186</v>
      </c>
      <c r="B157" s="25">
        <f>IF(A157="","",CHOOSE(WEEKDAY(A157,2),"월","화","수","목","금","토","일"))</f>
        <v/>
      </c>
      <c r="C157" s="18" t="inlineStr">
        <is>
          <t>M001</t>
        </is>
      </c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42" t="inlineStr">
        <is>
          <t>주말</t>
        </is>
      </c>
    </row>
    <row r="158">
      <c r="A158" s="19" t="n">
        <v>46187</v>
      </c>
      <c r="B158" s="25">
        <f>IF(A158="","",CHOOSE(WEEKDAY(A158,2),"월","화","수","목","금","토","일"))</f>
        <v/>
      </c>
      <c r="C158" s="18" t="inlineStr">
        <is>
          <t>M001</t>
        </is>
      </c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42" t="inlineStr">
        <is>
          <t>주말</t>
        </is>
      </c>
    </row>
    <row r="159">
      <c r="A159" s="19" t="n">
        <v>46188</v>
      </c>
      <c r="B159" s="25">
        <f>IF(A159="","",CHOOSE(WEEKDAY(A159,2),"월","화","수","목","금","토","일"))</f>
        <v/>
      </c>
      <c r="C159" s="18" t="inlineStr">
        <is>
          <t>M001</t>
        </is>
      </c>
      <c r="D159" s="25">
        <f>IFERROR(IF(C159="","",INDEX(직원명부!$B$5:$B$24,MATCH(C159,직원명부!$A$5:$A$24,0))),"사번 확인")</f>
        <v/>
      </c>
      <c r="E159" s="34" t="n">
        <v>0.375</v>
      </c>
      <c r="F159" s="34" t="n">
        <v>0.75</v>
      </c>
      <c r="G159" s="28" t="n">
        <v>1</v>
      </c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inlineStr">
        <is>
          <t>정상</t>
        </is>
      </c>
      <c r="M159" s="18" t="n"/>
      <c r="N159" s="22" t="n"/>
    </row>
    <row r="160">
      <c r="A160" s="19" t="n">
        <v>46189</v>
      </c>
      <c r="B160" s="25">
        <f>IF(A160="","",CHOOSE(WEEKDAY(A160,2),"월","화","수","목","금","토","일"))</f>
        <v/>
      </c>
      <c r="C160" s="18" t="inlineStr">
        <is>
          <t>M001</t>
        </is>
      </c>
      <c r="D160" s="25">
        <f>IFERROR(IF(C160="","",INDEX(직원명부!$B$5:$B$24,MATCH(C160,직원명부!$A$5:$A$24,0))),"사번 확인")</f>
        <v/>
      </c>
      <c r="E160" s="34" t="n">
        <v>0.375</v>
      </c>
      <c r="F160" s="34" t="n">
        <v>0.75</v>
      </c>
      <c r="G160" s="28" t="n">
        <v>1</v>
      </c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inlineStr">
        <is>
          <t>정상</t>
        </is>
      </c>
      <c r="M160" s="18" t="n"/>
      <c r="N160" s="22" t="n"/>
    </row>
    <row r="161">
      <c r="A161" s="19" t="n">
        <v>46190</v>
      </c>
      <c r="B161" s="25">
        <f>IF(A161="","",CHOOSE(WEEKDAY(A161,2),"월","화","수","목","금","토","일"))</f>
        <v/>
      </c>
      <c r="C161" s="18" t="inlineStr">
        <is>
          <t>M001</t>
        </is>
      </c>
      <c r="D161" s="25">
        <f>IFERROR(IF(C161="","",INDEX(직원명부!$B$5:$B$24,MATCH(C161,직원명부!$A$5:$A$24,0))),"사번 확인")</f>
        <v/>
      </c>
      <c r="E161" s="34" t="n">
        <v>0.375</v>
      </c>
      <c r="F161" s="34" t="n">
        <v>0.75</v>
      </c>
      <c r="G161" s="28" t="n">
        <v>1</v>
      </c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inlineStr">
        <is>
          <t>정상</t>
        </is>
      </c>
      <c r="M161" s="18" t="n"/>
      <c r="N161" s="22" t="n"/>
    </row>
    <row r="162">
      <c r="A162" s="19" t="n">
        <v>46191</v>
      </c>
      <c r="B162" s="25">
        <f>IF(A162="","",CHOOSE(WEEKDAY(A162,2),"월","화","수","목","금","토","일"))</f>
        <v/>
      </c>
      <c r="C162" s="18" t="inlineStr">
        <is>
          <t>M001</t>
        </is>
      </c>
      <c r="D162" s="25">
        <f>IFERROR(IF(C162="","",INDEX(직원명부!$B$5:$B$24,MATCH(C162,직원명부!$A$5:$A$24,0))),"사번 확인")</f>
        <v/>
      </c>
      <c r="E162" s="34" t="n">
        <v>0.375</v>
      </c>
      <c r="F162" s="34" t="n">
        <v>0.75</v>
      </c>
      <c r="G162" s="28" t="n">
        <v>1</v>
      </c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inlineStr">
        <is>
          <t>정상</t>
        </is>
      </c>
      <c r="M162" s="18" t="n"/>
      <c r="N162" s="22" t="n"/>
    </row>
    <row r="163">
      <c r="A163" s="19" t="n">
        <v>46192</v>
      </c>
      <c r="B163" s="25">
        <f>IF(A163="","",CHOOSE(WEEKDAY(A163,2),"월","화","수","목","금","토","일"))</f>
        <v/>
      </c>
      <c r="C163" s="18" t="inlineStr">
        <is>
          <t>M001</t>
        </is>
      </c>
      <c r="D163" s="25">
        <f>IFERROR(IF(C163="","",INDEX(직원명부!$B$5:$B$24,MATCH(C163,직원명부!$A$5:$A$24,0))),"사번 확인")</f>
        <v/>
      </c>
      <c r="E163" s="34" t="n">
        <v>0.375</v>
      </c>
      <c r="F163" s="34" t="n">
        <v>0.75</v>
      </c>
      <c r="G163" s="28" t="n">
        <v>1</v>
      </c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inlineStr">
        <is>
          <t>정상</t>
        </is>
      </c>
      <c r="M163" s="18" t="n"/>
      <c r="N163" s="22" t="n"/>
    </row>
    <row r="164">
      <c r="A164" s="19" t="n">
        <v>46193</v>
      </c>
      <c r="B164" s="25">
        <f>IF(A164="","",CHOOSE(WEEKDAY(A164,2),"월","화","수","목","금","토","일"))</f>
        <v/>
      </c>
      <c r="C164" s="18" t="inlineStr">
        <is>
          <t>M001</t>
        </is>
      </c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42" t="inlineStr">
        <is>
          <t>주말</t>
        </is>
      </c>
    </row>
    <row r="165">
      <c r="A165" s="19" t="n">
        <v>46194</v>
      </c>
      <c r="B165" s="25">
        <f>IF(A165="","",CHOOSE(WEEKDAY(A165,2),"월","화","수","목","금","토","일"))</f>
        <v/>
      </c>
      <c r="C165" s="18" t="inlineStr">
        <is>
          <t>M001</t>
        </is>
      </c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42" t="inlineStr">
        <is>
          <t>주말</t>
        </is>
      </c>
    </row>
    <row r="166">
      <c r="A166" s="19" t="n">
        <v>46195</v>
      </c>
      <c r="B166" s="25">
        <f>IF(A166="","",CHOOSE(WEEKDAY(A166,2),"월","화","수","목","금","토","일"))</f>
        <v/>
      </c>
      <c r="C166" s="18" t="inlineStr">
        <is>
          <t>M001</t>
        </is>
      </c>
      <c r="D166" s="25">
        <f>IFERROR(IF(C166="","",INDEX(직원명부!$B$5:$B$24,MATCH(C166,직원명부!$A$5:$A$24,0))),"사번 확인")</f>
        <v/>
      </c>
      <c r="E166" s="34" t="n">
        <v>0.375</v>
      </c>
      <c r="F166" s="34" t="n">
        <v>0.75</v>
      </c>
      <c r="G166" s="28" t="n">
        <v>1</v>
      </c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inlineStr">
        <is>
          <t>정상</t>
        </is>
      </c>
      <c r="M166" s="18" t="n"/>
      <c r="N166" s="22" t="n"/>
    </row>
    <row r="167">
      <c r="A167" s="19" t="n">
        <v>46196</v>
      </c>
      <c r="B167" s="25">
        <f>IF(A167="","",CHOOSE(WEEKDAY(A167,2),"월","화","수","목","금","토","일"))</f>
        <v/>
      </c>
      <c r="C167" s="18" t="inlineStr">
        <is>
          <t>M001</t>
        </is>
      </c>
      <c r="D167" s="25">
        <f>IFERROR(IF(C167="","",INDEX(직원명부!$B$5:$B$24,MATCH(C167,직원명부!$A$5:$A$24,0))),"사번 확인")</f>
        <v/>
      </c>
      <c r="E167" s="34" t="n">
        <v>0.375</v>
      </c>
      <c r="F167" s="34" t="n">
        <v>0.75</v>
      </c>
      <c r="G167" s="28" t="n">
        <v>1</v>
      </c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inlineStr">
        <is>
          <t>정상</t>
        </is>
      </c>
      <c r="M167" s="18" t="n"/>
      <c r="N167" s="22" t="n"/>
    </row>
    <row r="168">
      <c r="A168" s="19" t="n">
        <v>46197</v>
      </c>
      <c r="B168" s="25">
        <f>IF(A168="","",CHOOSE(WEEKDAY(A168,2),"월","화","수","목","금","토","일"))</f>
        <v/>
      </c>
      <c r="C168" s="18" t="inlineStr">
        <is>
          <t>M001</t>
        </is>
      </c>
      <c r="D168" s="25">
        <f>IFERROR(IF(C168="","",INDEX(직원명부!$B$5:$B$24,MATCH(C168,직원명부!$A$5:$A$24,0))),"사번 확인")</f>
        <v/>
      </c>
      <c r="E168" s="34" t="n">
        <v>0.375</v>
      </c>
      <c r="F168" s="34" t="n">
        <v>0.75</v>
      </c>
      <c r="G168" s="28" t="n">
        <v>1</v>
      </c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inlineStr">
        <is>
          <t>정상</t>
        </is>
      </c>
      <c r="M168" s="18" t="n"/>
      <c r="N168" s="22" t="n"/>
    </row>
    <row r="169">
      <c r="A169" s="19" t="n">
        <v>46198</v>
      </c>
      <c r="B169" s="25">
        <f>IF(A169="","",CHOOSE(WEEKDAY(A169,2),"월","화","수","목","금","토","일"))</f>
        <v/>
      </c>
      <c r="C169" s="18" t="inlineStr">
        <is>
          <t>M001</t>
        </is>
      </c>
      <c r="D169" s="25">
        <f>IFERROR(IF(C169="","",INDEX(직원명부!$B$5:$B$24,MATCH(C169,직원명부!$A$5:$A$24,0))),"사번 확인")</f>
        <v/>
      </c>
      <c r="E169" s="34" t="n">
        <v>0.375</v>
      </c>
      <c r="F169" s="34" t="n">
        <v>0.75</v>
      </c>
      <c r="G169" s="28" t="n">
        <v>1</v>
      </c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inlineStr">
        <is>
          <t>정상</t>
        </is>
      </c>
      <c r="M169" s="18" t="n"/>
      <c r="N169" s="22" t="n"/>
    </row>
    <row r="170">
      <c r="A170" s="19" t="n">
        <v>46199</v>
      </c>
      <c r="B170" s="25">
        <f>IF(A170="","",CHOOSE(WEEKDAY(A170,2),"월","화","수","목","금","토","일"))</f>
        <v/>
      </c>
      <c r="C170" s="18" t="inlineStr">
        <is>
          <t>M001</t>
        </is>
      </c>
      <c r="D170" s="25">
        <f>IFERROR(IF(C170="","",INDEX(직원명부!$B$5:$B$24,MATCH(C170,직원명부!$A$5:$A$24,0))),"사번 확인")</f>
        <v/>
      </c>
      <c r="E170" s="34" t="n">
        <v>0.375</v>
      </c>
      <c r="F170" s="34" t="n">
        <v>0.75</v>
      </c>
      <c r="G170" s="28" t="n">
        <v>1</v>
      </c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inlineStr">
        <is>
          <t>정상</t>
        </is>
      </c>
      <c r="M170" s="18" t="n"/>
      <c r="N170" s="22" t="n"/>
    </row>
    <row r="171">
      <c r="A171" s="19" t="n">
        <v>46200</v>
      </c>
      <c r="B171" s="25">
        <f>IF(A171="","",CHOOSE(WEEKDAY(A171,2),"월","화","수","목","금","토","일"))</f>
        <v/>
      </c>
      <c r="C171" s="18" t="inlineStr">
        <is>
          <t>M001</t>
        </is>
      </c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42" t="inlineStr">
        <is>
          <t>주말</t>
        </is>
      </c>
    </row>
    <row r="172">
      <c r="A172" s="19" t="n">
        <v>46201</v>
      </c>
      <c r="B172" s="25">
        <f>IF(A172="","",CHOOSE(WEEKDAY(A172,2),"월","화","수","목","금","토","일"))</f>
        <v/>
      </c>
      <c r="C172" s="18" t="inlineStr">
        <is>
          <t>M001</t>
        </is>
      </c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42" t="inlineStr">
        <is>
          <t>주말</t>
        </is>
      </c>
    </row>
    <row r="173">
      <c r="A173" s="19" t="n">
        <v>46202</v>
      </c>
      <c r="B173" s="25">
        <f>IF(A173="","",CHOOSE(WEEKDAY(A173,2),"월","화","수","목","금","토","일"))</f>
        <v/>
      </c>
      <c r="C173" s="18" t="inlineStr">
        <is>
          <t>M001</t>
        </is>
      </c>
      <c r="D173" s="25">
        <f>IFERROR(IF(C173="","",INDEX(직원명부!$B$5:$B$24,MATCH(C173,직원명부!$A$5:$A$24,0))),"사번 확인")</f>
        <v/>
      </c>
      <c r="E173" s="34" t="n">
        <v>0.375</v>
      </c>
      <c r="F173" s="34" t="n">
        <v>0.75</v>
      </c>
      <c r="G173" s="28" t="n">
        <v>1</v>
      </c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inlineStr">
        <is>
          <t>정상</t>
        </is>
      </c>
      <c r="M173" s="18" t="n"/>
      <c r="N173" s="22" t="n"/>
    </row>
    <row r="174">
      <c r="A174" s="19" t="n">
        <v>46203</v>
      </c>
      <c r="B174" s="25">
        <f>IF(A174="","",CHOOSE(WEEKDAY(A174,2),"월","화","수","목","금","토","일"))</f>
        <v/>
      </c>
      <c r="C174" s="18" t="inlineStr">
        <is>
          <t>M001</t>
        </is>
      </c>
      <c r="D174" s="25">
        <f>IFERROR(IF(C174="","",INDEX(직원명부!$B$5:$B$24,MATCH(C174,직원명부!$A$5:$A$24,0))),"사번 확인")</f>
        <v/>
      </c>
      <c r="E174" s="34" t="n">
        <v>0.375</v>
      </c>
      <c r="F174" s="34" t="n">
        <v>0.75</v>
      </c>
      <c r="G174" s="28" t="n">
        <v>1</v>
      </c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inlineStr">
        <is>
          <t>정상</t>
        </is>
      </c>
      <c r="M174" s="18" t="n"/>
      <c r="N174" s="22" t="n"/>
    </row>
    <row r="175">
      <c r="A175" s="19" t="n">
        <v>46204</v>
      </c>
      <c r="B175" s="25">
        <f>IF(A175="","",CHOOSE(WEEKDAY(A175,2),"월","화","수","목","금","토","일"))</f>
        <v/>
      </c>
      <c r="C175" s="18" t="inlineStr">
        <is>
          <t>M001</t>
        </is>
      </c>
      <c r="D175" s="25">
        <f>IFERROR(IF(C175="","",INDEX(직원명부!$B$5:$B$24,MATCH(C175,직원명부!$A$5:$A$24,0))),"사번 확인")</f>
        <v/>
      </c>
      <c r="E175" s="34" t="n">
        <v>0.375</v>
      </c>
      <c r="F175" s="34" t="n">
        <v>0.75</v>
      </c>
      <c r="G175" s="28" t="n">
        <v>1</v>
      </c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inlineStr">
        <is>
          <t>정상</t>
        </is>
      </c>
      <c r="M175" s="18" t="n"/>
      <c r="N175" s="22" t="n"/>
    </row>
    <row r="176">
      <c r="A176" s="19" t="n">
        <v>46205</v>
      </c>
      <c r="B176" s="25">
        <f>IF(A176="","",CHOOSE(WEEKDAY(A176,2),"월","화","수","목","금","토","일"))</f>
        <v/>
      </c>
      <c r="C176" s="18" t="inlineStr">
        <is>
          <t>M001</t>
        </is>
      </c>
      <c r="D176" s="25">
        <f>IFERROR(IF(C176="","",INDEX(직원명부!$B$5:$B$24,MATCH(C176,직원명부!$A$5:$A$24,0))),"사번 확인")</f>
        <v/>
      </c>
      <c r="E176" s="34" t="n">
        <v>0.375</v>
      </c>
      <c r="F176" s="34" t="n">
        <v>0.75</v>
      </c>
      <c r="G176" s="28" t="n">
        <v>1</v>
      </c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inlineStr">
        <is>
          <t>정상</t>
        </is>
      </c>
      <c r="M176" s="18" t="n"/>
      <c r="N176" s="22" t="n"/>
    </row>
    <row r="177">
      <c r="A177" s="19" t="n">
        <v>46206</v>
      </c>
      <c r="B177" s="25">
        <f>IF(A177="","",CHOOSE(WEEKDAY(A177,2),"월","화","수","목","금","토","일"))</f>
        <v/>
      </c>
      <c r="C177" s="18" t="inlineStr">
        <is>
          <t>M001</t>
        </is>
      </c>
      <c r="D177" s="25">
        <f>IFERROR(IF(C177="","",INDEX(직원명부!$B$5:$B$24,MATCH(C177,직원명부!$A$5:$A$24,0))),"사번 확인")</f>
        <v/>
      </c>
      <c r="E177" s="34" t="n">
        <v>0.375</v>
      </c>
      <c r="F177" s="34" t="n">
        <v>0.75</v>
      </c>
      <c r="G177" s="28" t="n">
        <v>1</v>
      </c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inlineStr">
        <is>
          <t>정상</t>
        </is>
      </c>
      <c r="M177" s="18" t="n"/>
      <c r="N177" s="22" t="n"/>
    </row>
    <row r="178">
      <c r="A178" s="19" t="n">
        <v>46207</v>
      </c>
      <c r="B178" s="25">
        <f>IF(A178="","",CHOOSE(WEEKDAY(A178,2),"월","화","수","목","금","토","일"))</f>
        <v/>
      </c>
      <c r="C178" s="18" t="inlineStr">
        <is>
          <t>M001</t>
        </is>
      </c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42" t="inlineStr">
        <is>
          <t>주말</t>
        </is>
      </c>
    </row>
    <row r="179">
      <c r="A179" s="19" t="n">
        <v>46208</v>
      </c>
      <c r="B179" s="25">
        <f>IF(A179="","",CHOOSE(WEEKDAY(A179,2),"월","화","수","목","금","토","일"))</f>
        <v/>
      </c>
      <c r="C179" s="18" t="inlineStr">
        <is>
          <t>M001</t>
        </is>
      </c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42" t="inlineStr">
        <is>
          <t>주말</t>
        </is>
      </c>
    </row>
    <row r="180">
      <c r="A180" s="19" t="n">
        <v>46209</v>
      </c>
      <c r="B180" s="25">
        <f>IF(A180="","",CHOOSE(WEEKDAY(A180,2),"월","화","수","목","금","토","일"))</f>
        <v/>
      </c>
      <c r="C180" s="18" t="inlineStr">
        <is>
          <t>M001</t>
        </is>
      </c>
      <c r="D180" s="25">
        <f>IFERROR(IF(C180="","",INDEX(직원명부!$B$5:$B$24,MATCH(C180,직원명부!$A$5:$A$24,0))),"사번 확인")</f>
        <v/>
      </c>
      <c r="E180" s="34" t="n">
        <v>0.375</v>
      </c>
      <c r="F180" s="34" t="n">
        <v>0.75</v>
      </c>
      <c r="G180" s="28" t="n">
        <v>1</v>
      </c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inlineStr">
        <is>
          <t>정상</t>
        </is>
      </c>
      <c r="M180" s="18" t="n"/>
      <c r="N180" s="22" t="n"/>
    </row>
    <row r="181">
      <c r="A181" s="19" t="n">
        <v>46210</v>
      </c>
      <c r="B181" s="25">
        <f>IF(A181="","",CHOOSE(WEEKDAY(A181,2),"월","화","수","목","금","토","일"))</f>
        <v/>
      </c>
      <c r="C181" s="18" t="inlineStr">
        <is>
          <t>M001</t>
        </is>
      </c>
      <c r="D181" s="25">
        <f>IFERROR(IF(C181="","",INDEX(직원명부!$B$5:$B$24,MATCH(C181,직원명부!$A$5:$A$24,0))),"사번 확인")</f>
        <v/>
      </c>
      <c r="E181" s="34" t="n">
        <v>0.375</v>
      </c>
      <c r="F181" s="34" t="n">
        <v>0.75</v>
      </c>
      <c r="G181" s="28" t="n">
        <v>1</v>
      </c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inlineStr">
        <is>
          <t>정상</t>
        </is>
      </c>
      <c r="M181" s="18" t="n"/>
      <c r="N181" s="22" t="n"/>
    </row>
    <row r="182">
      <c r="A182" s="19" t="n">
        <v>46211</v>
      </c>
      <c r="B182" s="25">
        <f>IF(A182="","",CHOOSE(WEEKDAY(A182,2),"월","화","수","목","금","토","일"))</f>
        <v/>
      </c>
      <c r="C182" s="18" t="inlineStr">
        <is>
          <t>M001</t>
        </is>
      </c>
      <c r="D182" s="25">
        <f>IFERROR(IF(C182="","",INDEX(직원명부!$B$5:$B$24,MATCH(C182,직원명부!$A$5:$A$24,0))),"사번 확인")</f>
        <v/>
      </c>
      <c r="E182" s="34" t="n">
        <v>0.375</v>
      </c>
      <c r="F182" s="34" t="n">
        <v>0.75</v>
      </c>
      <c r="G182" s="28" t="n">
        <v>1</v>
      </c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inlineStr">
        <is>
          <t>정상</t>
        </is>
      </c>
      <c r="M182" s="18" t="n"/>
      <c r="N182" s="22" t="n"/>
    </row>
    <row r="183">
      <c r="A183" s="19" t="n">
        <v>46212</v>
      </c>
      <c r="B183" s="25">
        <f>IF(A183="","",CHOOSE(WEEKDAY(A183,2),"월","화","수","목","금","토","일"))</f>
        <v/>
      </c>
      <c r="C183" s="18" t="inlineStr">
        <is>
          <t>M001</t>
        </is>
      </c>
      <c r="D183" s="25">
        <f>IFERROR(IF(C183="","",INDEX(직원명부!$B$5:$B$24,MATCH(C183,직원명부!$A$5:$A$24,0))),"사번 확인")</f>
        <v/>
      </c>
      <c r="E183" s="34" t="n">
        <v>0.375</v>
      </c>
      <c r="F183" s="34" t="n">
        <v>0.75</v>
      </c>
      <c r="G183" s="28" t="n">
        <v>1</v>
      </c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inlineStr">
        <is>
          <t>정상</t>
        </is>
      </c>
      <c r="M183" s="18" t="n"/>
      <c r="N183" s="22" t="n"/>
    </row>
    <row r="184">
      <c r="A184" s="19" t="n">
        <v>46213</v>
      </c>
      <c r="B184" s="25">
        <f>IF(A184="","",CHOOSE(WEEKDAY(A184,2),"월","화","수","목","금","토","일"))</f>
        <v/>
      </c>
      <c r="C184" s="18" t="inlineStr">
        <is>
          <t>M001</t>
        </is>
      </c>
      <c r="D184" s="25">
        <f>IFERROR(IF(C184="","",INDEX(직원명부!$B$5:$B$24,MATCH(C184,직원명부!$A$5:$A$24,0))),"사번 확인")</f>
        <v/>
      </c>
      <c r="E184" s="34" t="n">
        <v>0.375</v>
      </c>
      <c r="F184" s="34" t="n">
        <v>0.75</v>
      </c>
      <c r="G184" s="28" t="n">
        <v>1</v>
      </c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inlineStr">
        <is>
          <t>정상</t>
        </is>
      </c>
      <c r="M184" s="18" t="n"/>
      <c r="N184" s="22" t="n"/>
    </row>
    <row r="185">
      <c r="A185" s="19" t="n">
        <v>46214</v>
      </c>
      <c r="B185" s="25">
        <f>IF(A185="","",CHOOSE(WEEKDAY(A185,2),"월","화","수","목","금","토","일"))</f>
        <v/>
      </c>
      <c r="C185" s="18" t="inlineStr">
        <is>
          <t>M001</t>
        </is>
      </c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42" t="inlineStr">
        <is>
          <t>주말</t>
        </is>
      </c>
    </row>
    <row r="186">
      <c r="A186" s="19" t="n">
        <v>46215</v>
      </c>
      <c r="B186" s="25">
        <f>IF(A186="","",CHOOSE(WEEKDAY(A186,2),"월","화","수","목","금","토","일"))</f>
        <v/>
      </c>
      <c r="C186" s="18" t="inlineStr">
        <is>
          <t>M001</t>
        </is>
      </c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42" t="inlineStr">
        <is>
          <t>주말</t>
        </is>
      </c>
    </row>
    <row r="187">
      <c r="A187" s="19" t="n">
        <v>46216</v>
      </c>
      <c r="B187" s="25">
        <f>IF(A187="","",CHOOSE(WEEKDAY(A187,2),"월","화","수","목","금","토","일"))</f>
        <v/>
      </c>
      <c r="C187" s="18" t="inlineStr">
        <is>
          <t>M001</t>
        </is>
      </c>
      <c r="D187" s="25">
        <f>IFERROR(IF(C187="","",INDEX(직원명부!$B$5:$B$24,MATCH(C187,직원명부!$A$5:$A$24,0))),"사번 확인")</f>
        <v/>
      </c>
      <c r="E187" s="34" t="n">
        <v>0.375</v>
      </c>
      <c r="F187" s="34" t="n">
        <v>0.75</v>
      </c>
      <c r="G187" s="28" t="n">
        <v>1</v>
      </c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inlineStr">
        <is>
          <t>정상</t>
        </is>
      </c>
      <c r="M187" s="18" t="n"/>
      <c r="N187" s="22" t="n"/>
    </row>
    <row r="188">
      <c r="A188" s="19" t="n">
        <v>46217</v>
      </c>
      <c r="B188" s="25">
        <f>IF(A188="","",CHOOSE(WEEKDAY(A188,2),"월","화","수","목","금","토","일"))</f>
        <v/>
      </c>
      <c r="C188" s="18" t="inlineStr">
        <is>
          <t>M001</t>
        </is>
      </c>
      <c r="D188" s="25">
        <f>IFERROR(IF(C188="","",INDEX(직원명부!$B$5:$B$24,MATCH(C188,직원명부!$A$5:$A$24,0))),"사번 확인")</f>
        <v/>
      </c>
      <c r="E188" s="34" t="n">
        <v>0.375</v>
      </c>
      <c r="F188" s="34" t="n">
        <v>0.75</v>
      </c>
      <c r="G188" s="28" t="n">
        <v>1</v>
      </c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inlineStr">
        <is>
          <t>정상</t>
        </is>
      </c>
      <c r="M188" s="18" t="n"/>
      <c r="N188" s="22" t="n"/>
    </row>
    <row r="189">
      <c r="A189" s="19" t="n">
        <v>46218</v>
      </c>
      <c r="B189" s="25">
        <f>IF(A189="","",CHOOSE(WEEKDAY(A189,2),"월","화","수","목","금","토","일"))</f>
        <v/>
      </c>
      <c r="C189" s="18" t="inlineStr">
        <is>
          <t>M001</t>
        </is>
      </c>
      <c r="D189" s="25">
        <f>IFERROR(IF(C189="","",INDEX(직원명부!$B$5:$B$24,MATCH(C189,직원명부!$A$5:$A$24,0))),"사번 확인")</f>
        <v/>
      </c>
      <c r="E189" s="34" t="n">
        <v>0.375</v>
      </c>
      <c r="F189" s="34" t="n">
        <v>0.75</v>
      </c>
      <c r="G189" s="28" t="n">
        <v>1</v>
      </c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inlineStr">
        <is>
          <t>정상</t>
        </is>
      </c>
      <c r="M189" s="18" t="n"/>
      <c r="N189" s="22" t="n"/>
    </row>
    <row r="190">
      <c r="A190" s="19" t="n">
        <v>46219</v>
      </c>
      <c r="B190" s="25">
        <f>IF(A190="","",CHOOSE(WEEKDAY(A190,2),"월","화","수","목","금","토","일"))</f>
        <v/>
      </c>
      <c r="C190" s="18" t="inlineStr">
        <is>
          <t>M001</t>
        </is>
      </c>
      <c r="D190" s="25">
        <f>IFERROR(IF(C190="","",INDEX(직원명부!$B$5:$B$24,MATCH(C190,직원명부!$A$5:$A$24,0))),"사번 확인")</f>
        <v/>
      </c>
      <c r="E190" s="34" t="n">
        <v>0.375</v>
      </c>
      <c r="F190" s="34" t="n">
        <v>0.75</v>
      </c>
      <c r="G190" s="28" t="n">
        <v>1</v>
      </c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inlineStr">
        <is>
          <t>정상</t>
        </is>
      </c>
      <c r="M190" s="18" t="n"/>
      <c r="N190" s="22" t="n"/>
    </row>
    <row r="191">
      <c r="A191" s="19" t="n">
        <v>46220</v>
      </c>
      <c r="B191" s="25">
        <f>IF(A191="","",CHOOSE(WEEKDAY(A191,2),"월","화","수","목","금","토","일"))</f>
        <v/>
      </c>
      <c r="C191" s="18" t="inlineStr">
        <is>
          <t>M001</t>
        </is>
      </c>
      <c r="D191" s="25">
        <f>IFERROR(IF(C191="","",INDEX(직원명부!$B$5:$B$24,MATCH(C191,직원명부!$A$5:$A$24,0))),"사번 확인")</f>
        <v/>
      </c>
      <c r="E191" s="34" t="n">
        <v>0.375</v>
      </c>
      <c r="F191" s="34" t="n">
        <v>0.75</v>
      </c>
      <c r="G191" s="28" t="n">
        <v>1</v>
      </c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inlineStr">
        <is>
          <t>정상</t>
        </is>
      </c>
      <c r="M191" s="18" t="n"/>
      <c r="N191" s="22" t="n"/>
    </row>
    <row r="192">
      <c r="A192" s="19" t="n">
        <v>46221</v>
      </c>
      <c r="B192" s="25">
        <f>IF(A192="","",CHOOSE(WEEKDAY(A192,2),"월","화","수","목","금","토","일"))</f>
        <v/>
      </c>
      <c r="C192" s="18" t="inlineStr">
        <is>
          <t>M001</t>
        </is>
      </c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42" t="inlineStr">
        <is>
          <t>주말</t>
        </is>
      </c>
    </row>
    <row r="193">
      <c r="A193" s="19" t="n">
        <v>46222</v>
      </c>
      <c r="B193" s="25">
        <f>IF(A193="","",CHOOSE(WEEKDAY(A193,2),"월","화","수","목","금","토","일"))</f>
        <v/>
      </c>
      <c r="C193" s="18" t="inlineStr">
        <is>
          <t>M001</t>
        </is>
      </c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42" t="inlineStr">
        <is>
          <t>주말</t>
        </is>
      </c>
    </row>
    <row r="194">
      <c r="A194" s="19" t="n">
        <v>46223</v>
      </c>
      <c r="B194" s="25">
        <f>IF(A194="","",CHOOSE(WEEKDAY(A194,2),"월","화","수","목","금","토","일"))</f>
        <v/>
      </c>
      <c r="C194" s="18" t="inlineStr">
        <is>
          <t>M001</t>
        </is>
      </c>
      <c r="D194" s="25">
        <f>IFERROR(IF(C194="","",INDEX(직원명부!$B$5:$B$24,MATCH(C194,직원명부!$A$5:$A$24,0))),"사번 확인")</f>
        <v/>
      </c>
      <c r="E194" s="34" t="n">
        <v>0.375</v>
      </c>
      <c r="F194" s="34" t="n">
        <v>0.75</v>
      </c>
      <c r="G194" s="28" t="n">
        <v>1</v>
      </c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inlineStr">
        <is>
          <t>정상</t>
        </is>
      </c>
      <c r="M194" s="18" t="n"/>
      <c r="N194" s="22" t="n"/>
    </row>
    <row r="195">
      <c r="A195" s="19" t="n">
        <v>46224</v>
      </c>
      <c r="B195" s="25">
        <f>IF(A195="","",CHOOSE(WEEKDAY(A195,2),"월","화","수","목","금","토","일"))</f>
        <v/>
      </c>
      <c r="C195" s="18" t="inlineStr">
        <is>
          <t>M001</t>
        </is>
      </c>
      <c r="D195" s="25">
        <f>IFERROR(IF(C195="","",INDEX(직원명부!$B$5:$B$24,MATCH(C195,직원명부!$A$5:$A$24,0))),"사번 확인")</f>
        <v/>
      </c>
      <c r="E195" s="34" t="n">
        <v>0.375</v>
      </c>
      <c r="F195" s="34" t="n">
        <v>0.75</v>
      </c>
      <c r="G195" s="28" t="n">
        <v>1</v>
      </c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inlineStr">
        <is>
          <t>정상</t>
        </is>
      </c>
      <c r="M195" s="18" t="n"/>
      <c r="N195" s="22" t="n"/>
    </row>
    <row r="196">
      <c r="A196" s="19" t="n">
        <v>46225</v>
      </c>
      <c r="B196" s="25">
        <f>IF(A196="","",CHOOSE(WEEKDAY(A196,2),"월","화","수","목","금","토","일"))</f>
        <v/>
      </c>
      <c r="C196" s="18" t="inlineStr">
        <is>
          <t>M001</t>
        </is>
      </c>
      <c r="D196" s="25">
        <f>IFERROR(IF(C196="","",INDEX(직원명부!$B$5:$B$24,MATCH(C196,직원명부!$A$5:$A$24,0))),"사번 확인")</f>
        <v/>
      </c>
      <c r="E196" s="34" t="n">
        <v>0.375</v>
      </c>
      <c r="F196" s="34" t="n">
        <v>0.75</v>
      </c>
      <c r="G196" s="28" t="n">
        <v>1</v>
      </c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inlineStr">
        <is>
          <t>정상</t>
        </is>
      </c>
      <c r="M196" s="18" t="n"/>
      <c r="N196" s="22" t="n"/>
    </row>
    <row r="197">
      <c r="A197" s="19" t="n">
        <v>46226</v>
      </c>
      <c r="B197" s="25">
        <f>IF(A197="","",CHOOSE(WEEKDAY(A197,2),"월","화","수","목","금","토","일"))</f>
        <v/>
      </c>
      <c r="C197" s="18" t="inlineStr">
        <is>
          <t>M001</t>
        </is>
      </c>
      <c r="D197" s="25">
        <f>IFERROR(IF(C197="","",INDEX(직원명부!$B$5:$B$24,MATCH(C197,직원명부!$A$5:$A$24,0))),"사번 확인")</f>
        <v/>
      </c>
      <c r="E197" s="34" t="n">
        <v>0.375</v>
      </c>
      <c r="F197" s="34" t="n">
        <v>0.75</v>
      </c>
      <c r="G197" s="28" t="n">
        <v>1</v>
      </c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inlineStr">
        <is>
          <t>정상</t>
        </is>
      </c>
      <c r="M197" s="18" t="n"/>
      <c r="N197" s="22" t="n"/>
    </row>
    <row r="198">
      <c r="A198" s="19" t="n">
        <v>46227</v>
      </c>
      <c r="B198" s="25">
        <f>IF(A198="","",CHOOSE(WEEKDAY(A198,2),"월","화","수","목","금","토","일"))</f>
        <v/>
      </c>
      <c r="C198" s="18" t="inlineStr">
        <is>
          <t>M001</t>
        </is>
      </c>
      <c r="D198" s="25">
        <f>IFERROR(IF(C198="","",INDEX(직원명부!$B$5:$B$24,MATCH(C198,직원명부!$A$5:$A$24,0))),"사번 확인")</f>
        <v/>
      </c>
      <c r="E198" s="34" t="n">
        <v>0.375</v>
      </c>
      <c r="F198" s="34" t="n">
        <v>0.75</v>
      </c>
      <c r="G198" s="28" t="n">
        <v>1</v>
      </c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inlineStr">
        <is>
          <t>정상</t>
        </is>
      </c>
      <c r="M198" s="18" t="n"/>
      <c r="N198" s="22" t="n"/>
    </row>
    <row r="199">
      <c r="A199" s="19" t="n">
        <v>46228</v>
      </c>
      <c r="B199" s="25">
        <f>IF(A199="","",CHOOSE(WEEKDAY(A199,2),"월","화","수","목","금","토","일"))</f>
        <v/>
      </c>
      <c r="C199" s="18" t="inlineStr">
        <is>
          <t>M001</t>
        </is>
      </c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42" t="inlineStr">
        <is>
          <t>주말</t>
        </is>
      </c>
    </row>
    <row r="200">
      <c r="A200" s="19" t="n">
        <v>46229</v>
      </c>
      <c r="B200" s="25">
        <f>IF(A200="","",CHOOSE(WEEKDAY(A200,2),"월","화","수","목","금","토","일"))</f>
        <v/>
      </c>
      <c r="C200" s="18" t="inlineStr">
        <is>
          <t>M001</t>
        </is>
      </c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42" t="inlineStr">
        <is>
          <t>주말</t>
        </is>
      </c>
    </row>
    <row r="201">
      <c r="A201" s="19" t="n">
        <v>46230</v>
      </c>
      <c r="B201" s="25">
        <f>IF(A201="","",CHOOSE(WEEKDAY(A201,2),"월","화","수","목","금","토","일"))</f>
        <v/>
      </c>
      <c r="C201" s="18" t="inlineStr">
        <is>
          <t>M001</t>
        </is>
      </c>
      <c r="D201" s="25">
        <f>IFERROR(IF(C201="","",INDEX(직원명부!$B$5:$B$24,MATCH(C201,직원명부!$A$5:$A$24,0))),"사번 확인")</f>
        <v/>
      </c>
      <c r="E201" s="34" t="n">
        <v>0.375</v>
      </c>
      <c r="F201" s="34" t="n">
        <v>0.75</v>
      </c>
      <c r="G201" s="28" t="n">
        <v>1</v>
      </c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inlineStr">
        <is>
          <t>정상</t>
        </is>
      </c>
      <c r="M201" s="18" t="n"/>
      <c r="N201" s="22" t="n"/>
    </row>
    <row r="202">
      <c r="A202" s="19" t="n">
        <v>46231</v>
      </c>
      <c r="B202" s="25">
        <f>IF(A202="","",CHOOSE(WEEKDAY(A202,2),"월","화","수","목","금","토","일"))</f>
        <v/>
      </c>
      <c r="C202" s="18" t="inlineStr">
        <is>
          <t>M001</t>
        </is>
      </c>
      <c r="D202" s="25">
        <f>IFERROR(IF(C202="","",INDEX(직원명부!$B$5:$B$24,MATCH(C202,직원명부!$A$5:$A$24,0))),"사번 확인")</f>
        <v/>
      </c>
      <c r="E202" s="34" t="n">
        <v>0.375</v>
      </c>
      <c r="F202" s="34" t="n">
        <v>0.75</v>
      </c>
      <c r="G202" s="28" t="n">
        <v>1</v>
      </c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inlineStr">
        <is>
          <t>정상</t>
        </is>
      </c>
      <c r="M202" s="18" t="n"/>
      <c r="N202" s="22" t="n"/>
    </row>
    <row r="203">
      <c r="A203" s="19" t="n">
        <v>46232</v>
      </c>
      <c r="B203" s="25">
        <f>IF(A203="","",CHOOSE(WEEKDAY(A203,2),"월","화","수","목","금","토","일"))</f>
        <v/>
      </c>
      <c r="C203" s="18" t="inlineStr">
        <is>
          <t>M001</t>
        </is>
      </c>
      <c r="D203" s="25">
        <f>IFERROR(IF(C203="","",INDEX(직원명부!$B$5:$B$24,MATCH(C203,직원명부!$A$5:$A$24,0))),"사번 확인")</f>
        <v/>
      </c>
      <c r="E203" s="34" t="n">
        <v>0.375</v>
      </c>
      <c r="F203" s="34" t="n">
        <v>0.75</v>
      </c>
      <c r="G203" s="28" t="n">
        <v>1</v>
      </c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inlineStr">
        <is>
          <t>정상</t>
        </is>
      </c>
      <c r="M203" s="18" t="n"/>
      <c r="N203" s="22" t="n"/>
    </row>
    <row r="204">
      <c r="A204" s="19" t="n">
        <v>46233</v>
      </c>
      <c r="B204" s="25">
        <f>IF(A204="","",CHOOSE(WEEKDAY(A204,2),"월","화","수","목","금","토","일"))</f>
        <v/>
      </c>
      <c r="C204" s="18" t="inlineStr">
        <is>
          <t>M001</t>
        </is>
      </c>
      <c r="D204" s="25">
        <f>IFERROR(IF(C204="","",INDEX(직원명부!$B$5:$B$24,MATCH(C204,직원명부!$A$5:$A$24,0))),"사번 확인")</f>
        <v/>
      </c>
      <c r="E204" s="34" t="n">
        <v>0.375</v>
      </c>
      <c r="F204" s="34" t="n">
        <v>0.75</v>
      </c>
      <c r="G204" s="28" t="n">
        <v>1</v>
      </c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inlineStr">
        <is>
          <t>정상</t>
        </is>
      </c>
      <c r="M204" s="18" t="n"/>
      <c r="N204" s="22" t="n"/>
    </row>
    <row r="205">
      <c r="A205" s="19" t="n">
        <v>46234</v>
      </c>
      <c r="B205" s="25">
        <f>IF(A205="","",CHOOSE(WEEKDAY(A205,2),"월","화","수","목","금","토","일"))</f>
        <v/>
      </c>
      <c r="C205" s="18" t="inlineStr">
        <is>
          <t>M001</t>
        </is>
      </c>
      <c r="D205" s="25">
        <f>IFERROR(IF(C205="","",INDEX(직원명부!$B$5:$B$24,MATCH(C205,직원명부!$A$5:$A$24,0))),"사번 확인")</f>
        <v/>
      </c>
      <c r="E205" s="34" t="n">
        <v>0.375</v>
      </c>
      <c r="F205" s="34" t="n">
        <v>0.75</v>
      </c>
      <c r="G205" s="28" t="n">
        <v>1</v>
      </c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inlineStr">
        <is>
          <t>정상</t>
        </is>
      </c>
      <c r="M205" s="18" t="n"/>
      <c r="N205" s="22" t="n"/>
    </row>
    <row r="206">
      <c r="A206" s="19" t="n">
        <v>46235</v>
      </c>
      <c r="B206" s="25">
        <f>IF(A206="","",CHOOSE(WEEKDAY(A206,2),"월","화","수","목","금","토","일"))</f>
        <v/>
      </c>
      <c r="C206" s="18" t="inlineStr">
        <is>
          <t>M001</t>
        </is>
      </c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42" t="inlineStr">
        <is>
          <t>주말</t>
        </is>
      </c>
    </row>
    <row r="207">
      <c r="A207" s="19" t="n">
        <v>46236</v>
      </c>
      <c r="B207" s="25">
        <f>IF(A207="","",CHOOSE(WEEKDAY(A207,2),"월","화","수","목","금","토","일"))</f>
        <v/>
      </c>
      <c r="C207" s="18" t="inlineStr">
        <is>
          <t>M001</t>
        </is>
      </c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42" t="inlineStr">
        <is>
          <t>주말</t>
        </is>
      </c>
    </row>
    <row r="208">
      <c r="A208" s="19" t="n">
        <v>46237</v>
      </c>
      <c r="B208" s="25">
        <f>IF(A208="","",CHOOSE(WEEKDAY(A208,2),"월","화","수","목","금","토","일"))</f>
        <v/>
      </c>
      <c r="C208" s="18" t="inlineStr">
        <is>
          <t>M001</t>
        </is>
      </c>
      <c r="D208" s="25">
        <f>IFERROR(IF(C208="","",INDEX(직원명부!$B$5:$B$24,MATCH(C208,직원명부!$A$5:$A$24,0))),"사번 확인")</f>
        <v/>
      </c>
      <c r="E208" s="34" t="n">
        <v>0.375</v>
      </c>
      <c r="F208" s="34" t="n">
        <v>0.75</v>
      </c>
      <c r="G208" s="28" t="n">
        <v>1</v>
      </c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inlineStr">
        <is>
          <t>정상</t>
        </is>
      </c>
      <c r="M208" s="18" t="n"/>
      <c r="N208" s="22" t="n"/>
    </row>
    <row r="209">
      <c r="A209" s="19" t="n">
        <v>46238</v>
      </c>
      <c r="B209" s="25">
        <f>IF(A209="","",CHOOSE(WEEKDAY(A209,2),"월","화","수","목","금","토","일"))</f>
        <v/>
      </c>
      <c r="C209" s="18" t="inlineStr">
        <is>
          <t>M001</t>
        </is>
      </c>
      <c r="D209" s="25">
        <f>IFERROR(IF(C209="","",INDEX(직원명부!$B$5:$B$24,MATCH(C209,직원명부!$A$5:$A$24,0))),"사번 확인")</f>
        <v/>
      </c>
      <c r="E209" s="34" t="n">
        <v>0.375</v>
      </c>
      <c r="F209" s="34" t="n">
        <v>0.75</v>
      </c>
      <c r="G209" s="28" t="n">
        <v>1</v>
      </c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inlineStr">
        <is>
          <t>정상</t>
        </is>
      </c>
      <c r="M209" s="18" t="n"/>
      <c r="N209" s="22" t="n"/>
    </row>
    <row r="210">
      <c r="A210" s="19" t="n">
        <v>46239</v>
      </c>
      <c r="B210" s="25">
        <f>IF(A210="","",CHOOSE(WEEKDAY(A210,2),"월","화","수","목","금","토","일"))</f>
        <v/>
      </c>
      <c r="C210" s="18" t="inlineStr">
        <is>
          <t>M001</t>
        </is>
      </c>
      <c r="D210" s="25">
        <f>IFERROR(IF(C210="","",INDEX(직원명부!$B$5:$B$24,MATCH(C210,직원명부!$A$5:$A$24,0))),"사번 확인")</f>
        <v/>
      </c>
      <c r="E210" s="34" t="n">
        <v>0.375</v>
      </c>
      <c r="F210" s="34" t="n">
        <v>0.75</v>
      </c>
      <c r="G210" s="28" t="n">
        <v>1</v>
      </c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inlineStr">
        <is>
          <t>정상</t>
        </is>
      </c>
      <c r="M210" s="18" t="n"/>
      <c r="N210" s="22" t="n"/>
    </row>
    <row r="211">
      <c r="A211" s="19" t="n">
        <v>46240</v>
      </c>
      <c r="B211" s="25">
        <f>IF(A211="","",CHOOSE(WEEKDAY(A211,2),"월","화","수","목","금","토","일"))</f>
        <v/>
      </c>
      <c r="C211" s="18" t="inlineStr">
        <is>
          <t>M001</t>
        </is>
      </c>
      <c r="D211" s="25">
        <f>IFERROR(IF(C211="","",INDEX(직원명부!$B$5:$B$24,MATCH(C211,직원명부!$A$5:$A$24,0))),"사번 확인")</f>
        <v/>
      </c>
      <c r="E211" s="34" t="n">
        <v>0.375</v>
      </c>
      <c r="F211" s="34" t="n">
        <v>0.75</v>
      </c>
      <c r="G211" s="28" t="n">
        <v>1</v>
      </c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inlineStr">
        <is>
          <t>정상</t>
        </is>
      </c>
      <c r="M211" s="18" t="n"/>
      <c r="N211" s="22" t="n"/>
    </row>
    <row r="212">
      <c r="A212" s="19" t="n">
        <v>46241</v>
      </c>
      <c r="B212" s="25">
        <f>IF(A212="","",CHOOSE(WEEKDAY(A212,2),"월","화","수","목","금","토","일"))</f>
        <v/>
      </c>
      <c r="C212" s="18" t="inlineStr">
        <is>
          <t>M001</t>
        </is>
      </c>
      <c r="D212" s="25">
        <f>IFERROR(IF(C212="","",INDEX(직원명부!$B$5:$B$24,MATCH(C212,직원명부!$A$5:$A$24,0))),"사번 확인")</f>
        <v/>
      </c>
      <c r="E212" s="34" t="n">
        <v>0.375</v>
      </c>
      <c r="F212" s="34" t="n">
        <v>0.75</v>
      </c>
      <c r="G212" s="28" t="n">
        <v>1</v>
      </c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inlineStr">
        <is>
          <t>정상</t>
        </is>
      </c>
      <c r="M212" s="18" t="n"/>
      <c r="N212" s="22" t="n"/>
    </row>
    <row r="213">
      <c r="A213" s="19" t="n">
        <v>46242</v>
      </c>
      <c r="B213" s="25">
        <f>IF(A213="","",CHOOSE(WEEKDAY(A213,2),"월","화","수","목","금","토","일"))</f>
        <v/>
      </c>
      <c r="C213" s="18" t="inlineStr">
        <is>
          <t>M001</t>
        </is>
      </c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42" t="inlineStr">
        <is>
          <t>주말</t>
        </is>
      </c>
    </row>
    <row r="214">
      <c r="A214" s="19" t="n">
        <v>46243</v>
      </c>
      <c r="B214" s="25">
        <f>IF(A214="","",CHOOSE(WEEKDAY(A214,2),"월","화","수","목","금","토","일"))</f>
        <v/>
      </c>
      <c r="C214" s="18" t="inlineStr">
        <is>
          <t>M001</t>
        </is>
      </c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42" t="inlineStr">
        <is>
          <t>주말</t>
        </is>
      </c>
    </row>
    <row r="215">
      <c r="A215" s="19" t="n">
        <v>46244</v>
      </c>
      <c r="B215" s="25">
        <f>IF(A215="","",CHOOSE(WEEKDAY(A215,2),"월","화","수","목","금","토","일"))</f>
        <v/>
      </c>
      <c r="C215" s="18" t="inlineStr">
        <is>
          <t>M001</t>
        </is>
      </c>
      <c r="D215" s="25">
        <f>IFERROR(IF(C215="","",INDEX(직원명부!$B$5:$B$24,MATCH(C215,직원명부!$A$5:$A$24,0))),"사번 확인")</f>
        <v/>
      </c>
      <c r="E215" s="34" t="n">
        <v>0.375</v>
      </c>
      <c r="F215" s="34" t="n">
        <v>0.75</v>
      </c>
      <c r="G215" s="28" t="n">
        <v>1</v>
      </c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inlineStr">
        <is>
          <t>정상</t>
        </is>
      </c>
      <c r="M215" s="18" t="n"/>
      <c r="N215" s="22" t="n"/>
    </row>
    <row r="216">
      <c r="A216" s="19" t="n">
        <v>46245</v>
      </c>
      <c r="B216" s="25">
        <f>IF(A216="","",CHOOSE(WEEKDAY(A216,2),"월","화","수","목","금","토","일"))</f>
        <v/>
      </c>
      <c r="C216" s="18" t="inlineStr">
        <is>
          <t>M001</t>
        </is>
      </c>
      <c r="D216" s="25">
        <f>IFERROR(IF(C216="","",INDEX(직원명부!$B$5:$B$24,MATCH(C216,직원명부!$A$5:$A$24,0))),"사번 확인")</f>
        <v/>
      </c>
      <c r="E216" s="34" t="n">
        <v>0.375</v>
      </c>
      <c r="F216" s="34" t="n">
        <v>0.75</v>
      </c>
      <c r="G216" s="28" t="n">
        <v>1</v>
      </c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inlineStr">
        <is>
          <t>정상</t>
        </is>
      </c>
      <c r="M216" s="18" t="n"/>
      <c r="N216" s="22" t="n"/>
    </row>
    <row r="217">
      <c r="A217" s="19" t="n">
        <v>46246</v>
      </c>
      <c r="B217" s="25">
        <f>IF(A217="","",CHOOSE(WEEKDAY(A217,2),"월","화","수","목","금","토","일"))</f>
        <v/>
      </c>
      <c r="C217" s="18" t="inlineStr">
        <is>
          <t>M001</t>
        </is>
      </c>
      <c r="D217" s="25">
        <f>IFERROR(IF(C217="","",INDEX(직원명부!$B$5:$B$24,MATCH(C217,직원명부!$A$5:$A$24,0))),"사번 확인")</f>
        <v/>
      </c>
      <c r="E217" s="34" t="n">
        <v>0.375</v>
      </c>
      <c r="F217" s="34" t="n">
        <v>0.75</v>
      </c>
      <c r="G217" s="28" t="n">
        <v>1</v>
      </c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inlineStr">
        <is>
          <t>정상</t>
        </is>
      </c>
      <c r="M217" s="18" t="n"/>
      <c r="N217" s="22" t="n"/>
    </row>
    <row r="218">
      <c r="A218" s="19" t="n">
        <v>46247</v>
      </c>
      <c r="B218" s="25">
        <f>IF(A218="","",CHOOSE(WEEKDAY(A218,2),"월","화","수","목","금","토","일"))</f>
        <v/>
      </c>
      <c r="C218" s="18" t="inlineStr">
        <is>
          <t>M001</t>
        </is>
      </c>
      <c r="D218" s="25">
        <f>IFERROR(IF(C218="","",INDEX(직원명부!$B$5:$B$24,MATCH(C218,직원명부!$A$5:$A$24,0))),"사번 확인")</f>
        <v/>
      </c>
      <c r="E218" s="34" t="n">
        <v>0.375</v>
      </c>
      <c r="F218" s="34" t="n">
        <v>0.75</v>
      </c>
      <c r="G218" s="28" t="n">
        <v>1</v>
      </c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inlineStr">
        <is>
          <t>정상</t>
        </is>
      </c>
      <c r="M218" s="18" t="n"/>
      <c r="N218" s="22" t="n"/>
    </row>
    <row r="219">
      <c r="A219" s="19" t="n">
        <v>46248</v>
      </c>
      <c r="B219" s="25">
        <f>IF(A219="","",CHOOSE(WEEKDAY(A219,2),"월","화","수","목","금","토","일"))</f>
        <v/>
      </c>
      <c r="C219" s="18" t="inlineStr">
        <is>
          <t>M001</t>
        </is>
      </c>
      <c r="D219" s="25">
        <f>IFERROR(IF(C219="","",INDEX(직원명부!$B$5:$B$24,MATCH(C219,직원명부!$A$5:$A$24,0))),"사번 확인")</f>
        <v/>
      </c>
      <c r="E219" s="34" t="n">
        <v>0.375</v>
      </c>
      <c r="F219" s="34" t="n">
        <v>0.75</v>
      </c>
      <c r="G219" s="28" t="n">
        <v>1</v>
      </c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inlineStr">
        <is>
          <t>정상</t>
        </is>
      </c>
      <c r="M219" s="18" t="n"/>
      <c r="N219" s="22" t="n"/>
    </row>
    <row r="220">
      <c r="A220" s="19" t="n">
        <v>46249</v>
      </c>
      <c r="B220" s="25">
        <f>IF(A220="","",CHOOSE(WEEKDAY(A220,2),"월","화","수","목","금","토","일"))</f>
        <v/>
      </c>
      <c r="C220" s="18" t="inlineStr">
        <is>
          <t>M001</t>
        </is>
      </c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42" t="inlineStr">
        <is>
          <t>광복절</t>
        </is>
      </c>
    </row>
    <row r="221">
      <c r="A221" s="19" t="n">
        <v>46250</v>
      </c>
      <c r="B221" s="25">
        <f>IF(A221="","",CHOOSE(WEEKDAY(A221,2),"월","화","수","목","금","토","일"))</f>
        <v/>
      </c>
      <c r="C221" s="18" t="inlineStr">
        <is>
          <t>M001</t>
        </is>
      </c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42" t="inlineStr">
        <is>
          <t>주말</t>
        </is>
      </c>
    </row>
    <row r="222">
      <c r="A222" s="19" t="n">
        <v>46251</v>
      </c>
      <c r="B222" s="25">
        <f>IF(A222="","",CHOOSE(WEEKDAY(A222,2),"월","화","수","목","금","토","일"))</f>
        <v/>
      </c>
      <c r="C222" s="18" t="inlineStr">
        <is>
          <t>M001</t>
        </is>
      </c>
      <c r="D222" s="25">
        <f>IFERROR(IF(C222="","",INDEX(직원명부!$B$5:$B$24,MATCH(C222,직원명부!$A$5:$A$24,0))),"사번 확인")</f>
        <v/>
      </c>
      <c r="E222" s="34" t="n">
        <v>0.375</v>
      </c>
      <c r="F222" s="34" t="n">
        <v>0.75</v>
      </c>
      <c r="G222" s="28" t="n">
        <v>1</v>
      </c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inlineStr">
        <is>
          <t>정상</t>
        </is>
      </c>
      <c r="M222" s="18" t="n"/>
      <c r="N222" s="42" t="inlineStr">
        <is>
          <t>광복절 대체공휴일</t>
        </is>
      </c>
    </row>
    <row r="223">
      <c r="A223" s="19" t="n">
        <v>46252</v>
      </c>
      <c r="B223" s="25">
        <f>IF(A223="","",CHOOSE(WEEKDAY(A223,2),"월","화","수","목","금","토","일"))</f>
        <v/>
      </c>
      <c r="C223" s="18" t="inlineStr">
        <is>
          <t>M001</t>
        </is>
      </c>
      <c r="D223" s="25">
        <f>IFERROR(IF(C223="","",INDEX(직원명부!$B$5:$B$24,MATCH(C223,직원명부!$A$5:$A$24,0))),"사번 확인")</f>
        <v/>
      </c>
      <c r="E223" s="34" t="n">
        <v>0.375</v>
      </c>
      <c r="F223" s="34" t="n">
        <v>0.75</v>
      </c>
      <c r="G223" s="28" t="n">
        <v>1</v>
      </c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inlineStr">
        <is>
          <t>정상</t>
        </is>
      </c>
      <c r="M223" s="18" t="n"/>
      <c r="N223" s="22" t="n"/>
    </row>
    <row r="224">
      <c r="A224" s="19" t="n">
        <v>46253</v>
      </c>
      <c r="B224" s="25">
        <f>IF(A224="","",CHOOSE(WEEKDAY(A224,2),"월","화","수","목","금","토","일"))</f>
        <v/>
      </c>
      <c r="C224" s="18" t="inlineStr">
        <is>
          <t>M001</t>
        </is>
      </c>
      <c r="D224" s="25">
        <f>IFERROR(IF(C224="","",INDEX(직원명부!$B$5:$B$24,MATCH(C224,직원명부!$A$5:$A$24,0))),"사번 확인")</f>
        <v/>
      </c>
      <c r="E224" s="34" t="n">
        <v>0.375</v>
      </c>
      <c r="F224" s="34" t="n">
        <v>0.75</v>
      </c>
      <c r="G224" s="28" t="n">
        <v>1</v>
      </c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inlineStr">
        <is>
          <t>정상</t>
        </is>
      </c>
      <c r="M224" s="18" t="n"/>
      <c r="N224" s="22" t="n"/>
    </row>
    <row r="225">
      <c r="A225" s="19" t="n">
        <v>46254</v>
      </c>
      <c r="B225" s="25">
        <f>IF(A225="","",CHOOSE(WEEKDAY(A225,2),"월","화","수","목","금","토","일"))</f>
        <v/>
      </c>
      <c r="C225" s="18" t="inlineStr">
        <is>
          <t>M001</t>
        </is>
      </c>
      <c r="D225" s="25">
        <f>IFERROR(IF(C225="","",INDEX(직원명부!$B$5:$B$24,MATCH(C225,직원명부!$A$5:$A$24,0))),"사번 확인")</f>
        <v/>
      </c>
      <c r="E225" s="34" t="n">
        <v>0.375</v>
      </c>
      <c r="F225" s="34" t="n">
        <v>0.75</v>
      </c>
      <c r="G225" s="28" t="n">
        <v>1</v>
      </c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inlineStr">
        <is>
          <t>정상</t>
        </is>
      </c>
      <c r="M225" s="18" t="n"/>
      <c r="N225" s="22" t="n"/>
    </row>
    <row r="226">
      <c r="A226" s="19" t="n">
        <v>46255</v>
      </c>
      <c r="B226" s="25">
        <f>IF(A226="","",CHOOSE(WEEKDAY(A226,2),"월","화","수","목","금","토","일"))</f>
        <v/>
      </c>
      <c r="C226" s="18" t="inlineStr">
        <is>
          <t>M001</t>
        </is>
      </c>
      <c r="D226" s="25">
        <f>IFERROR(IF(C226="","",INDEX(직원명부!$B$5:$B$24,MATCH(C226,직원명부!$A$5:$A$24,0))),"사번 확인")</f>
        <v/>
      </c>
      <c r="E226" s="34" t="n">
        <v>0.375</v>
      </c>
      <c r="F226" s="34" t="n">
        <v>0.75</v>
      </c>
      <c r="G226" s="28" t="n">
        <v>1</v>
      </c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inlineStr">
        <is>
          <t>정상</t>
        </is>
      </c>
      <c r="M226" s="18" t="n"/>
      <c r="N226" s="22" t="n"/>
    </row>
    <row r="227">
      <c r="A227" s="19" t="n">
        <v>46256</v>
      </c>
      <c r="B227" s="25">
        <f>IF(A227="","",CHOOSE(WEEKDAY(A227,2),"월","화","수","목","금","토","일"))</f>
        <v/>
      </c>
      <c r="C227" s="18" t="inlineStr">
        <is>
          <t>M001</t>
        </is>
      </c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42" t="inlineStr">
        <is>
          <t>주말</t>
        </is>
      </c>
    </row>
    <row r="228">
      <c r="A228" s="19" t="n">
        <v>46257</v>
      </c>
      <c r="B228" s="25">
        <f>IF(A228="","",CHOOSE(WEEKDAY(A228,2),"월","화","수","목","금","토","일"))</f>
        <v/>
      </c>
      <c r="C228" s="18" t="inlineStr">
        <is>
          <t>M001</t>
        </is>
      </c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42" t="inlineStr">
        <is>
          <t>주말</t>
        </is>
      </c>
    </row>
    <row r="229">
      <c r="A229" s="19" t="n">
        <v>46258</v>
      </c>
      <c r="B229" s="25">
        <f>IF(A229="","",CHOOSE(WEEKDAY(A229,2),"월","화","수","목","금","토","일"))</f>
        <v/>
      </c>
      <c r="C229" s="18" t="inlineStr">
        <is>
          <t>M001</t>
        </is>
      </c>
      <c r="D229" s="25">
        <f>IFERROR(IF(C229="","",INDEX(직원명부!$B$5:$B$24,MATCH(C229,직원명부!$A$5:$A$24,0))),"사번 확인")</f>
        <v/>
      </c>
      <c r="E229" s="34" t="n">
        <v>0.375</v>
      </c>
      <c r="F229" s="34" t="n">
        <v>0.75</v>
      </c>
      <c r="G229" s="28" t="n">
        <v>1</v>
      </c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inlineStr">
        <is>
          <t>정상</t>
        </is>
      </c>
      <c r="M229" s="18" t="n"/>
      <c r="N229" s="22" t="n"/>
    </row>
    <row r="230">
      <c r="A230" s="19" t="n">
        <v>46259</v>
      </c>
      <c r="B230" s="25">
        <f>IF(A230="","",CHOOSE(WEEKDAY(A230,2),"월","화","수","목","금","토","일"))</f>
        <v/>
      </c>
      <c r="C230" s="18" t="inlineStr">
        <is>
          <t>M001</t>
        </is>
      </c>
      <c r="D230" s="25">
        <f>IFERROR(IF(C230="","",INDEX(직원명부!$B$5:$B$24,MATCH(C230,직원명부!$A$5:$A$24,0))),"사번 확인")</f>
        <v/>
      </c>
      <c r="E230" s="34" t="n">
        <v>0.375</v>
      </c>
      <c r="F230" s="34" t="n">
        <v>0.75</v>
      </c>
      <c r="G230" s="28" t="n">
        <v>1</v>
      </c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inlineStr">
        <is>
          <t>정상</t>
        </is>
      </c>
      <c r="M230" s="18" t="n"/>
      <c r="N230" s="22" t="n"/>
    </row>
    <row r="231">
      <c r="A231" s="19" t="n">
        <v>46260</v>
      </c>
      <c r="B231" s="25">
        <f>IF(A231="","",CHOOSE(WEEKDAY(A231,2),"월","화","수","목","금","토","일"))</f>
        <v/>
      </c>
      <c r="C231" s="18" t="inlineStr">
        <is>
          <t>M001</t>
        </is>
      </c>
      <c r="D231" s="25">
        <f>IFERROR(IF(C231="","",INDEX(직원명부!$B$5:$B$24,MATCH(C231,직원명부!$A$5:$A$24,0))),"사번 확인")</f>
        <v/>
      </c>
      <c r="E231" s="34" t="n">
        <v>0.375</v>
      </c>
      <c r="F231" s="34" t="n">
        <v>0.75</v>
      </c>
      <c r="G231" s="28" t="n">
        <v>1</v>
      </c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inlineStr">
        <is>
          <t>정상</t>
        </is>
      </c>
      <c r="M231" s="18" t="n"/>
      <c r="N231" s="22" t="n"/>
    </row>
    <row r="232">
      <c r="A232" s="19" t="n">
        <v>46261</v>
      </c>
      <c r="B232" s="25">
        <f>IF(A232="","",CHOOSE(WEEKDAY(A232,2),"월","화","수","목","금","토","일"))</f>
        <v/>
      </c>
      <c r="C232" s="18" t="inlineStr">
        <is>
          <t>M001</t>
        </is>
      </c>
      <c r="D232" s="25">
        <f>IFERROR(IF(C232="","",INDEX(직원명부!$B$5:$B$24,MATCH(C232,직원명부!$A$5:$A$24,0))),"사번 확인")</f>
        <v/>
      </c>
      <c r="E232" s="34" t="n">
        <v>0.375</v>
      </c>
      <c r="F232" s="34" t="n">
        <v>0.75</v>
      </c>
      <c r="G232" s="28" t="n">
        <v>1</v>
      </c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inlineStr">
        <is>
          <t>정상</t>
        </is>
      </c>
      <c r="M232" s="18" t="n"/>
      <c r="N232" s="22" t="n"/>
    </row>
    <row r="233">
      <c r="A233" s="19" t="n">
        <v>46262</v>
      </c>
      <c r="B233" s="25">
        <f>IF(A233="","",CHOOSE(WEEKDAY(A233,2),"월","화","수","목","금","토","일"))</f>
        <v/>
      </c>
      <c r="C233" s="18" t="inlineStr">
        <is>
          <t>M001</t>
        </is>
      </c>
      <c r="D233" s="25">
        <f>IFERROR(IF(C233="","",INDEX(직원명부!$B$5:$B$24,MATCH(C233,직원명부!$A$5:$A$24,0))),"사번 확인")</f>
        <v/>
      </c>
      <c r="E233" s="34" t="n">
        <v>0.375</v>
      </c>
      <c r="F233" s="34" t="n">
        <v>0.75</v>
      </c>
      <c r="G233" s="28" t="n">
        <v>1</v>
      </c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inlineStr">
        <is>
          <t>정상</t>
        </is>
      </c>
      <c r="M233" s="18" t="n"/>
      <c r="N233" s="22" t="n"/>
    </row>
    <row r="234">
      <c r="A234" s="19" t="n">
        <v>46263</v>
      </c>
      <c r="B234" s="25">
        <f>IF(A234="","",CHOOSE(WEEKDAY(A234,2),"월","화","수","목","금","토","일"))</f>
        <v/>
      </c>
      <c r="C234" s="18" t="inlineStr">
        <is>
          <t>M001</t>
        </is>
      </c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42" t="inlineStr">
        <is>
          <t>주말</t>
        </is>
      </c>
    </row>
    <row r="235">
      <c r="A235" s="19" t="n">
        <v>46264</v>
      </c>
      <c r="B235" s="25">
        <f>IF(A235="","",CHOOSE(WEEKDAY(A235,2),"월","화","수","목","금","토","일"))</f>
        <v/>
      </c>
      <c r="C235" s="18" t="inlineStr">
        <is>
          <t>M001</t>
        </is>
      </c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42" t="inlineStr">
        <is>
          <t>주말</t>
        </is>
      </c>
    </row>
    <row r="236">
      <c r="A236" s="19" t="n">
        <v>46265</v>
      </c>
      <c r="B236" s="25">
        <f>IF(A236="","",CHOOSE(WEEKDAY(A236,2),"월","화","수","목","금","토","일"))</f>
        <v/>
      </c>
      <c r="C236" s="18" t="inlineStr">
        <is>
          <t>M001</t>
        </is>
      </c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>
        <v>46266</v>
      </c>
      <c r="B237" s="25">
        <f>IF(A237="","",CHOOSE(WEEKDAY(A237,2),"월","화","수","목","금","토","일"))</f>
        <v/>
      </c>
      <c r="C237" s="18" t="inlineStr">
        <is>
          <t>M001</t>
        </is>
      </c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>
        <v>46267</v>
      </c>
      <c r="B238" s="25">
        <f>IF(A238="","",CHOOSE(WEEKDAY(A238,2),"월","화","수","목","금","토","일"))</f>
        <v/>
      </c>
      <c r="C238" s="18" t="inlineStr">
        <is>
          <t>M001</t>
        </is>
      </c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>
        <v>46268</v>
      </c>
      <c r="B239" s="25">
        <f>IF(A239="","",CHOOSE(WEEKDAY(A239,2),"월","화","수","목","금","토","일"))</f>
        <v/>
      </c>
      <c r="C239" s="18" t="inlineStr">
        <is>
          <t>M001</t>
        </is>
      </c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>
        <v>46269</v>
      </c>
      <c r="B240" s="25">
        <f>IF(A240="","",CHOOSE(WEEKDAY(A240,2),"월","화","수","목","금","토","일"))</f>
        <v/>
      </c>
      <c r="C240" s="18" t="inlineStr">
        <is>
          <t>M001</t>
        </is>
      </c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>
        <v>46270</v>
      </c>
      <c r="B241" s="25">
        <f>IF(A241="","",CHOOSE(WEEKDAY(A241,2),"월","화","수","목","금","토","일"))</f>
        <v/>
      </c>
      <c r="C241" s="18" t="inlineStr">
        <is>
          <t>M001</t>
        </is>
      </c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42" t="inlineStr">
        <is>
          <t>주말</t>
        </is>
      </c>
    </row>
    <row r="242">
      <c r="A242" s="19" t="n">
        <v>46271</v>
      </c>
      <c r="B242" s="25">
        <f>IF(A242="","",CHOOSE(WEEKDAY(A242,2),"월","화","수","목","금","토","일"))</f>
        <v/>
      </c>
      <c r="C242" s="18" t="inlineStr">
        <is>
          <t>M001</t>
        </is>
      </c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42" t="inlineStr">
        <is>
          <t>주말</t>
        </is>
      </c>
    </row>
    <row r="243">
      <c r="A243" s="19" t="n">
        <v>46272</v>
      </c>
      <c r="B243" s="25">
        <f>IF(A243="","",CHOOSE(WEEKDAY(A243,2),"월","화","수","목","금","토","일"))</f>
        <v/>
      </c>
      <c r="C243" s="18" t="inlineStr">
        <is>
          <t>M001</t>
        </is>
      </c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>
        <v>46273</v>
      </c>
      <c r="B244" s="25">
        <f>IF(A244="","",CHOOSE(WEEKDAY(A244,2),"월","화","수","목","금","토","일"))</f>
        <v/>
      </c>
      <c r="C244" s="18" t="inlineStr">
        <is>
          <t>M001</t>
        </is>
      </c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>
        <v>46274</v>
      </c>
      <c r="B245" s="25">
        <f>IF(A245="","",CHOOSE(WEEKDAY(A245,2),"월","화","수","목","금","토","일"))</f>
        <v/>
      </c>
      <c r="C245" s="18" t="inlineStr">
        <is>
          <t>M001</t>
        </is>
      </c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>
        <v>46275</v>
      </c>
      <c r="B246" s="25">
        <f>IF(A246="","",CHOOSE(WEEKDAY(A246,2),"월","화","수","목","금","토","일"))</f>
        <v/>
      </c>
      <c r="C246" s="18" t="inlineStr">
        <is>
          <t>M001</t>
        </is>
      </c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>
        <v>46276</v>
      </c>
      <c r="B247" s="25">
        <f>IF(A247="","",CHOOSE(WEEKDAY(A247,2),"월","화","수","목","금","토","일"))</f>
        <v/>
      </c>
      <c r="C247" s="18" t="inlineStr">
        <is>
          <t>M001</t>
        </is>
      </c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>
        <v>46277</v>
      </c>
      <c r="B248" s="25">
        <f>IF(A248="","",CHOOSE(WEEKDAY(A248,2),"월","화","수","목","금","토","일"))</f>
        <v/>
      </c>
      <c r="C248" s="18" t="inlineStr">
        <is>
          <t>M001</t>
        </is>
      </c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42" t="inlineStr">
        <is>
          <t>주말</t>
        </is>
      </c>
    </row>
    <row r="249">
      <c r="A249" s="19" t="n">
        <v>46278</v>
      </c>
      <c r="B249" s="25">
        <f>IF(A249="","",CHOOSE(WEEKDAY(A249,2),"월","화","수","목","금","토","일"))</f>
        <v/>
      </c>
      <c r="C249" s="18" t="inlineStr">
        <is>
          <t>M001</t>
        </is>
      </c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42" t="inlineStr">
        <is>
          <t>주말</t>
        </is>
      </c>
    </row>
    <row r="250">
      <c r="A250" s="19" t="n">
        <v>46279</v>
      </c>
      <c r="B250" s="25">
        <f>IF(A250="","",CHOOSE(WEEKDAY(A250,2),"월","화","수","목","금","토","일"))</f>
        <v/>
      </c>
      <c r="C250" s="18" t="inlineStr">
        <is>
          <t>M001</t>
        </is>
      </c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>
        <v>46280</v>
      </c>
      <c r="B251" s="25">
        <f>IF(A251="","",CHOOSE(WEEKDAY(A251,2),"월","화","수","목","금","토","일"))</f>
        <v/>
      </c>
      <c r="C251" s="18" t="inlineStr">
        <is>
          <t>M001</t>
        </is>
      </c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>
        <v>46281</v>
      </c>
      <c r="B252" s="25">
        <f>IF(A252="","",CHOOSE(WEEKDAY(A252,2),"월","화","수","목","금","토","일"))</f>
        <v/>
      </c>
      <c r="C252" s="18" t="inlineStr">
        <is>
          <t>M001</t>
        </is>
      </c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>
        <v>46282</v>
      </c>
      <c r="B253" s="25">
        <f>IF(A253="","",CHOOSE(WEEKDAY(A253,2),"월","화","수","목","금","토","일"))</f>
        <v/>
      </c>
      <c r="C253" s="18" t="inlineStr">
        <is>
          <t>M001</t>
        </is>
      </c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>
        <v>46283</v>
      </c>
      <c r="B254" s="25">
        <f>IF(A254="","",CHOOSE(WEEKDAY(A254,2),"월","화","수","목","금","토","일"))</f>
        <v/>
      </c>
      <c r="C254" s="18" t="inlineStr">
        <is>
          <t>M001</t>
        </is>
      </c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>
        <v>46284</v>
      </c>
      <c r="B255" s="25">
        <f>IF(A255="","",CHOOSE(WEEKDAY(A255,2),"월","화","수","목","금","토","일"))</f>
        <v/>
      </c>
      <c r="C255" s="18" t="inlineStr">
        <is>
          <t>M001</t>
        </is>
      </c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42" t="inlineStr">
        <is>
          <t>주말</t>
        </is>
      </c>
    </row>
    <row r="256">
      <c r="A256" s="19" t="n">
        <v>46285</v>
      </c>
      <c r="B256" s="25">
        <f>IF(A256="","",CHOOSE(WEEKDAY(A256,2),"월","화","수","목","금","토","일"))</f>
        <v/>
      </c>
      <c r="C256" s="18" t="inlineStr">
        <is>
          <t>M001</t>
        </is>
      </c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42" t="inlineStr">
        <is>
          <t>주말</t>
        </is>
      </c>
    </row>
    <row r="257">
      <c r="A257" s="19" t="n">
        <v>46286</v>
      </c>
      <c r="B257" s="25">
        <f>IF(A257="","",CHOOSE(WEEKDAY(A257,2),"월","화","수","목","금","토","일"))</f>
        <v/>
      </c>
      <c r="C257" s="18" t="inlineStr">
        <is>
          <t>M001</t>
        </is>
      </c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>
        <v>46287</v>
      </c>
      <c r="B258" s="25">
        <f>IF(A258="","",CHOOSE(WEEKDAY(A258,2),"월","화","수","목","금","토","일"))</f>
        <v/>
      </c>
      <c r="C258" s="18" t="inlineStr">
        <is>
          <t>M001</t>
        </is>
      </c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>
        <v>46288</v>
      </c>
      <c r="B259" s="25">
        <f>IF(A259="","",CHOOSE(WEEKDAY(A259,2),"월","화","수","목","금","토","일"))</f>
        <v/>
      </c>
      <c r="C259" s="18" t="inlineStr">
        <is>
          <t>M001</t>
        </is>
      </c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>
        <v>46289</v>
      </c>
      <c r="B260" s="25">
        <f>IF(A260="","",CHOOSE(WEEKDAY(A260,2),"월","화","수","목","금","토","일"))</f>
        <v/>
      </c>
      <c r="C260" s="18" t="inlineStr">
        <is>
          <t>M001</t>
        </is>
      </c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42" t="inlineStr">
        <is>
          <t>추석 연휴</t>
        </is>
      </c>
    </row>
    <row r="261">
      <c r="A261" s="19" t="n">
        <v>46290</v>
      </c>
      <c r="B261" s="25">
        <f>IF(A261="","",CHOOSE(WEEKDAY(A261,2),"월","화","수","목","금","토","일"))</f>
        <v/>
      </c>
      <c r="C261" s="18" t="inlineStr">
        <is>
          <t>M001</t>
        </is>
      </c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42" t="inlineStr">
        <is>
          <t>추석</t>
        </is>
      </c>
    </row>
    <row r="262">
      <c r="A262" s="19" t="n">
        <v>46291</v>
      </c>
      <c r="B262" s="25">
        <f>IF(A262="","",CHOOSE(WEEKDAY(A262,2),"월","화","수","목","금","토","일"))</f>
        <v/>
      </c>
      <c r="C262" s="18" t="inlineStr">
        <is>
          <t>M001</t>
        </is>
      </c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42" t="inlineStr">
        <is>
          <t>추석 연휴</t>
        </is>
      </c>
    </row>
    <row r="263">
      <c r="A263" s="19" t="n">
        <v>46292</v>
      </c>
      <c r="B263" s="25">
        <f>IF(A263="","",CHOOSE(WEEKDAY(A263,2),"월","화","수","목","금","토","일"))</f>
        <v/>
      </c>
      <c r="C263" s="18" t="inlineStr">
        <is>
          <t>M001</t>
        </is>
      </c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42" t="inlineStr">
        <is>
          <t>주말</t>
        </is>
      </c>
    </row>
    <row r="264">
      <c r="A264" s="19" t="n">
        <v>46293</v>
      </c>
      <c r="B264" s="25">
        <f>IF(A264="","",CHOOSE(WEEKDAY(A264,2),"월","화","수","목","금","토","일"))</f>
        <v/>
      </c>
      <c r="C264" s="18" t="inlineStr">
        <is>
          <t>M001</t>
        </is>
      </c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>
        <v>46294</v>
      </c>
      <c r="B265" s="25">
        <f>IF(A265="","",CHOOSE(WEEKDAY(A265,2),"월","화","수","목","금","토","일"))</f>
        <v/>
      </c>
      <c r="C265" s="18" t="inlineStr">
        <is>
          <t>M001</t>
        </is>
      </c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>
        <v>46295</v>
      </c>
      <c r="B266" s="25">
        <f>IF(A266="","",CHOOSE(WEEKDAY(A266,2),"월","화","수","목","금","토","일"))</f>
        <v/>
      </c>
      <c r="C266" s="18" t="inlineStr">
        <is>
          <t>M001</t>
        </is>
      </c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>
        <v>46296</v>
      </c>
      <c r="B267" s="25">
        <f>IF(A267="","",CHOOSE(WEEKDAY(A267,2),"월","화","수","목","금","토","일"))</f>
        <v/>
      </c>
      <c r="C267" s="18" t="inlineStr">
        <is>
          <t>M001</t>
        </is>
      </c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>
        <v>46297</v>
      </c>
      <c r="B268" s="25">
        <f>IF(A268="","",CHOOSE(WEEKDAY(A268,2),"월","화","수","목","금","토","일"))</f>
        <v/>
      </c>
      <c r="C268" s="18" t="inlineStr">
        <is>
          <t>M001</t>
        </is>
      </c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>
        <v>46298</v>
      </c>
      <c r="B269" s="25">
        <f>IF(A269="","",CHOOSE(WEEKDAY(A269,2),"월","화","수","목","금","토","일"))</f>
        <v/>
      </c>
      <c r="C269" s="18" t="inlineStr">
        <is>
          <t>M001</t>
        </is>
      </c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42" t="inlineStr">
        <is>
          <t>개천절</t>
        </is>
      </c>
    </row>
    <row r="270">
      <c r="A270" s="19" t="n">
        <v>46299</v>
      </c>
      <c r="B270" s="25">
        <f>IF(A270="","",CHOOSE(WEEKDAY(A270,2),"월","화","수","목","금","토","일"))</f>
        <v/>
      </c>
      <c r="C270" s="18" t="inlineStr">
        <is>
          <t>M001</t>
        </is>
      </c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42" t="inlineStr">
        <is>
          <t>주말</t>
        </is>
      </c>
    </row>
    <row r="271">
      <c r="A271" s="19" t="n">
        <v>46300</v>
      </c>
      <c r="B271" s="25">
        <f>IF(A271="","",CHOOSE(WEEKDAY(A271,2),"월","화","수","목","금","토","일"))</f>
        <v/>
      </c>
      <c r="C271" s="18" t="inlineStr">
        <is>
          <t>M001</t>
        </is>
      </c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42" t="inlineStr">
        <is>
          <t>개천절 대체공휴일</t>
        </is>
      </c>
    </row>
    <row r="272">
      <c r="A272" s="19" t="n">
        <v>46301</v>
      </c>
      <c r="B272" s="25">
        <f>IF(A272="","",CHOOSE(WEEKDAY(A272,2),"월","화","수","목","금","토","일"))</f>
        <v/>
      </c>
      <c r="C272" s="18" t="inlineStr">
        <is>
          <t>M001</t>
        </is>
      </c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>
        <v>46302</v>
      </c>
      <c r="B273" s="25">
        <f>IF(A273="","",CHOOSE(WEEKDAY(A273,2),"월","화","수","목","금","토","일"))</f>
        <v/>
      </c>
      <c r="C273" s="18" t="inlineStr">
        <is>
          <t>M001</t>
        </is>
      </c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>
        <v>46303</v>
      </c>
      <c r="B274" s="25">
        <f>IF(A274="","",CHOOSE(WEEKDAY(A274,2),"월","화","수","목","금","토","일"))</f>
        <v/>
      </c>
      <c r="C274" s="18" t="inlineStr">
        <is>
          <t>M001</t>
        </is>
      </c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>
        <v>46304</v>
      </c>
      <c r="B275" s="25">
        <f>IF(A275="","",CHOOSE(WEEKDAY(A275,2),"월","화","수","목","금","토","일"))</f>
        <v/>
      </c>
      <c r="C275" s="18" t="inlineStr">
        <is>
          <t>M001</t>
        </is>
      </c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42" t="inlineStr">
        <is>
          <t>한글날</t>
        </is>
      </c>
    </row>
    <row r="276">
      <c r="A276" s="19" t="n">
        <v>46305</v>
      </c>
      <c r="B276" s="25">
        <f>IF(A276="","",CHOOSE(WEEKDAY(A276,2),"월","화","수","목","금","토","일"))</f>
        <v/>
      </c>
      <c r="C276" s="18" t="inlineStr">
        <is>
          <t>M001</t>
        </is>
      </c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42" t="inlineStr">
        <is>
          <t>주말</t>
        </is>
      </c>
    </row>
    <row r="277">
      <c r="A277" s="19" t="n">
        <v>46306</v>
      </c>
      <c r="B277" s="25">
        <f>IF(A277="","",CHOOSE(WEEKDAY(A277,2),"월","화","수","목","금","토","일"))</f>
        <v/>
      </c>
      <c r="C277" s="18" t="inlineStr">
        <is>
          <t>M001</t>
        </is>
      </c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42" t="inlineStr">
        <is>
          <t>주말</t>
        </is>
      </c>
    </row>
    <row r="278">
      <c r="A278" s="19" t="n">
        <v>46307</v>
      </c>
      <c r="B278" s="25">
        <f>IF(A278="","",CHOOSE(WEEKDAY(A278,2),"월","화","수","목","금","토","일"))</f>
        <v/>
      </c>
      <c r="C278" s="18" t="inlineStr">
        <is>
          <t>M001</t>
        </is>
      </c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>
        <v>46308</v>
      </c>
      <c r="B279" s="25">
        <f>IF(A279="","",CHOOSE(WEEKDAY(A279,2),"월","화","수","목","금","토","일"))</f>
        <v/>
      </c>
      <c r="C279" s="18" t="inlineStr">
        <is>
          <t>M001</t>
        </is>
      </c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>
        <v>46309</v>
      </c>
      <c r="B280" s="25">
        <f>IF(A280="","",CHOOSE(WEEKDAY(A280,2),"월","화","수","목","금","토","일"))</f>
        <v/>
      </c>
      <c r="C280" s="18" t="inlineStr">
        <is>
          <t>M001</t>
        </is>
      </c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>
        <v>46310</v>
      </c>
      <c r="B281" s="25">
        <f>IF(A281="","",CHOOSE(WEEKDAY(A281,2),"월","화","수","목","금","토","일"))</f>
        <v/>
      </c>
      <c r="C281" s="18" t="inlineStr">
        <is>
          <t>M001</t>
        </is>
      </c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>
        <v>46311</v>
      </c>
      <c r="B282" s="25">
        <f>IF(A282="","",CHOOSE(WEEKDAY(A282,2),"월","화","수","목","금","토","일"))</f>
        <v/>
      </c>
      <c r="C282" s="18" t="inlineStr">
        <is>
          <t>M001</t>
        </is>
      </c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>
        <v>46312</v>
      </c>
      <c r="B283" s="25">
        <f>IF(A283="","",CHOOSE(WEEKDAY(A283,2),"월","화","수","목","금","토","일"))</f>
        <v/>
      </c>
      <c r="C283" s="18" t="inlineStr">
        <is>
          <t>M001</t>
        </is>
      </c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42" t="inlineStr">
        <is>
          <t>주말</t>
        </is>
      </c>
    </row>
    <row r="284">
      <c r="A284" s="19" t="n">
        <v>46313</v>
      </c>
      <c r="B284" s="25">
        <f>IF(A284="","",CHOOSE(WEEKDAY(A284,2),"월","화","수","목","금","토","일"))</f>
        <v/>
      </c>
      <c r="C284" s="18" t="inlineStr">
        <is>
          <t>M001</t>
        </is>
      </c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42" t="inlineStr">
        <is>
          <t>주말</t>
        </is>
      </c>
    </row>
    <row r="285">
      <c r="A285" s="19" t="n">
        <v>46314</v>
      </c>
      <c r="B285" s="25">
        <f>IF(A285="","",CHOOSE(WEEKDAY(A285,2),"월","화","수","목","금","토","일"))</f>
        <v/>
      </c>
      <c r="C285" s="18" t="inlineStr">
        <is>
          <t>M001</t>
        </is>
      </c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>
        <v>46315</v>
      </c>
      <c r="B286" s="25">
        <f>IF(A286="","",CHOOSE(WEEKDAY(A286,2),"월","화","수","목","금","토","일"))</f>
        <v/>
      </c>
      <c r="C286" s="18" t="inlineStr">
        <is>
          <t>M001</t>
        </is>
      </c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>
        <v>46316</v>
      </c>
      <c r="B287" s="25">
        <f>IF(A287="","",CHOOSE(WEEKDAY(A287,2),"월","화","수","목","금","토","일"))</f>
        <v/>
      </c>
      <c r="C287" s="18" t="inlineStr">
        <is>
          <t>M001</t>
        </is>
      </c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>
        <v>46317</v>
      </c>
      <c r="B288" s="25">
        <f>IF(A288="","",CHOOSE(WEEKDAY(A288,2),"월","화","수","목","금","토","일"))</f>
        <v/>
      </c>
      <c r="C288" s="18" t="inlineStr">
        <is>
          <t>M001</t>
        </is>
      </c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>
        <v>46318</v>
      </c>
      <c r="B289" s="25">
        <f>IF(A289="","",CHOOSE(WEEKDAY(A289,2),"월","화","수","목","금","토","일"))</f>
        <v/>
      </c>
      <c r="C289" s="18" t="inlineStr">
        <is>
          <t>M001</t>
        </is>
      </c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>
        <v>46319</v>
      </c>
      <c r="B290" s="25">
        <f>IF(A290="","",CHOOSE(WEEKDAY(A290,2),"월","화","수","목","금","토","일"))</f>
        <v/>
      </c>
      <c r="C290" s="18" t="inlineStr">
        <is>
          <t>M001</t>
        </is>
      </c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42" t="inlineStr">
        <is>
          <t>주말</t>
        </is>
      </c>
    </row>
    <row r="291">
      <c r="A291" s="19" t="n">
        <v>46320</v>
      </c>
      <c r="B291" s="25">
        <f>IF(A291="","",CHOOSE(WEEKDAY(A291,2),"월","화","수","목","금","토","일"))</f>
        <v/>
      </c>
      <c r="C291" s="18" t="inlineStr">
        <is>
          <t>M001</t>
        </is>
      </c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42" t="inlineStr">
        <is>
          <t>주말</t>
        </is>
      </c>
    </row>
    <row r="292">
      <c r="A292" s="19" t="n">
        <v>46321</v>
      </c>
      <c r="B292" s="25">
        <f>IF(A292="","",CHOOSE(WEEKDAY(A292,2),"월","화","수","목","금","토","일"))</f>
        <v/>
      </c>
      <c r="C292" s="18" t="inlineStr">
        <is>
          <t>M001</t>
        </is>
      </c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>
        <v>46322</v>
      </c>
      <c r="B293" s="25">
        <f>IF(A293="","",CHOOSE(WEEKDAY(A293,2),"월","화","수","목","금","토","일"))</f>
        <v/>
      </c>
      <c r="C293" s="18" t="inlineStr">
        <is>
          <t>M001</t>
        </is>
      </c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>
        <v>46323</v>
      </c>
      <c r="B294" s="25">
        <f>IF(A294="","",CHOOSE(WEEKDAY(A294,2),"월","화","수","목","금","토","일"))</f>
        <v/>
      </c>
      <c r="C294" s="18" t="inlineStr">
        <is>
          <t>M001</t>
        </is>
      </c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>
        <v>46324</v>
      </c>
      <c r="B295" s="25">
        <f>IF(A295="","",CHOOSE(WEEKDAY(A295,2),"월","화","수","목","금","토","일"))</f>
        <v/>
      </c>
      <c r="C295" s="18" t="inlineStr">
        <is>
          <t>M001</t>
        </is>
      </c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>
        <v>46325</v>
      </c>
      <c r="B296" s="25">
        <f>IF(A296="","",CHOOSE(WEEKDAY(A296,2),"월","화","수","목","금","토","일"))</f>
        <v/>
      </c>
      <c r="C296" s="18" t="inlineStr">
        <is>
          <t>M001</t>
        </is>
      </c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>
        <v>46326</v>
      </c>
      <c r="B297" s="25">
        <f>IF(A297="","",CHOOSE(WEEKDAY(A297,2),"월","화","수","목","금","토","일"))</f>
        <v/>
      </c>
      <c r="C297" s="18" t="inlineStr">
        <is>
          <t>M001</t>
        </is>
      </c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42" t="inlineStr">
        <is>
          <t>주말</t>
        </is>
      </c>
    </row>
    <row r="298">
      <c r="A298" s="19" t="n">
        <v>46327</v>
      </c>
      <c r="B298" s="25">
        <f>IF(A298="","",CHOOSE(WEEKDAY(A298,2),"월","화","수","목","금","토","일"))</f>
        <v/>
      </c>
      <c r="C298" s="18" t="inlineStr">
        <is>
          <t>M001</t>
        </is>
      </c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42" t="inlineStr">
        <is>
          <t>주말</t>
        </is>
      </c>
    </row>
    <row r="299">
      <c r="A299" s="19" t="n">
        <v>46328</v>
      </c>
      <c r="B299" s="25">
        <f>IF(A299="","",CHOOSE(WEEKDAY(A299,2),"월","화","수","목","금","토","일"))</f>
        <v/>
      </c>
      <c r="C299" s="18" t="inlineStr">
        <is>
          <t>M001</t>
        </is>
      </c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>
        <v>46329</v>
      </c>
      <c r="B300" s="25">
        <f>IF(A300="","",CHOOSE(WEEKDAY(A300,2),"월","화","수","목","금","토","일"))</f>
        <v/>
      </c>
      <c r="C300" s="18" t="inlineStr">
        <is>
          <t>M001</t>
        </is>
      </c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>
        <v>46330</v>
      </c>
      <c r="B301" s="25">
        <f>IF(A301="","",CHOOSE(WEEKDAY(A301,2),"월","화","수","목","금","토","일"))</f>
        <v/>
      </c>
      <c r="C301" s="18" t="inlineStr">
        <is>
          <t>M001</t>
        </is>
      </c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>
        <v>46331</v>
      </c>
      <c r="B302" s="25">
        <f>IF(A302="","",CHOOSE(WEEKDAY(A302,2),"월","화","수","목","금","토","일"))</f>
        <v/>
      </c>
      <c r="C302" s="18" t="inlineStr">
        <is>
          <t>M001</t>
        </is>
      </c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>
        <v>46332</v>
      </c>
      <c r="B303" s="25">
        <f>IF(A303="","",CHOOSE(WEEKDAY(A303,2),"월","화","수","목","금","토","일"))</f>
        <v/>
      </c>
      <c r="C303" s="18" t="inlineStr">
        <is>
          <t>M001</t>
        </is>
      </c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>
        <v>46333</v>
      </c>
      <c r="B304" s="25">
        <f>IF(A304="","",CHOOSE(WEEKDAY(A304,2),"월","화","수","목","금","토","일"))</f>
        <v/>
      </c>
      <c r="C304" s="18" t="inlineStr">
        <is>
          <t>M001</t>
        </is>
      </c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42" t="inlineStr">
        <is>
          <t>주말</t>
        </is>
      </c>
    </row>
    <row r="305">
      <c r="A305" s="19" t="n">
        <v>46334</v>
      </c>
      <c r="B305" s="25">
        <f>IF(A305="","",CHOOSE(WEEKDAY(A305,2),"월","화","수","목","금","토","일"))</f>
        <v/>
      </c>
      <c r="C305" s="18" t="inlineStr">
        <is>
          <t>M001</t>
        </is>
      </c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42" t="inlineStr">
        <is>
          <t>주말</t>
        </is>
      </c>
    </row>
    <row r="306">
      <c r="A306" s="19" t="n">
        <v>46335</v>
      </c>
      <c r="B306" s="25">
        <f>IF(A306="","",CHOOSE(WEEKDAY(A306,2),"월","화","수","목","금","토","일"))</f>
        <v/>
      </c>
      <c r="C306" s="18" t="inlineStr">
        <is>
          <t>M001</t>
        </is>
      </c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>
        <v>46336</v>
      </c>
      <c r="B307" s="25">
        <f>IF(A307="","",CHOOSE(WEEKDAY(A307,2),"월","화","수","목","금","토","일"))</f>
        <v/>
      </c>
      <c r="C307" s="18" t="inlineStr">
        <is>
          <t>M001</t>
        </is>
      </c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>
        <v>46337</v>
      </c>
      <c r="B308" s="25">
        <f>IF(A308="","",CHOOSE(WEEKDAY(A308,2),"월","화","수","목","금","토","일"))</f>
        <v/>
      </c>
      <c r="C308" s="18" t="inlineStr">
        <is>
          <t>M001</t>
        </is>
      </c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>
        <v>46338</v>
      </c>
      <c r="B309" s="25">
        <f>IF(A309="","",CHOOSE(WEEKDAY(A309,2),"월","화","수","목","금","토","일"))</f>
        <v/>
      </c>
      <c r="C309" s="18" t="inlineStr">
        <is>
          <t>M001</t>
        </is>
      </c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>
        <v>46339</v>
      </c>
      <c r="B310" s="25">
        <f>IF(A310="","",CHOOSE(WEEKDAY(A310,2),"월","화","수","목","금","토","일"))</f>
        <v/>
      </c>
      <c r="C310" s="18" t="inlineStr">
        <is>
          <t>M001</t>
        </is>
      </c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>
        <v>46340</v>
      </c>
      <c r="B311" s="25">
        <f>IF(A311="","",CHOOSE(WEEKDAY(A311,2),"월","화","수","목","금","토","일"))</f>
        <v/>
      </c>
      <c r="C311" s="18" t="inlineStr">
        <is>
          <t>M001</t>
        </is>
      </c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42" t="inlineStr">
        <is>
          <t>주말</t>
        </is>
      </c>
    </row>
    <row r="312">
      <c r="A312" s="19" t="n">
        <v>46341</v>
      </c>
      <c r="B312" s="25">
        <f>IF(A312="","",CHOOSE(WEEKDAY(A312,2),"월","화","수","목","금","토","일"))</f>
        <v/>
      </c>
      <c r="C312" s="18" t="inlineStr">
        <is>
          <t>M001</t>
        </is>
      </c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42" t="inlineStr">
        <is>
          <t>주말</t>
        </is>
      </c>
    </row>
    <row r="313">
      <c r="A313" s="19" t="n">
        <v>46342</v>
      </c>
      <c r="B313" s="25">
        <f>IF(A313="","",CHOOSE(WEEKDAY(A313,2),"월","화","수","목","금","토","일"))</f>
        <v/>
      </c>
      <c r="C313" s="18" t="inlineStr">
        <is>
          <t>M001</t>
        </is>
      </c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>
        <v>46343</v>
      </c>
      <c r="B314" s="25">
        <f>IF(A314="","",CHOOSE(WEEKDAY(A314,2),"월","화","수","목","금","토","일"))</f>
        <v/>
      </c>
      <c r="C314" s="18" t="inlineStr">
        <is>
          <t>M001</t>
        </is>
      </c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>
        <v>46344</v>
      </c>
      <c r="B315" s="25">
        <f>IF(A315="","",CHOOSE(WEEKDAY(A315,2),"월","화","수","목","금","토","일"))</f>
        <v/>
      </c>
      <c r="C315" s="18" t="inlineStr">
        <is>
          <t>M001</t>
        </is>
      </c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>
        <v>46345</v>
      </c>
      <c r="B316" s="25">
        <f>IF(A316="","",CHOOSE(WEEKDAY(A316,2),"월","화","수","목","금","토","일"))</f>
        <v/>
      </c>
      <c r="C316" s="18" t="inlineStr">
        <is>
          <t>M001</t>
        </is>
      </c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>
        <v>46346</v>
      </c>
      <c r="B317" s="25">
        <f>IF(A317="","",CHOOSE(WEEKDAY(A317,2),"월","화","수","목","금","토","일"))</f>
        <v/>
      </c>
      <c r="C317" s="18" t="inlineStr">
        <is>
          <t>M001</t>
        </is>
      </c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>
        <v>46347</v>
      </c>
      <c r="B318" s="25">
        <f>IF(A318="","",CHOOSE(WEEKDAY(A318,2),"월","화","수","목","금","토","일"))</f>
        <v/>
      </c>
      <c r="C318" s="18" t="inlineStr">
        <is>
          <t>M001</t>
        </is>
      </c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42" t="inlineStr">
        <is>
          <t>주말</t>
        </is>
      </c>
    </row>
    <row r="319">
      <c r="A319" s="19" t="n">
        <v>46348</v>
      </c>
      <c r="B319" s="25">
        <f>IF(A319="","",CHOOSE(WEEKDAY(A319,2),"월","화","수","목","금","토","일"))</f>
        <v/>
      </c>
      <c r="C319" s="18" t="inlineStr">
        <is>
          <t>M001</t>
        </is>
      </c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42" t="inlineStr">
        <is>
          <t>주말</t>
        </is>
      </c>
    </row>
    <row r="320">
      <c r="A320" s="19" t="n">
        <v>46349</v>
      </c>
      <c r="B320" s="25">
        <f>IF(A320="","",CHOOSE(WEEKDAY(A320,2),"월","화","수","목","금","토","일"))</f>
        <v/>
      </c>
      <c r="C320" s="18" t="inlineStr">
        <is>
          <t>M001</t>
        </is>
      </c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>
        <v>46350</v>
      </c>
      <c r="B321" s="25">
        <f>IF(A321="","",CHOOSE(WEEKDAY(A321,2),"월","화","수","목","금","토","일"))</f>
        <v/>
      </c>
      <c r="C321" s="18" t="inlineStr">
        <is>
          <t>M001</t>
        </is>
      </c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>
        <v>46351</v>
      </c>
      <c r="B322" s="25">
        <f>IF(A322="","",CHOOSE(WEEKDAY(A322,2),"월","화","수","목","금","토","일"))</f>
        <v/>
      </c>
      <c r="C322" s="18" t="inlineStr">
        <is>
          <t>M001</t>
        </is>
      </c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>
        <v>46352</v>
      </c>
      <c r="B323" s="25">
        <f>IF(A323="","",CHOOSE(WEEKDAY(A323,2),"월","화","수","목","금","토","일"))</f>
        <v/>
      </c>
      <c r="C323" s="18" t="inlineStr">
        <is>
          <t>M001</t>
        </is>
      </c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>
        <v>46353</v>
      </c>
      <c r="B324" s="25">
        <f>IF(A324="","",CHOOSE(WEEKDAY(A324,2),"월","화","수","목","금","토","일"))</f>
        <v/>
      </c>
      <c r="C324" s="18" t="inlineStr">
        <is>
          <t>M001</t>
        </is>
      </c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>
        <v>46354</v>
      </c>
      <c r="B325" s="25">
        <f>IF(A325="","",CHOOSE(WEEKDAY(A325,2),"월","화","수","목","금","토","일"))</f>
        <v/>
      </c>
      <c r="C325" s="18" t="inlineStr">
        <is>
          <t>M001</t>
        </is>
      </c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42" t="inlineStr">
        <is>
          <t>주말</t>
        </is>
      </c>
    </row>
    <row r="326">
      <c r="A326" s="19" t="n">
        <v>46355</v>
      </c>
      <c r="B326" s="25">
        <f>IF(A326="","",CHOOSE(WEEKDAY(A326,2),"월","화","수","목","금","토","일"))</f>
        <v/>
      </c>
      <c r="C326" s="18" t="inlineStr">
        <is>
          <t>M001</t>
        </is>
      </c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42" t="inlineStr">
        <is>
          <t>주말</t>
        </is>
      </c>
    </row>
    <row r="327">
      <c r="A327" s="19" t="n">
        <v>46356</v>
      </c>
      <c r="B327" s="25">
        <f>IF(A327="","",CHOOSE(WEEKDAY(A327,2),"월","화","수","목","금","토","일"))</f>
        <v/>
      </c>
      <c r="C327" s="18" t="inlineStr">
        <is>
          <t>M001</t>
        </is>
      </c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>
        <v>46357</v>
      </c>
      <c r="B328" s="25">
        <f>IF(A328="","",CHOOSE(WEEKDAY(A328,2),"월","화","수","목","금","토","일"))</f>
        <v/>
      </c>
      <c r="C328" s="18" t="inlineStr">
        <is>
          <t>M001</t>
        </is>
      </c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>
        <v>46358</v>
      </c>
      <c r="B329" s="25">
        <f>IF(A329="","",CHOOSE(WEEKDAY(A329,2),"월","화","수","목","금","토","일"))</f>
        <v/>
      </c>
      <c r="C329" s="18" t="inlineStr">
        <is>
          <t>M001</t>
        </is>
      </c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>
        <v>46359</v>
      </c>
      <c r="B330" s="25">
        <f>IF(A330="","",CHOOSE(WEEKDAY(A330,2),"월","화","수","목","금","토","일"))</f>
        <v/>
      </c>
      <c r="C330" s="18" t="inlineStr">
        <is>
          <t>M001</t>
        </is>
      </c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>
        <v>46360</v>
      </c>
      <c r="B331" s="25">
        <f>IF(A331="","",CHOOSE(WEEKDAY(A331,2),"월","화","수","목","금","토","일"))</f>
        <v/>
      </c>
      <c r="C331" s="18" t="inlineStr">
        <is>
          <t>M001</t>
        </is>
      </c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>
        <v>46361</v>
      </c>
      <c r="B332" s="25">
        <f>IF(A332="","",CHOOSE(WEEKDAY(A332,2),"월","화","수","목","금","토","일"))</f>
        <v/>
      </c>
      <c r="C332" s="18" t="inlineStr">
        <is>
          <t>M001</t>
        </is>
      </c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42" t="inlineStr">
        <is>
          <t>주말</t>
        </is>
      </c>
    </row>
    <row r="333">
      <c r="A333" s="19" t="n">
        <v>46362</v>
      </c>
      <c r="B333" s="25">
        <f>IF(A333="","",CHOOSE(WEEKDAY(A333,2),"월","화","수","목","금","토","일"))</f>
        <v/>
      </c>
      <c r="C333" s="18" t="inlineStr">
        <is>
          <t>M001</t>
        </is>
      </c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42" t="inlineStr">
        <is>
          <t>주말</t>
        </is>
      </c>
    </row>
    <row r="334">
      <c r="A334" s="19" t="n">
        <v>46363</v>
      </c>
      <c r="B334" s="25">
        <f>IF(A334="","",CHOOSE(WEEKDAY(A334,2),"월","화","수","목","금","토","일"))</f>
        <v/>
      </c>
      <c r="C334" s="18" t="inlineStr">
        <is>
          <t>M001</t>
        </is>
      </c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>
        <v>46364</v>
      </c>
      <c r="B335" s="25">
        <f>IF(A335="","",CHOOSE(WEEKDAY(A335,2),"월","화","수","목","금","토","일"))</f>
        <v/>
      </c>
      <c r="C335" s="18" t="inlineStr">
        <is>
          <t>M001</t>
        </is>
      </c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>
        <v>46365</v>
      </c>
      <c r="B336" s="25">
        <f>IF(A336="","",CHOOSE(WEEKDAY(A336,2),"월","화","수","목","금","토","일"))</f>
        <v/>
      </c>
      <c r="C336" s="18" t="inlineStr">
        <is>
          <t>M001</t>
        </is>
      </c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>
        <v>46366</v>
      </c>
      <c r="B337" s="25">
        <f>IF(A337="","",CHOOSE(WEEKDAY(A337,2),"월","화","수","목","금","토","일"))</f>
        <v/>
      </c>
      <c r="C337" s="18" t="inlineStr">
        <is>
          <t>M001</t>
        </is>
      </c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>
        <v>46367</v>
      </c>
      <c r="B338" s="25">
        <f>IF(A338="","",CHOOSE(WEEKDAY(A338,2),"월","화","수","목","금","토","일"))</f>
        <v/>
      </c>
      <c r="C338" s="18" t="inlineStr">
        <is>
          <t>M001</t>
        </is>
      </c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>
        <v>46368</v>
      </c>
      <c r="B339" s="25">
        <f>IF(A339="","",CHOOSE(WEEKDAY(A339,2),"월","화","수","목","금","토","일"))</f>
        <v/>
      </c>
      <c r="C339" s="18" t="inlineStr">
        <is>
          <t>M001</t>
        </is>
      </c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42" t="inlineStr">
        <is>
          <t>주말</t>
        </is>
      </c>
    </row>
    <row r="340">
      <c r="A340" s="19" t="n">
        <v>46369</v>
      </c>
      <c r="B340" s="25">
        <f>IF(A340="","",CHOOSE(WEEKDAY(A340,2),"월","화","수","목","금","토","일"))</f>
        <v/>
      </c>
      <c r="C340" s="18" t="inlineStr">
        <is>
          <t>M001</t>
        </is>
      </c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42" t="inlineStr">
        <is>
          <t>주말</t>
        </is>
      </c>
    </row>
    <row r="341">
      <c r="A341" s="19" t="n">
        <v>46370</v>
      </c>
      <c r="B341" s="25">
        <f>IF(A341="","",CHOOSE(WEEKDAY(A341,2),"월","화","수","목","금","토","일"))</f>
        <v/>
      </c>
      <c r="C341" s="18" t="inlineStr">
        <is>
          <t>M001</t>
        </is>
      </c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>
        <v>46371</v>
      </c>
      <c r="B342" s="25">
        <f>IF(A342="","",CHOOSE(WEEKDAY(A342,2),"월","화","수","목","금","토","일"))</f>
        <v/>
      </c>
      <c r="C342" s="18" t="inlineStr">
        <is>
          <t>M001</t>
        </is>
      </c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>
        <v>46372</v>
      </c>
      <c r="B343" s="25">
        <f>IF(A343="","",CHOOSE(WEEKDAY(A343,2),"월","화","수","목","금","토","일"))</f>
        <v/>
      </c>
      <c r="C343" s="18" t="inlineStr">
        <is>
          <t>M001</t>
        </is>
      </c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>
        <v>46373</v>
      </c>
      <c r="B344" s="25">
        <f>IF(A344="","",CHOOSE(WEEKDAY(A344,2),"월","화","수","목","금","토","일"))</f>
        <v/>
      </c>
      <c r="C344" s="18" t="inlineStr">
        <is>
          <t>M001</t>
        </is>
      </c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>
        <v>46374</v>
      </c>
      <c r="B345" s="25">
        <f>IF(A345="","",CHOOSE(WEEKDAY(A345,2),"월","화","수","목","금","토","일"))</f>
        <v/>
      </c>
      <c r="C345" s="18" t="inlineStr">
        <is>
          <t>M001</t>
        </is>
      </c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>
        <v>46375</v>
      </c>
      <c r="B346" s="25">
        <f>IF(A346="","",CHOOSE(WEEKDAY(A346,2),"월","화","수","목","금","토","일"))</f>
        <v/>
      </c>
      <c r="C346" s="18" t="inlineStr">
        <is>
          <t>M001</t>
        </is>
      </c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42" t="inlineStr">
        <is>
          <t>주말</t>
        </is>
      </c>
    </row>
    <row r="347">
      <c r="A347" s="19" t="n">
        <v>46376</v>
      </c>
      <c r="B347" s="25">
        <f>IF(A347="","",CHOOSE(WEEKDAY(A347,2),"월","화","수","목","금","토","일"))</f>
        <v/>
      </c>
      <c r="C347" s="18" t="inlineStr">
        <is>
          <t>M001</t>
        </is>
      </c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42" t="inlineStr">
        <is>
          <t>주말</t>
        </is>
      </c>
    </row>
    <row r="348">
      <c r="A348" s="19" t="n">
        <v>46377</v>
      </c>
      <c r="B348" s="25">
        <f>IF(A348="","",CHOOSE(WEEKDAY(A348,2),"월","화","수","목","금","토","일"))</f>
        <v/>
      </c>
      <c r="C348" s="18" t="inlineStr">
        <is>
          <t>M001</t>
        </is>
      </c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>
        <v>46378</v>
      </c>
      <c r="B349" s="25">
        <f>IF(A349="","",CHOOSE(WEEKDAY(A349,2),"월","화","수","목","금","토","일"))</f>
        <v/>
      </c>
      <c r="C349" s="18" t="inlineStr">
        <is>
          <t>M001</t>
        </is>
      </c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>
        <v>46379</v>
      </c>
      <c r="B350" s="25">
        <f>IF(A350="","",CHOOSE(WEEKDAY(A350,2),"월","화","수","목","금","토","일"))</f>
        <v/>
      </c>
      <c r="C350" s="18" t="inlineStr">
        <is>
          <t>M001</t>
        </is>
      </c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>
        <v>46380</v>
      </c>
      <c r="B351" s="25">
        <f>IF(A351="","",CHOOSE(WEEKDAY(A351,2),"월","화","수","목","금","토","일"))</f>
        <v/>
      </c>
      <c r="C351" s="18" t="inlineStr">
        <is>
          <t>M001</t>
        </is>
      </c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>
        <v>46381</v>
      </c>
      <c r="B352" s="25">
        <f>IF(A352="","",CHOOSE(WEEKDAY(A352,2),"월","화","수","목","금","토","일"))</f>
        <v/>
      </c>
      <c r="C352" s="18" t="inlineStr">
        <is>
          <t>M001</t>
        </is>
      </c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42" t="inlineStr">
        <is>
          <t>성탄절</t>
        </is>
      </c>
    </row>
    <row r="353">
      <c r="A353" s="19" t="n">
        <v>46382</v>
      </c>
      <c r="B353" s="25">
        <f>IF(A353="","",CHOOSE(WEEKDAY(A353,2),"월","화","수","목","금","토","일"))</f>
        <v/>
      </c>
      <c r="C353" s="18" t="inlineStr">
        <is>
          <t>M001</t>
        </is>
      </c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42" t="inlineStr">
        <is>
          <t>주말</t>
        </is>
      </c>
    </row>
    <row r="354">
      <c r="A354" s="19" t="n">
        <v>46383</v>
      </c>
      <c r="B354" s="25">
        <f>IF(A354="","",CHOOSE(WEEKDAY(A354,2),"월","화","수","목","금","토","일"))</f>
        <v/>
      </c>
      <c r="C354" s="18" t="inlineStr">
        <is>
          <t>M001</t>
        </is>
      </c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42" t="inlineStr">
        <is>
          <t>주말</t>
        </is>
      </c>
    </row>
    <row r="355">
      <c r="A355" s="19" t="n">
        <v>46384</v>
      </c>
      <c r="B355" s="25">
        <f>IF(A355="","",CHOOSE(WEEKDAY(A355,2),"월","화","수","목","금","토","일"))</f>
        <v/>
      </c>
      <c r="C355" s="18" t="inlineStr">
        <is>
          <t>M001</t>
        </is>
      </c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>
        <v>46385</v>
      </c>
      <c r="B356" s="25">
        <f>IF(A356="","",CHOOSE(WEEKDAY(A356,2),"월","화","수","목","금","토","일"))</f>
        <v/>
      </c>
      <c r="C356" s="18" t="inlineStr">
        <is>
          <t>M001</t>
        </is>
      </c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>
        <v>46386</v>
      </c>
      <c r="B357" s="25">
        <f>IF(A357="","",CHOOSE(WEEKDAY(A357,2),"월","화","수","목","금","토","일"))</f>
        <v/>
      </c>
      <c r="C357" s="18" t="inlineStr">
        <is>
          <t>M001</t>
        </is>
      </c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>
        <v>46387</v>
      </c>
      <c r="B358" s="25">
        <f>IF(A358="","",CHOOSE(WEEKDAY(A358,2),"월","화","수","목","금","토","일"))</f>
        <v/>
      </c>
      <c r="C358" s="18" t="inlineStr">
        <is>
          <t>M001</t>
        </is>
      </c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</sheetData>
  <dataValidations count="1">
    <dataValidation sqref="L5:L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46266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46296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</row>
    <row r="9">
      <c r="C9" s="41" t="inlineStr">
        <is>
          <t>결근</t>
        </is>
      </c>
      <c r="D9" s="41" t="inlineStr">
        <is>
          <t>출산전후휴가</t>
        </is>
      </c>
    </row>
    <row r="10">
      <c r="C10" s="41" t="inlineStr">
        <is>
          <t>휴가</t>
        </is>
      </c>
      <c r="D10" s="41" t="inlineStr">
        <is>
          <t>배우자출산휴가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2026-08-29T13:56:30Z</dcterms:created>
  <dcterms:modified xmlns:dcterms="http://purl.org/dc/terms/" xmlns:xsi="http://www.w3.org/2001/XMLSchema-instance" xsi:type="dcterms:W3CDTF">2026-08-29T13:56:36Z</dcterms:modified>
</cp:coreProperties>
</file>