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안내" sheetId="1" state="visible" r:id="rId1"/>
    <sheet name="직원명부" sheetId="2" state="visible" r:id="rId2"/>
    <sheet name="연차현황" sheetId="3" state="visible" r:id="rId3"/>
    <sheet name="휴가대장" sheetId="4" state="visible" r:id="rId4"/>
    <sheet name="근태기록" sheetId="5" state="visible" r:id="rId5"/>
    <sheet name="월별집계" sheetId="6" state="visible" r:id="rId6"/>
    <sheet name="프로젝트집계" sheetId="7" state="visible" r:id="rId7"/>
    <sheet name="보상휴가" sheetId="8" state="visible" r:id="rId8"/>
    <sheet name="코드표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"/>
    <numFmt numFmtId="166" formatCode="hh:mm"/>
    <numFmt numFmtId="167" formatCode="yyyy&quot;년&quot; mm&quot;월&quot;"/>
  </numFmts>
  <fonts count="13">
    <font>
      <name val="Calibri"/>
      <family val="2"/>
      <color theme="1"/>
      <sz val="11"/>
      <scheme val="minor"/>
    </font>
    <font>
      <name val="맑은 고딕"/>
      <b val="1"/>
      <color rgb="0014161B"/>
      <sz val="16"/>
    </font>
    <font>
      <name val="맑은 고딕"/>
      <color rgb="006B7280"/>
      <sz val="9"/>
    </font>
    <font>
      <name val="맑은 고딕"/>
      <b val="1"/>
      <color rgb="006B7280"/>
      <sz val="9"/>
    </font>
    <font>
      <name val="맑은 고딕"/>
      <color rgb="0014161B"/>
      <sz val="9"/>
    </font>
    <font>
      <name val="맑은 고딕"/>
      <b val="1"/>
      <color rgb="0014161B"/>
      <sz val="10"/>
    </font>
    <font>
      <name val="맑은 고딕"/>
      <color rgb="00C2410C"/>
      <sz val="9"/>
    </font>
    <font>
      <name val="맑은 고딕"/>
      <b val="1"/>
      <color rgb="0014161B"/>
      <sz val="9"/>
    </font>
    <font>
      <name val="맑은 고딕"/>
      <b val="1"/>
      <color rgb="00C2410C"/>
      <sz val="9"/>
    </font>
    <font>
      <name val="맑은 고딕"/>
      <color rgb="000000FF"/>
      <sz val="9"/>
    </font>
    <font>
      <name val="맑은 고딕"/>
      <i val="1"/>
      <color rgb="006B7280"/>
      <sz val="9"/>
    </font>
    <font>
      <name val="맑은 고딕"/>
      <b val="1"/>
      <color rgb="000000FF"/>
      <sz val="10"/>
    </font>
    <font>
      <name val="맑은 고딕"/>
      <b val="1"/>
      <color rgb="0014161B"/>
      <sz val="11"/>
    </font>
  </fonts>
  <fills count="6">
    <fill>
      <patternFill/>
    </fill>
    <fill>
      <patternFill patternType="gray125"/>
    </fill>
    <fill>
      <patternFill patternType="solid">
        <fgColor rgb="00F4F5F7"/>
      </patternFill>
    </fill>
    <fill>
      <patternFill patternType="solid">
        <fgColor rgb="00E8EAED"/>
      </patternFill>
    </fill>
    <fill>
      <patternFill patternType="solid">
        <fgColor rgb="00FAFBFC"/>
      </patternFill>
    </fill>
    <fill>
      <patternFill patternType="solid">
        <fgColor rgb="00FFF9DB"/>
      </patternFill>
    </fill>
  </fills>
  <borders count="4">
    <border>
      <left/>
      <right/>
      <top/>
      <bottom/>
      <diagonal/>
    </border>
    <border>
      <bottom style="thin">
        <color rgb="0014161B"/>
      </bottom>
    </border>
    <border>
      <left style="thin">
        <color rgb="00D4D6DB"/>
      </left>
      <right style="thin">
        <color rgb="00D4D6DB"/>
      </right>
      <top style="medium">
        <color rgb="0014161B"/>
      </top>
      <bottom style="medium">
        <color rgb="0014161B"/>
      </bottom>
    </border>
    <border>
      <left style="thin">
        <color rgb="00D4D6DB"/>
      </left>
      <right style="thin">
        <color rgb="00D4D6DB"/>
      </right>
      <top style="thin">
        <color rgb="00D4D6DB"/>
      </top>
      <bottom style="thin">
        <color rgb="00D4D6DB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8" fillId="0" borderId="0" pivotButton="0" quotePrefix="0" xfId="0"/>
    <xf numFmtId="0" fontId="7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/>
    </xf>
    <xf numFmtId="164" fontId="10" fillId="0" borderId="3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3" fontId="4" fillId="4" borderId="3" applyAlignment="1" pivotButton="0" quotePrefix="0" xfId="0">
      <alignment horizontal="center" vertical="center"/>
    </xf>
    <xf numFmtId="1" fontId="10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 vertical="center"/>
    </xf>
    <xf numFmtId="0" fontId="9" fillId="0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3" fontId="9" fillId="0" borderId="3" applyAlignment="1" pivotButton="0" quotePrefix="0" xfId="0">
      <alignment horizontal="center" vertical="center"/>
    </xf>
    <xf numFmtId="1" fontId="9" fillId="0" borderId="3" applyAlignment="1" pivotButton="0" quotePrefix="0" xfId="0">
      <alignment horizontal="center" vertical="center"/>
    </xf>
    <xf numFmtId="0" fontId="9" fillId="0" borderId="3" applyAlignment="1" pivotButton="0" quotePrefix="0" xfId="0">
      <alignment horizontal="left" vertical="center"/>
    </xf>
    <xf numFmtId="0" fontId="7" fillId="0" borderId="0" pivotButton="0" quotePrefix="0" xfId="0"/>
    <xf numFmtId="164" fontId="11" fillId="5" borderId="3" pivotButton="0" quotePrefix="0" xfId="0"/>
    <xf numFmtId="0" fontId="4" fillId="4" borderId="3" applyAlignment="1" pivotButton="0" quotePrefix="0" xfId="0">
      <alignment horizontal="center" vertical="center"/>
    </xf>
    <xf numFmtId="164" fontId="4" fillId="4" borderId="3" applyAlignment="1" pivotButton="0" quotePrefix="0" xfId="0">
      <alignment horizontal="center" vertical="center"/>
    </xf>
    <xf numFmtId="165" fontId="4" fillId="4" borderId="3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7" fillId="4" borderId="3" applyAlignment="1" pivotButton="0" quotePrefix="0" xfId="0">
      <alignment horizontal="center" vertical="center"/>
    </xf>
    <xf numFmtId="1" fontId="4" fillId="4" borderId="3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6" fontId="10" fillId="0" borderId="3" applyAlignment="1" pivotButton="0" quotePrefix="0" xfId="0">
      <alignment horizontal="center" vertical="center"/>
    </xf>
    <xf numFmtId="2" fontId="4" fillId="4" borderId="3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7" fontId="11" fillId="5" borderId="3" pivotButton="0" quotePrefix="0" xfId="0"/>
    <xf numFmtId="164" fontId="11" fillId="5" borderId="3" applyAlignment="1" pivotButton="0" quotePrefix="0" xfId="0">
      <alignment horizontal="center"/>
    </xf>
    <xf numFmtId="3" fontId="5" fillId="4" borderId="3" applyAlignment="1" pivotButton="0" quotePrefix="0" xfId="0">
      <alignment horizontal="center"/>
    </xf>
    <xf numFmtId="2" fontId="7" fillId="4" borderId="3" applyAlignment="1" pivotButton="0" quotePrefix="0" xfId="0">
      <alignment horizontal="center" vertical="center"/>
    </xf>
    <xf numFmtId="0" fontId="12" fillId="0" borderId="0" pivotButton="0" quotePrefix="0" xfId="0"/>
    <xf numFmtId="0" fontId="7" fillId="2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1" t="inlineStr">
        <is>
          <t>마인드 근태 · 연차 관리대장</t>
        </is>
      </c>
    </row>
    <row r="2">
      <c r="A2" s="2" t="inlineStr">
        <is>
          <t>취업규칙 제11조(출근 및 퇴근) · 제22조(연차유급휴가) 운영용</t>
        </is>
      </c>
    </row>
    <row r="4">
      <c r="A4" s="3" t="inlineStr"/>
      <c r="B4" s="4" t="inlineStr"/>
    </row>
    <row r="5" ht="24" customHeight="1">
      <c r="A5" s="5" t="inlineStr">
        <is>
          <t>시트 구성</t>
        </is>
      </c>
      <c r="B5" s="6" t="inlineStr"/>
    </row>
    <row r="6">
      <c r="A6" s="3" t="inlineStr">
        <is>
          <t>직원명부</t>
        </is>
      </c>
      <c r="B6" s="4" t="inlineStr">
        <is>
          <t>가장 먼저 채웁니다. 사번·성명·입사일을 넣으면 나머지 시트가 이 값을 자동으로 끌어옵니다.</t>
        </is>
      </c>
    </row>
    <row r="7">
      <c r="A7" s="3" t="inlineStr">
        <is>
          <t>연차현황</t>
        </is>
      </c>
      <c r="B7" s="4" t="inlineStr">
        <is>
          <t>입사일만 있으면 발생·사용·잔여 일수가 전부 자동 계산됩니다. 입력할 곳은 「이월」 칸뿐입니다.</t>
        </is>
      </c>
    </row>
    <row r="8">
      <c r="A8" s="3" t="inlineStr">
        <is>
          <t>휴가대장</t>
        </is>
      </c>
      <c r="B8" s="4" t="inlineStr">
        <is>
          <t>휴가를 쓸 때마다 한 줄씩 기록합니다. 이 기록이 연차현황의 「사용」 일수가 됩니다.</t>
        </is>
      </c>
    </row>
    <row r="9">
      <c r="A9" s="3" t="inlineStr">
        <is>
          <t>근태기록</t>
        </is>
      </c>
      <c r="B9" s="4" t="inlineStr">
        <is>
          <t>출근·퇴근 시각을 매일 기록합니다. 근무시간과 연장시간은 자동으로 계산됩니다.</t>
        </is>
      </c>
    </row>
    <row r="10">
      <c r="A10" s="3" t="inlineStr">
        <is>
          <t>월별집계</t>
        </is>
      </c>
      <c r="B10" s="4" t="inlineStr">
        <is>
          <t>조회할 연월 하나만 바꾸면 그 달의 근무일수·지각·결근·연차사용이 직원별로 집계됩니다.</t>
        </is>
      </c>
    </row>
    <row r="11">
      <c r="A11" s="3" t="inlineStr">
        <is>
          <t>프로젝트집계</t>
        </is>
      </c>
      <c r="B11" s="4" t="inlineStr">
        <is>
          <t>근태기록의 「프로젝트」 칸을 모아 프로젝트별 투입시간을 집계합니다. 견적의 근거가 됩니다.</t>
        </is>
      </c>
    </row>
    <row r="12">
      <c r="A12" s="3" t="inlineStr">
        <is>
          <t>보상휴가</t>
        </is>
      </c>
      <c r="B12" s="4" t="inlineStr">
        <is>
          <t>연장·야간·휴일근로 수당을 갈음하는 휴가의 발생·사용·잔여를 관리합니다.</t>
        </is>
      </c>
    </row>
    <row r="13">
      <c r="A13" s="3" t="inlineStr">
        <is>
          <t>코드표</t>
        </is>
      </c>
      <c r="B13" s="4" t="inlineStr">
        <is>
          <t>드롭다운 목록의 원본입니다. 항목을 늘리려면 여기에 추가합니다.</t>
        </is>
      </c>
    </row>
    <row r="14">
      <c r="A14" s="3" t="inlineStr"/>
      <c r="B14" s="4" t="inlineStr"/>
    </row>
    <row r="15" ht="24" customHeight="1">
      <c r="A15" s="5" t="inlineStr">
        <is>
          <t>연차 계산 기준</t>
        </is>
      </c>
      <c r="B15" s="6" t="inlineStr"/>
    </row>
    <row r="16">
      <c r="A16" s="3" t="inlineStr">
        <is>
          <t>산정 기준일</t>
        </is>
      </c>
      <c r="B16" s="4" t="inlineStr">
        <is>
          <t>입사일 기준입니다. 사람마다 연차 발생일이 다릅니다. (취업규칙 제22조제3항)</t>
        </is>
      </c>
    </row>
    <row r="17">
      <c r="A17" s="3" t="inlineStr">
        <is>
          <t>1년 미만</t>
        </is>
      </c>
      <c r="B17" s="4" t="inlineStr">
        <is>
          <t>1개월 개근할 때마다 1일씩, 최대 11일. 입사 1주년 전날까지 써야 하고 남으면 소멸합니다.</t>
        </is>
      </c>
    </row>
    <row r="18">
      <c r="A18" s="3" t="inlineStr">
        <is>
          <t>1년 이상</t>
        </is>
      </c>
      <c r="B18" s="4" t="inlineStr">
        <is>
          <t>15일. 3년 이상 근속부터 2년마다 1일씩 늘어나며 최대 25일입니다.</t>
        </is>
      </c>
    </row>
    <row r="19">
      <c r="A19" s="3" t="inlineStr">
        <is>
          <t>반차</t>
        </is>
      </c>
      <c r="B19" s="4" t="inlineStr">
        <is>
          <t>휴가대장의 「일수」 칸에 0.5를 넣으면 반차로 집계됩니다.</t>
        </is>
      </c>
    </row>
    <row r="20">
      <c r="A20" s="3" t="inlineStr">
        <is>
          <t>미사용분</t>
        </is>
      </c>
      <c r="B20" s="4" t="inlineStr">
        <is>
          <t>산정기간이 끝나면 소멸하며, 소멸한 일수만큼 미사용 수당을 지급합니다. (취업규칙 제23조제4항)</t>
        </is>
      </c>
    </row>
    <row r="21">
      <c r="A21" s="3" t="inlineStr"/>
      <c r="B21" s="4" t="inlineStr"/>
    </row>
    <row r="22" ht="24" customHeight="1">
      <c r="A22" s="5" t="inlineStr">
        <is>
          <t>꼭 알아두실 점</t>
        </is>
      </c>
      <c r="B22" s="6" t="inlineStr"/>
    </row>
    <row r="23" ht="30" customHeight="1">
      <c r="A23" s="3" t="inlineStr">
        <is>
          <t>월차는 없습니다</t>
        </is>
      </c>
      <c r="B23" s="4" t="inlineStr">
        <is>
          <t>월차휴가는 2003년 근로기준법 개정으로 폐지된 제도입니다. 지금 「월차」라고 부르는 것은 입사 1년 미만 직원에게 매월 1일씩 생기는 연차(최대 11일)를 가리키며, 이 대장에서는 연차현황 시트에 함께 계산됩니다.</t>
        </is>
      </c>
    </row>
    <row r="24" ht="30" customHeight="1">
      <c r="A24" s="3" t="inlineStr">
        <is>
          <t>5인 미만</t>
        </is>
      </c>
      <c r="B24" s="4" t="inlineStr">
        <is>
          <t>연차유급휴가는 상시 근로자 5명 미만 사업장에 법적으로 강제되지 않습니다. 마인드는 취업규칙 제22조로 이를 부여하기로 정했으므로, 그 시점부터 회사의 의무가 됩니다.</t>
        </is>
      </c>
    </row>
    <row r="25">
      <c r="A25" s="3" t="inlineStr">
        <is>
          <t>보존 의무</t>
        </is>
      </c>
      <c r="B25" s="4" t="inlineStr">
        <is>
          <t>근태기록과 임금 관련 서류는 3년간 보존해야 합니다. (근로기준법 제42조)</t>
        </is>
      </c>
    </row>
    <row r="26" ht="30" customHeight="1">
      <c r="A26" s="3" t="inlineStr">
        <is>
          <t>5인이 되면</t>
        </is>
      </c>
      <c r="B26" s="4" t="inlineStr">
        <is>
          <t>상시 5명 이상이 되는 순간 연차유급휴가·연차사용촉진·주 12시간 연장 한도가 법적 의무로 전환됩니다. 가산수당은 이미 취업규칙으로 지급하고 있습니다.</t>
        </is>
      </c>
    </row>
    <row r="28" ht="30" customHeight="1">
      <c r="A28" s="7" t="inlineStr">
        <is>
          <t>※</t>
        </is>
      </c>
      <c r="B28" s="8" t="inlineStr">
        <is>
          <t>이 대장은 취업규칙 초안을 전제로 만든 관리 도구입니다. 취업규칙의 연차 조항을 바꾸면 연차현황 시트의 계산식(H열)도 함께 고쳐야 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2" customWidth="1" min="4" max="4"/>
    <col width="12" customWidth="1" min="5" max="5"/>
    <col width="11" customWidth="1" min="6" max="6"/>
    <col width="13" customWidth="1" min="7" max="7"/>
    <col width="15" customWidth="1" min="8" max="8"/>
    <col width="15" customWidth="1" min="9" max="9"/>
    <col width="14" customWidth="1" min="10" max="10"/>
    <col width="26" customWidth="1" min="11" max="11"/>
  </cols>
  <sheetData>
    <row r="1">
      <c r="A1" s="1" t="inlineStr">
        <is>
          <t>직원명부</t>
        </is>
      </c>
    </row>
    <row r="2">
      <c r="A2" s="2" t="inlineStr">
        <is>
          <t>가장 먼저 채우는 시트입니다. 사번은 다른 시트에서 사람을 찾는 열쇠이므로 중복되면 안 됩니다.</t>
        </is>
      </c>
    </row>
    <row r="3">
      <c r="A3" s="9" t="inlineStr">
        <is>
          <t>입력 방법 :  파란 글씨 = 직접 입력하는 칸    ·    검은 글씨 + 회색 배경 = 자동 계산 (수정 금지)</t>
        </is>
      </c>
    </row>
    <row r="4" ht="30" customHeight="1">
      <c r="A4" s="10" t="inlineStr">
        <is>
          <t>사번</t>
        </is>
      </c>
      <c r="B4" s="10" t="inlineStr">
        <is>
          <t>성명</t>
        </is>
      </c>
      <c r="C4" s="10" t="inlineStr">
        <is>
          <t>입사일</t>
        </is>
      </c>
      <c r="D4" s="10" t="inlineStr">
        <is>
          <t>직위</t>
        </is>
      </c>
      <c r="E4" s="10" t="inlineStr">
        <is>
          <t>고용형태</t>
        </is>
      </c>
      <c r="F4" s="10" t="inlineStr">
        <is>
          <t>재직상태</t>
        </is>
      </c>
      <c r="G4" s="10" t="inlineStr">
        <is>
          <t>퇴사일</t>
        </is>
      </c>
      <c r="H4" s="10" t="inlineStr">
        <is>
          <t>연봉 (원)</t>
        </is>
      </c>
      <c r="I4" s="11" t="inlineStr">
        <is>
          <t>월 지급액</t>
        </is>
      </c>
      <c r="J4" s="10" t="inlineStr">
        <is>
          <t>주 소정근로시간</t>
        </is>
      </c>
      <c r="K4" s="10" t="inlineStr">
        <is>
          <t>비고</t>
        </is>
      </c>
    </row>
    <row r="5">
      <c r="A5" s="18" t="inlineStr">
        <is>
          <t>M001</t>
        </is>
      </c>
      <c r="B5" s="18" t="inlineStr">
        <is>
          <t>강성아</t>
        </is>
      </c>
      <c r="C5" s="19" t="n">
        <v>46034</v>
      </c>
      <c r="D5" s="18" t="inlineStr">
        <is>
          <t>UI·UX 디자이너</t>
        </is>
      </c>
      <c r="E5" s="18" t="inlineStr">
        <is>
          <t>정규사원</t>
        </is>
      </c>
      <c r="F5" s="18" t="inlineStr">
        <is>
          <t>재직</t>
        </is>
      </c>
      <c r="G5" s="19" t="n"/>
      <c r="H5" s="20" t="n">
        <v>32000000</v>
      </c>
      <c r="I5" s="15">
        <f>IF(H5="","",ROUND(H5/12,0))</f>
        <v/>
      </c>
      <c r="J5" s="21" t="n">
        <v>40</v>
      </c>
      <c r="K5" s="22" t="inlineStr">
        <is>
          <t>수습 2026-01-12 ~ 2026-04-11 종료</t>
        </is>
      </c>
    </row>
    <row r="6">
      <c r="A6" s="18" t="n"/>
      <c r="B6" s="18" t="n"/>
      <c r="C6" s="19" t="n"/>
      <c r="D6" s="18" t="n"/>
      <c r="E6" s="18" t="n"/>
      <c r="F6" s="18" t="n"/>
      <c r="G6" s="19" t="n"/>
      <c r="H6" s="20" t="n"/>
      <c r="I6" s="15">
        <f>IF(H6="","",ROUND(H6/12,0))</f>
        <v/>
      </c>
      <c r="J6" s="21" t="n"/>
      <c r="K6" s="22" t="n"/>
    </row>
    <row r="7">
      <c r="A7" s="18" t="n"/>
      <c r="B7" s="18" t="n"/>
      <c r="C7" s="19" t="n"/>
      <c r="D7" s="18" t="n"/>
      <c r="E7" s="18" t="n"/>
      <c r="F7" s="18" t="n"/>
      <c r="G7" s="19" t="n"/>
      <c r="H7" s="20" t="n"/>
      <c r="I7" s="15">
        <f>IF(H7="","",ROUND(H7/12,0))</f>
        <v/>
      </c>
      <c r="J7" s="21" t="n"/>
      <c r="K7" s="22" t="n"/>
    </row>
    <row r="8">
      <c r="A8" s="18" t="n"/>
      <c r="B8" s="18" t="n"/>
      <c r="C8" s="19" t="n"/>
      <c r="D8" s="18" t="n"/>
      <c r="E8" s="18" t="n"/>
      <c r="F8" s="18" t="n"/>
      <c r="G8" s="19" t="n"/>
      <c r="H8" s="20" t="n"/>
      <c r="I8" s="15">
        <f>IF(H8="","",ROUND(H8/12,0))</f>
        <v/>
      </c>
      <c r="J8" s="21" t="n"/>
      <c r="K8" s="22" t="n"/>
    </row>
    <row r="9">
      <c r="A9" s="18" t="n"/>
      <c r="B9" s="18" t="n"/>
      <c r="C9" s="19" t="n"/>
      <c r="D9" s="18" t="n"/>
      <c r="E9" s="18" t="n"/>
      <c r="F9" s="18" t="n"/>
      <c r="G9" s="19" t="n"/>
      <c r="H9" s="20" t="n"/>
      <c r="I9" s="15">
        <f>IF(H9="","",ROUND(H9/12,0))</f>
        <v/>
      </c>
      <c r="J9" s="21" t="n"/>
      <c r="K9" s="22" t="n"/>
    </row>
    <row r="10">
      <c r="A10" s="18" t="n"/>
      <c r="B10" s="18" t="n"/>
      <c r="C10" s="19" t="n"/>
      <c r="D10" s="18" t="n"/>
      <c r="E10" s="18" t="n"/>
      <c r="F10" s="18" t="n"/>
      <c r="G10" s="19" t="n"/>
      <c r="H10" s="20" t="n"/>
      <c r="I10" s="15">
        <f>IF(H10="","",ROUND(H10/12,0))</f>
        <v/>
      </c>
      <c r="J10" s="21" t="n"/>
      <c r="K10" s="22" t="n"/>
    </row>
    <row r="11">
      <c r="A11" s="18" t="n"/>
      <c r="B11" s="18" t="n"/>
      <c r="C11" s="19" t="n"/>
      <c r="D11" s="18" t="n"/>
      <c r="E11" s="18" t="n"/>
      <c r="F11" s="18" t="n"/>
      <c r="G11" s="19" t="n"/>
      <c r="H11" s="20" t="n"/>
      <c r="I11" s="15">
        <f>IF(H11="","",ROUND(H11/12,0))</f>
        <v/>
      </c>
      <c r="J11" s="21" t="n"/>
      <c r="K11" s="22" t="n"/>
    </row>
    <row r="12">
      <c r="A12" s="18" t="n"/>
      <c r="B12" s="18" t="n"/>
      <c r="C12" s="19" t="n"/>
      <c r="D12" s="18" t="n"/>
      <c r="E12" s="18" t="n"/>
      <c r="F12" s="18" t="n"/>
      <c r="G12" s="19" t="n"/>
      <c r="H12" s="20" t="n"/>
      <c r="I12" s="15">
        <f>IF(H12="","",ROUND(H12/12,0))</f>
        <v/>
      </c>
      <c r="J12" s="21" t="n"/>
      <c r="K12" s="22" t="n"/>
    </row>
    <row r="13">
      <c r="A13" s="18" t="n"/>
      <c r="B13" s="18" t="n"/>
      <c r="C13" s="19" t="n"/>
      <c r="D13" s="18" t="n"/>
      <c r="E13" s="18" t="n"/>
      <c r="F13" s="18" t="n"/>
      <c r="G13" s="19" t="n"/>
      <c r="H13" s="20" t="n"/>
      <c r="I13" s="15">
        <f>IF(H13="","",ROUND(H13/12,0))</f>
        <v/>
      </c>
      <c r="J13" s="21" t="n"/>
      <c r="K13" s="22" t="n"/>
    </row>
    <row r="14">
      <c r="A14" s="18" t="n"/>
      <c r="B14" s="18" t="n"/>
      <c r="C14" s="19" t="n"/>
      <c r="D14" s="18" t="n"/>
      <c r="E14" s="18" t="n"/>
      <c r="F14" s="18" t="n"/>
      <c r="G14" s="19" t="n"/>
      <c r="H14" s="20" t="n"/>
      <c r="I14" s="15">
        <f>IF(H14="","",ROUND(H14/12,0))</f>
        <v/>
      </c>
      <c r="J14" s="21" t="n"/>
      <c r="K14" s="22" t="n"/>
    </row>
    <row r="15">
      <c r="A15" s="18" t="n"/>
      <c r="B15" s="18" t="n"/>
      <c r="C15" s="19" t="n"/>
      <c r="D15" s="18" t="n"/>
      <c r="E15" s="18" t="n"/>
      <c r="F15" s="18" t="n"/>
      <c r="G15" s="19" t="n"/>
      <c r="H15" s="20" t="n"/>
      <c r="I15" s="15">
        <f>IF(H15="","",ROUND(H15/12,0))</f>
        <v/>
      </c>
      <c r="J15" s="21" t="n"/>
      <c r="K15" s="22" t="n"/>
    </row>
    <row r="16">
      <c r="A16" s="18" t="n"/>
      <c r="B16" s="18" t="n"/>
      <c r="C16" s="19" t="n"/>
      <c r="D16" s="18" t="n"/>
      <c r="E16" s="18" t="n"/>
      <c r="F16" s="18" t="n"/>
      <c r="G16" s="19" t="n"/>
      <c r="H16" s="20" t="n"/>
      <c r="I16" s="15">
        <f>IF(H16="","",ROUND(H16/12,0))</f>
        <v/>
      </c>
      <c r="J16" s="21" t="n"/>
      <c r="K16" s="22" t="n"/>
    </row>
    <row r="17">
      <c r="A17" s="18" t="n"/>
      <c r="B17" s="18" t="n"/>
      <c r="C17" s="19" t="n"/>
      <c r="D17" s="18" t="n"/>
      <c r="E17" s="18" t="n"/>
      <c r="F17" s="18" t="n"/>
      <c r="G17" s="19" t="n"/>
      <c r="H17" s="20" t="n"/>
      <c r="I17" s="15">
        <f>IF(H17="","",ROUND(H17/12,0))</f>
        <v/>
      </c>
      <c r="J17" s="21" t="n"/>
      <c r="K17" s="22" t="n"/>
    </row>
    <row r="18">
      <c r="A18" s="18" t="n"/>
      <c r="B18" s="18" t="n"/>
      <c r="C18" s="19" t="n"/>
      <c r="D18" s="18" t="n"/>
      <c r="E18" s="18" t="n"/>
      <c r="F18" s="18" t="n"/>
      <c r="G18" s="19" t="n"/>
      <c r="H18" s="20" t="n"/>
      <c r="I18" s="15">
        <f>IF(H18="","",ROUND(H18/12,0))</f>
        <v/>
      </c>
      <c r="J18" s="21" t="n"/>
      <c r="K18" s="22" t="n"/>
    </row>
    <row r="19">
      <c r="A19" s="18" t="n"/>
      <c r="B19" s="18" t="n"/>
      <c r="C19" s="19" t="n"/>
      <c r="D19" s="18" t="n"/>
      <c r="E19" s="18" t="n"/>
      <c r="F19" s="18" t="n"/>
      <c r="G19" s="19" t="n"/>
      <c r="H19" s="20" t="n"/>
      <c r="I19" s="15">
        <f>IF(H19="","",ROUND(H19/12,0))</f>
        <v/>
      </c>
      <c r="J19" s="21" t="n"/>
      <c r="K19" s="22" t="n"/>
    </row>
    <row r="20">
      <c r="A20" s="18" t="n"/>
      <c r="B20" s="18" t="n"/>
      <c r="C20" s="19" t="n"/>
      <c r="D20" s="18" t="n"/>
      <c r="E20" s="18" t="n"/>
      <c r="F20" s="18" t="n"/>
      <c r="G20" s="19" t="n"/>
      <c r="H20" s="20" t="n"/>
      <c r="I20" s="15">
        <f>IF(H20="","",ROUND(H20/12,0))</f>
        <v/>
      </c>
      <c r="J20" s="21" t="n"/>
      <c r="K20" s="22" t="n"/>
    </row>
    <row r="21">
      <c r="A21" s="18" t="n"/>
      <c r="B21" s="18" t="n"/>
      <c r="C21" s="19" t="n"/>
      <c r="D21" s="18" t="n"/>
      <c r="E21" s="18" t="n"/>
      <c r="F21" s="18" t="n"/>
      <c r="G21" s="19" t="n"/>
      <c r="H21" s="20" t="n"/>
      <c r="I21" s="15">
        <f>IF(H21="","",ROUND(H21/12,0))</f>
        <v/>
      </c>
      <c r="J21" s="21" t="n"/>
      <c r="K21" s="22" t="n"/>
    </row>
    <row r="22">
      <c r="A22" s="18" t="n"/>
      <c r="B22" s="18" t="n"/>
      <c r="C22" s="19" t="n"/>
      <c r="D22" s="18" t="n"/>
      <c r="E22" s="18" t="n"/>
      <c r="F22" s="18" t="n"/>
      <c r="G22" s="19" t="n"/>
      <c r="H22" s="20" t="n"/>
      <c r="I22" s="15">
        <f>IF(H22="","",ROUND(H22/12,0))</f>
        <v/>
      </c>
      <c r="J22" s="21" t="n"/>
      <c r="K22" s="22" t="n"/>
    </row>
    <row r="23">
      <c r="A23" s="18" t="n"/>
      <c r="B23" s="18" t="n"/>
      <c r="C23" s="19" t="n"/>
      <c r="D23" s="18" t="n"/>
      <c r="E23" s="18" t="n"/>
      <c r="F23" s="18" t="n"/>
      <c r="G23" s="19" t="n"/>
      <c r="H23" s="20" t="n"/>
      <c r="I23" s="15">
        <f>IF(H23="","",ROUND(H23/12,0))</f>
        <v/>
      </c>
      <c r="J23" s="21" t="n"/>
      <c r="K23" s="22" t="n"/>
    </row>
    <row r="24">
      <c r="A24" s="18" t="n"/>
      <c r="B24" s="18" t="n"/>
      <c r="C24" s="19" t="n"/>
      <c r="D24" s="18" t="n"/>
      <c r="E24" s="18" t="n"/>
      <c r="F24" s="18" t="n"/>
      <c r="G24" s="19" t="n"/>
      <c r="H24" s="20" t="n"/>
      <c r="I24" s="15">
        <f>IF(H24="","",ROUND(H24/12,0))</f>
        <v/>
      </c>
      <c r="J24" s="21" t="n"/>
      <c r="K24" s="22" t="n"/>
    </row>
  </sheetData>
  <dataValidations count="2">
    <dataValidation sqref="E5:E24" showDropDown="0" showInputMessage="0" showErrorMessage="0" allowBlank="1" type="list">
      <formula1>=코드표!$A$5:$A$8</formula1>
    </dataValidation>
    <dataValidation sqref="F5:F24" showDropDown="0" showInputMessage="0" showErrorMessage="0" allowBlank="1" type="list">
      <formula1>=코드표!$B$5:$B$7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1" customWidth="1" min="4" max="4"/>
    <col width="14" customWidth="1" min="5" max="5"/>
    <col width="15" customWidth="1" min="6" max="6"/>
    <col width="15" customWidth="1" min="7" max="7"/>
    <col width="11" customWidth="1" min="8" max="8"/>
    <col width="9" customWidth="1" min="9" max="9"/>
    <col width="11" customWidth="1" min="10" max="10"/>
    <col width="9" customWidth="1" min="11" max="11"/>
    <col width="10" customWidth="1" min="12" max="12"/>
    <col width="12" customWidth="1" min="13" max="13"/>
  </cols>
  <sheetData>
    <row r="1">
      <c r="A1" s="1" t="inlineStr">
        <is>
          <t>연차현황</t>
        </is>
      </c>
    </row>
    <row r="2">
      <c r="A2" s="2" t="inlineStr">
        <is>
          <t>입사일 기준 자동 계산입니다. 직접 입력하는 칸은 「이월」 하나뿐입니다.</t>
        </is>
      </c>
    </row>
    <row r="3">
      <c r="A3" s="23" t="inlineStr">
        <is>
          <t>기준일</t>
        </is>
      </c>
      <c r="B3" s="24">
        <f>TODAY()</f>
        <v/>
      </c>
      <c r="C3" s="2" t="inlineStr">
        <is>
          <t>← 특정 시점 기준으로 보려면 이 칸에 날짜를 직접 넣으세요.</t>
        </is>
      </c>
    </row>
    <row r="4" ht="30" customHeight="1">
      <c r="A4" s="11" t="inlineStr">
        <is>
          <t>사번</t>
        </is>
      </c>
      <c r="B4" s="11" t="inlineStr">
        <is>
          <t>성명</t>
        </is>
      </c>
      <c r="C4" s="11" t="inlineStr">
        <is>
          <t>입사일</t>
        </is>
      </c>
      <c r="D4" s="11" t="inlineStr">
        <is>
          <t>재직상태</t>
        </is>
      </c>
      <c r="E4" s="11" t="inlineStr">
        <is>
          <t>근속</t>
        </is>
      </c>
      <c r="F4" s="11" t="inlineStr">
        <is>
          <t>산정기간 시작</t>
        </is>
      </c>
      <c r="G4" s="11" t="inlineStr">
        <is>
          <t>산정기간 종료</t>
        </is>
      </c>
      <c r="H4" s="11" t="inlineStr">
        <is>
          <t>발생일수</t>
        </is>
      </c>
      <c r="I4" s="10" t="inlineStr">
        <is>
          <t>이월</t>
        </is>
      </c>
      <c r="J4" s="11" t="inlineStr">
        <is>
          <t>총 부여</t>
        </is>
      </c>
      <c r="K4" s="11" t="inlineStr">
        <is>
          <t>사용</t>
        </is>
      </c>
      <c r="L4" s="11" t="inlineStr">
        <is>
          <t>잔여</t>
        </is>
      </c>
      <c r="M4" s="11" t="inlineStr">
        <is>
          <t>소멸까지</t>
        </is>
      </c>
    </row>
    <row r="5">
      <c r="A5" s="25">
        <f>IF(직원명부!A5="","",직원명부!A5)</f>
        <v/>
      </c>
      <c r="B5" s="25">
        <f>IF(직원명부!B5="","",직원명부!B5)</f>
        <v/>
      </c>
      <c r="C5" s="26">
        <f>IF(직원명부!C5="","",직원명부!C5)</f>
        <v/>
      </c>
      <c r="D5" s="25">
        <f>IF(직원명부!F5="","",직원명부!F5)</f>
        <v/>
      </c>
      <c r="E5" s="25">
        <f>IF(C5="","",DATEDIF(C5,IF(직원명부!G5="",$B$3,MIN($B$3,직원명부!G5)),"Y")&amp;"년 "&amp;DATEDIF(C5,IF(직원명부!G5="",$B$3,MIN($B$3,직원명부!G5)),"YM")&amp;"개월")</f>
        <v/>
      </c>
      <c r="F5" s="26">
        <f>IF(C5="","",IF(DATEDIF(C5,IF(직원명부!G5="",$B$3,MIN($B$3,직원명부!G5)),"Y")&lt;1,C5,EDATE(C5,DATEDIF(C5,IF(직원명부!G5="",$B$3,MIN($B$3,직원명부!G5)),"Y")*12)))</f>
        <v/>
      </c>
      <c r="G5" s="26">
        <f>IF(C5="","",EDATE(C5,(DATEDIF(C5,IF(직원명부!G5="",$B$3,MIN($B$3,직원명부!G5)),"Y")+1)*12)-1)</f>
        <v/>
      </c>
      <c r="H5" s="27">
        <f>IF(C5="","",IF(DATEDIF(C5,IF(직원명부!G5="",$B$3,MIN($B$3,직원명부!G5)),"Y")&lt;1,MIN(11,DATEDIF(C5,IF(직원명부!G5="",$B$3,MIN($B$3,직원명부!G5)),"M")),MIN(25,15+INT((DATEDIF(C5,IF(직원명부!G5="",$B$3,MIN($B$3,직원명부!G5)),"Y")-1)/2))))</f>
        <v/>
      </c>
      <c r="I5" s="28" t="n"/>
      <c r="J5" s="27">
        <f>IF(C5="","",H5+N(I5))</f>
        <v/>
      </c>
      <c r="K5" s="27">
        <f>IF(C5="","",SUMIFS(휴가대장!$F$5:$F$504,휴가대장!$B$5:$B$504,$A5,휴가대장!$E$5:$E$504,"연차",휴가대장!$D$5:$D$504,"&gt;="&amp;$F5,휴가대장!$D$5:$D$504,"&lt;="&amp;$G5))</f>
        <v/>
      </c>
      <c r="L5" s="29">
        <f>IF(C5="","",J5-K5)</f>
        <v/>
      </c>
      <c r="M5" s="25">
        <f>IF(C5="","",IF(직원명부!G5&lt;&gt;"","퇴사",IF(G5-$B$3&lt;0,"기간종료",G5-$B$3&amp;"일")))</f>
        <v/>
      </c>
    </row>
    <row r="6">
      <c r="A6" s="25">
        <f>IF(직원명부!A6="","",직원명부!A6)</f>
        <v/>
      </c>
      <c r="B6" s="25">
        <f>IF(직원명부!B6="","",직원명부!B6)</f>
        <v/>
      </c>
      <c r="C6" s="26">
        <f>IF(직원명부!C6="","",직원명부!C6)</f>
        <v/>
      </c>
      <c r="D6" s="25">
        <f>IF(직원명부!F6="","",직원명부!F6)</f>
        <v/>
      </c>
      <c r="E6" s="25">
        <f>IF(C6="","",DATEDIF(C6,IF(직원명부!G6="",$B$3,MIN($B$3,직원명부!G6)),"Y")&amp;"년 "&amp;DATEDIF(C6,IF(직원명부!G6="",$B$3,MIN($B$3,직원명부!G6)),"YM")&amp;"개월")</f>
        <v/>
      </c>
      <c r="F6" s="26">
        <f>IF(C6="","",IF(DATEDIF(C6,IF(직원명부!G6="",$B$3,MIN($B$3,직원명부!G6)),"Y")&lt;1,C6,EDATE(C6,DATEDIF(C6,IF(직원명부!G6="",$B$3,MIN($B$3,직원명부!G6)),"Y")*12)))</f>
        <v/>
      </c>
      <c r="G6" s="26">
        <f>IF(C6="","",EDATE(C6,(DATEDIF(C6,IF(직원명부!G6="",$B$3,MIN($B$3,직원명부!G6)),"Y")+1)*12)-1)</f>
        <v/>
      </c>
      <c r="H6" s="27">
        <f>IF(C6="","",IF(DATEDIF(C6,IF(직원명부!G6="",$B$3,MIN($B$3,직원명부!G6)),"Y")&lt;1,MIN(11,DATEDIF(C6,IF(직원명부!G6="",$B$3,MIN($B$3,직원명부!G6)),"M")),MIN(25,15+INT((DATEDIF(C6,IF(직원명부!G6="",$B$3,MIN($B$3,직원명부!G6)),"Y")-1)/2))))</f>
        <v/>
      </c>
      <c r="I6" s="28" t="n"/>
      <c r="J6" s="27">
        <f>IF(C6="","",H6+N(I6))</f>
        <v/>
      </c>
      <c r="K6" s="27">
        <f>IF(C6="","",SUMIFS(휴가대장!$F$5:$F$504,휴가대장!$B$5:$B$504,$A6,휴가대장!$E$5:$E$504,"연차",휴가대장!$D$5:$D$504,"&gt;="&amp;$F6,휴가대장!$D$5:$D$504,"&lt;="&amp;$G6))</f>
        <v/>
      </c>
      <c r="L6" s="29">
        <f>IF(C6="","",J6-K6)</f>
        <v/>
      </c>
      <c r="M6" s="25">
        <f>IF(C6="","",IF(직원명부!G6&lt;&gt;"","퇴사",IF(G6-$B$3&lt;0,"기간종료",G6-$B$3&amp;"일")))</f>
        <v/>
      </c>
    </row>
    <row r="7">
      <c r="A7" s="25">
        <f>IF(직원명부!A7="","",직원명부!A7)</f>
        <v/>
      </c>
      <c r="B7" s="25">
        <f>IF(직원명부!B7="","",직원명부!B7)</f>
        <v/>
      </c>
      <c r="C7" s="26">
        <f>IF(직원명부!C7="","",직원명부!C7)</f>
        <v/>
      </c>
      <c r="D7" s="25">
        <f>IF(직원명부!F7="","",직원명부!F7)</f>
        <v/>
      </c>
      <c r="E7" s="25">
        <f>IF(C7="","",DATEDIF(C7,IF(직원명부!G7="",$B$3,MIN($B$3,직원명부!G7)),"Y")&amp;"년 "&amp;DATEDIF(C7,IF(직원명부!G7="",$B$3,MIN($B$3,직원명부!G7)),"YM")&amp;"개월")</f>
        <v/>
      </c>
      <c r="F7" s="26">
        <f>IF(C7="","",IF(DATEDIF(C7,IF(직원명부!G7="",$B$3,MIN($B$3,직원명부!G7)),"Y")&lt;1,C7,EDATE(C7,DATEDIF(C7,IF(직원명부!G7="",$B$3,MIN($B$3,직원명부!G7)),"Y")*12)))</f>
        <v/>
      </c>
      <c r="G7" s="26">
        <f>IF(C7="","",EDATE(C7,(DATEDIF(C7,IF(직원명부!G7="",$B$3,MIN($B$3,직원명부!G7)),"Y")+1)*12)-1)</f>
        <v/>
      </c>
      <c r="H7" s="27">
        <f>IF(C7="","",IF(DATEDIF(C7,IF(직원명부!G7="",$B$3,MIN($B$3,직원명부!G7)),"Y")&lt;1,MIN(11,DATEDIF(C7,IF(직원명부!G7="",$B$3,MIN($B$3,직원명부!G7)),"M")),MIN(25,15+INT((DATEDIF(C7,IF(직원명부!G7="",$B$3,MIN($B$3,직원명부!G7)),"Y")-1)/2))))</f>
        <v/>
      </c>
      <c r="I7" s="28" t="n"/>
      <c r="J7" s="27">
        <f>IF(C7="","",H7+N(I7))</f>
        <v/>
      </c>
      <c r="K7" s="27">
        <f>IF(C7="","",SUMIFS(휴가대장!$F$5:$F$504,휴가대장!$B$5:$B$504,$A7,휴가대장!$E$5:$E$504,"연차",휴가대장!$D$5:$D$504,"&gt;="&amp;$F7,휴가대장!$D$5:$D$504,"&lt;="&amp;$G7))</f>
        <v/>
      </c>
      <c r="L7" s="29">
        <f>IF(C7="","",J7-K7)</f>
        <v/>
      </c>
      <c r="M7" s="25">
        <f>IF(C7="","",IF(직원명부!G7&lt;&gt;"","퇴사",IF(G7-$B$3&lt;0,"기간종료",G7-$B$3&amp;"일")))</f>
        <v/>
      </c>
    </row>
    <row r="8">
      <c r="A8" s="25">
        <f>IF(직원명부!A8="","",직원명부!A8)</f>
        <v/>
      </c>
      <c r="B8" s="25">
        <f>IF(직원명부!B8="","",직원명부!B8)</f>
        <v/>
      </c>
      <c r="C8" s="26">
        <f>IF(직원명부!C8="","",직원명부!C8)</f>
        <v/>
      </c>
      <c r="D8" s="25">
        <f>IF(직원명부!F8="","",직원명부!F8)</f>
        <v/>
      </c>
      <c r="E8" s="25">
        <f>IF(C8="","",DATEDIF(C8,IF(직원명부!G8="",$B$3,MIN($B$3,직원명부!G8)),"Y")&amp;"년 "&amp;DATEDIF(C8,IF(직원명부!G8="",$B$3,MIN($B$3,직원명부!G8)),"YM")&amp;"개월")</f>
        <v/>
      </c>
      <c r="F8" s="26">
        <f>IF(C8="","",IF(DATEDIF(C8,IF(직원명부!G8="",$B$3,MIN($B$3,직원명부!G8)),"Y")&lt;1,C8,EDATE(C8,DATEDIF(C8,IF(직원명부!G8="",$B$3,MIN($B$3,직원명부!G8)),"Y")*12)))</f>
        <v/>
      </c>
      <c r="G8" s="26">
        <f>IF(C8="","",EDATE(C8,(DATEDIF(C8,IF(직원명부!G8="",$B$3,MIN($B$3,직원명부!G8)),"Y")+1)*12)-1)</f>
        <v/>
      </c>
      <c r="H8" s="27">
        <f>IF(C8="","",IF(DATEDIF(C8,IF(직원명부!G8="",$B$3,MIN($B$3,직원명부!G8)),"Y")&lt;1,MIN(11,DATEDIF(C8,IF(직원명부!G8="",$B$3,MIN($B$3,직원명부!G8)),"M")),MIN(25,15+INT((DATEDIF(C8,IF(직원명부!G8="",$B$3,MIN($B$3,직원명부!G8)),"Y")-1)/2))))</f>
        <v/>
      </c>
      <c r="I8" s="28" t="n"/>
      <c r="J8" s="27">
        <f>IF(C8="","",H8+N(I8))</f>
        <v/>
      </c>
      <c r="K8" s="27">
        <f>IF(C8="","",SUMIFS(휴가대장!$F$5:$F$504,휴가대장!$B$5:$B$504,$A8,휴가대장!$E$5:$E$504,"연차",휴가대장!$D$5:$D$504,"&gt;="&amp;$F8,휴가대장!$D$5:$D$504,"&lt;="&amp;$G8))</f>
        <v/>
      </c>
      <c r="L8" s="29">
        <f>IF(C8="","",J8-K8)</f>
        <v/>
      </c>
      <c r="M8" s="25">
        <f>IF(C8="","",IF(직원명부!G8&lt;&gt;"","퇴사",IF(G8-$B$3&lt;0,"기간종료",G8-$B$3&amp;"일")))</f>
        <v/>
      </c>
    </row>
    <row r="9">
      <c r="A9" s="25">
        <f>IF(직원명부!A9="","",직원명부!A9)</f>
        <v/>
      </c>
      <c r="B9" s="25">
        <f>IF(직원명부!B9="","",직원명부!B9)</f>
        <v/>
      </c>
      <c r="C9" s="26">
        <f>IF(직원명부!C9="","",직원명부!C9)</f>
        <v/>
      </c>
      <c r="D9" s="25">
        <f>IF(직원명부!F9="","",직원명부!F9)</f>
        <v/>
      </c>
      <c r="E9" s="25">
        <f>IF(C9="","",DATEDIF(C9,IF(직원명부!G9="",$B$3,MIN($B$3,직원명부!G9)),"Y")&amp;"년 "&amp;DATEDIF(C9,IF(직원명부!G9="",$B$3,MIN($B$3,직원명부!G9)),"YM")&amp;"개월")</f>
        <v/>
      </c>
      <c r="F9" s="26">
        <f>IF(C9="","",IF(DATEDIF(C9,IF(직원명부!G9="",$B$3,MIN($B$3,직원명부!G9)),"Y")&lt;1,C9,EDATE(C9,DATEDIF(C9,IF(직원명부!G9="",$B$3,MIN($B$3,직원명부!G9)),"Y")*12)))</f>
        <v/>
      </c>
      <c r="G9" s="26">
        <f>IF(C9="","",EDATE(C9,(DATEDIF(C9,IF(직원명부!G9="",$B$3,MIN($B$3,직원명부!G9)),"Y")+1)*12)-1)</f>
        <v/>
      </c>
      <c r="H9" s="27">
        <f>IF(C9="","",IF(DATEDIF(C9,IF(직원명부!G9="",$B$3,MIN($B$3,직원명부!G9)),"Y")&lt;1,MIN(11,DATEDIF(C9,IF(직원명부!G9="",$B$3,MIN($B$3,직원명부!G9)),"M")),MIN(25,15+INT((DATEDIF(C9,IF(직원명부!G9="",$B$3,MIN($B$3,직원명부!G9)),"Y")-1)/2))))</f>
        <v/>
      </c>
      <c r="I9" s="28" t="n"/>
      <c r="J9" s="27">
        <f>IF(C9="","",H9+N(I9))</f>
        <v/>
      </c>
      <c r="K9" s="27">
        <f>IF(C9="","",SUMIFS(휴가대장!$F$5:$F$504,휴가대장!$B$5:$B$504,$A9,휴가대장!$E$5:$E$504,"연차",휴가대장!$D$5:$D$504,"&gt;="&amp;$F9,휴가대장!$D$5:$D$504,"&lt;="&amp;$G9))</f>
        <v/>
      </c>
      <c r="L9" s="29">
        <f>IF(C9="","",J9-K9)</f>
        <v/>
      </c>
      <c r="M9" s="25">
        <f>IF(C9="","",IF(직원명부!G9&lt;&gt;"","퇴사",IF(G9-$B$3&lt;0,"기간종료",G9-$B$3&amp;"일")))</f>
        <v/>
      </c>
    </row>
    <row r="10">
      <c r="A10" s="25">
        <f>IF(직원명부!A10="","",직원명부!A10)</f>
        <v/>
      </c>
      <c r="B10" s="25">
        <f>IF(직원명부!B10="","",직원명부!B10)</f>
        <v/>
      </c>
      <c r="C10" s="26">
        <f>IF(직원명부!C10="","",직원명부!C10)</f>
        <v/>
      </c>
      <c r="D10" s="25">
        <f>IF(직원명부!F10="","",직원명부!F10)</f>
        <v/>
      </c>
      <c r="E10" s="25">
        <f>IF(C10="","",DATEDIF(C10,IF(직원명부!G10="",$B$3,MIN($B$3,직원명부!G10)),"Y")&amp;"년 "&amp;DATEDIF(C10,IF(직원명부!G10="",$B$3,MIN($B$3,직원명부!G10)),"YM")&amp;"개월")</f>
        <v/>
      </c>
      <c r="F10" s="26">
        <f>IF(C10="","",IF(DATEDIF(C10,IF(직원명부!G10="",$B$3,MIN($B$3,직원명부!G10)),"Y")&lt;1,C10,EDATE(C10,DATEDIF(C10,IF(직원명부!G10="",$B$3,MIN($B$3,직원명부!G10)),"Y")*12)))</f>
        <v/>
      </c>
      <c r="G10" s="26">
        <f>IF(C10="","",EDATE(C10,(DATEDIF(C10,IF(직원명부!G10="",$B$3,MIN($B$3,직원명부!G10)),"Y")+1)*12)-1)</f>
        <v/>
      </c>
      <c r="H10" s="27">
        <f>IF(C10="","",IF(DATEDIF(C10,IF(직원명부!G10="",$B$3,MIN($B$3,직원명부!G10)),"Y")&lt;1,MIN(11,DATEDIF(C10,IF(직원명부!G10="",$B$3,MIN($B$3,직원명부!G10)),"M")),MIN(25,15+INT((DATEDIF(C10,IF(직원명부!G10="",$B$3,MIN($B$3,직원명부!G10)),"Y")-1)/2))))</f>
        <v/>
      </c>
      <c r="I10" s="28" t="n"/>
      <c r="J10" s="27">
        <f>IF(C10="","",H10+N(I10))</f>
        <v/>
      </c>
      <c r="K10" s="27">
        <f>IF(C10="","",SUMIFS(휴가대장!$F$5:$F$504,휴가대장!$B$5:$B$504,$A10,휴가대장!$E$5:$E$504,"연차",휴가대장!$D$5:$D$504,"&gt;="&amp;$F10,휴가대장!$D$5:$D$504,"&lt;="&amp;$G10))</f>
        <v/>
      </c>
      <c r="L10" s="29">
        <f>IF(C10="","",J10-K10)</f>
        <v/>
      </c>
      <c r="M10" s="25">
        <f>IF(C10="","",IF(직원명부!G10&lt;&gt;"","퇴사",IF(G10-$B$3&lt;0,"기간종료",G10-$B$3&amp;"일")))</f>
        <v/>
      </c>
    </row>
    <row r="11">
      <c r="A11" s="25">
        <f>IF(직원명부!A11="","",직원명부!A11)</f>
        <v/>
      </c>
      <c r="B11" s="25">
        <f>IF(직원명부!B11="","",직원명부!B11)</f>
        <v/>
      </c>
      <c r="C11" s="26">
        <f>IF(직원명부!C11="","",직원명부!C11)</f>
        <v/>
      </c>
      <c r="D11" s="25">
        <f>IF(직원명부!F11="","",직원명부!F11)</f>
        <v/>
      </c>
      <c r="E11" s="25">
        <f>IF(C11="","",DATEDIF(C11,IF(직원명부!G11="",$B$3,MIN($B$3,직원명부!G11)),"Y")&amp;"년 "&amp;DATEDIF(C11,IF(직원명부!G11="",$B$3,MIN($B$3,직원명부!G11)),"YM")&amp;"개월")</f>
        <v/>
      </c>
      <c r="F11" s="26">
        <f>IF(C11="","",IF(DATEDIF(C11,IF(직원명부!G11="",$B$3,MIN($B$3,직원명부!G11)),"Y")&lt;1,C11,EDATE(C11,DATEDIF(C11,IF(직원명부!G11="",$B$3,MIN($B$3,직원명부!G11)),"Y")*12)))</f>
        <v/>
      </c>
      <c r="G11" s="26">
        <f>IF(C11="","",EDATE(C11,(DATEDIF(C11,IF(직원명부!G11="",$B$3,MIN($B$3,직원명부!G11)),"Y")+1)*12)-1)</f>
        <v/>
      </c>
      <c r="H11" s="27">
        <f>IF(C11="","",IF(DATEDIF(C11,IF(직원명부!G11="",$B$3,MIN($B$3,직원명부!G11)),"Y")&lt;1,MIN(11,DATEDIF(C11,IF(직원명부!G11="",$B$3,MIN($B$3,직원명부!G11)),"M")),MIN(25,15+INT((DATEDIF(C11,IF(직원명부!G11="",$B$3,MIN($B$3,직원명부!G11)),"Y")-1)/2))))</f>
        <v/>
      </c>
      <c r="I11" s="28" t="n"/>
      <c r="J11" s="27">
        <f>IF(C11="","",H11+N(I11))</f>
        <v/>
      </c>
      <c r="K11" s="27">
        <f>IF(C11="","",SUMIFS(휴가대장!$F$5:$F$504,휴가대장!$B$5:$B$504,$A11,휴가대장!$E$5:$E$504,"연차",휴가대장!$D$5:$D$504,"&gt;="&amp;$F11,휴가대장!$D$5:$D$504,"&lt;="&amp;$G11))</f>
        <v/>
      </c>
      <c r="L11" s="29">
        <f>IF(C11="","",J11-K11)</f>
        <v/>
      </c>
      <c r="M11" s="25">
        <f>IF(C11="","",IF(직원명부!G11&lt;&gt;"","퇴사",IF(G11-$B$3&lt;0,"기간종료",G11-$B$3&amp;"일")))</f>
        <v/>
      </c>
    </row>
    <row r="12">
      <c r="A12" s="25">
        <f>IF(직원명부!A12="","",직원명부!A12)</f>
        <v/>
      </c>
      <c r="B12" s="25">
        <f>IF(직원명부!B12="","",직원명부!B12)</f>
        <v/>
      </c>
      <c r="C12" s="26">
        <f>IF(직원명부!C12="","",직원명부!C12)</f>
        <v/>
      </c>
      <c r="D12" s="25">
        <f>IF(직원명부!F12="","",직원명부!F12)</f>
        <v/>
      </c>
      <c r="E12" s="25">
        <f>IF(C12="","",DATEDIF(C12,IF(직원명부!G12="",$B$3,MIN($B$3,직원명부!G12)),"Y")&amp;"년 "&amp;DATEDIF(C12,IF(직원명부!G12="",$B$3,MIN($B$3,직원명부!G12)),"YM")&amp;"개월")</f>
        <v/>
      </c>
      <c r="F12" s="26">
        <f>IF(C12="","",IF(DATEDIF(C12,IF(직원명부!G12="",$B$3,MIN($B$3,직원명부!G12)),"Y")&lt;1,C12,EDATE(C12,DATEDIF(C12,IF(직원명부!G12="",$B$3,MIN($B$3,직원명부!G12)),"Y")*12)))</f>
        <v/>
      </c>
      <c r="G12" s="26">
        <f>IF(C12="","",EDATE(C12,(DATEDIF(C12,IF(직원명부!G12="",$B$3,MIN($B$3,직원명부!G12)),"Y")+1)*12)-1)</f>
        <v/>
      </c>
      <c r="H12" s="27">
        <f>IF(C12="","",IF(DATEDIF(C12,IF(직원명부!G12="",$B$3,MIN($B$3,직원명부!G12)),"Y")&lt;1,MIN(11,DATEDIF(C12,IF(직원명부!G12="",$B$3,MIN($B$3,직원명부!G12)),"M")),MIN(25,15+INT((DATEDIF(C12,IF(직원명부!G12="",$B$3,MIN($B$3,직원명부!G12)),"Y")-1)/2))))</f>
        <v/>
      </c>
      <c r="I12" s="28" t="n"/>
      <c r="J12" s="27">
        <f>IF(C12="","",H12+N(I12))</f>
        <v/>
      </c>
      <c r="K12" s="27">
        <f>IF(C12="","",SUMIFS(휴가대장!$F$5:$F$504,휴가대장!$B$5:$B$504,$A12,휴가대장!$E$5:$E$504,"연차",휴가대장!$D$5:$D$504,"&gt;="&amp;$F12,휴가대장!$D$5:$D$504,"&lt;="&amp;$G12))</f>
        <v/>
      </c>
      <c r="L12" s="29">
        <f>IF(C12="","",J12-K12)</f>
        <v/>
      </c>
      <c r="M12" s="25">
        <f>IF(C12="","",IF(직원명부!G12&lt;&gt;"","퇴사",IF(G12-$B$3&lt;0,"기간종료",G12-$B$3&amp;"일")))</f>
        <v/>
      </c>
    </row>
    <row r="13">
      <c r="A13" s="25">
        <f>IF(직원명부!A13="","",직원명부!A13)</f>
        <v/>
      </c>
      <c r="B13" s="25">
        <f>IF(직원명부!B13="","",직원명부!B13)</f>
        <v/>
      </c>
      <c r="C13" s="26">
        <f>IF(직원명부!C13="","",직원명부!C13)</f>
        <v/>
      </c>
      <c r="D13" s="25">
        <f>IF(직원명부!F13="","",직원명부!F13)</f>
        <v/>
      </c>
      <c r="E13" s="25">
        <f>IF(C13="","",DATEDIF(C13,IF(직원명부!G13="",$B$3,MIN($B$3,직원명부!G13)),"Y")&amp;"년 "&amp;DATEDIF(C13,IF(직원명부!G13="",$B$3,MIN($B$3,직원명부!G13)),"YM")&amp;"개월")</f>
        <v/>
      </c>
      <c r="F13" s="26">
        <f>IF(C13="","",IF(DATEDIF(C13,IF(직원명부!G13="",$B$3,MIN($B$3,직원명부!G13)),"Y")&lt;1,C13,EDATE(C13,DATEDIF(C13,IF(직원명부!G13="",$B$3,MIN($B$3,직원명부!G13)),"Y")*12)))</f>
        <v/>
      </c>
      <c r="G13" s="26">
        <f>IF(C13="","",EDATE(C13,(DATEDIF(C13,IF(직원명부!G13="",$B$3,MIN($B$3,직원명부!G13)),"Y")+1)*12)-1)</f>
        <v/>
      </c>
      <c r="H13" s="27">
        <f>IF(C13="","",IF(DATEDIF(C13,IF(직원명부!G13="",$B$3,MIN($B$3,직원명부!G13)),"Y")&lt;1,MIN(11,DATEDIF(C13,IF(직원명부!G13="",$B$3,MIN($B$3,직원명부!G13)),"M")),MIN(25,15+INT((DATEDIF(C13,IF(직원명부!G13="",$B$3,MIN($B$3,직원명부!G13)),"Y")-1)/2))))</f>
        <v/>
      </c>
      <c r="I13" s="28" t="n"/>
      <c r="J13" s="27">
        <f>IF(C13="","",H13+N(I13))</f>
        <v/>
      </c>
      <c r="K13" s="27">
        <f>IF(C13="","",SUMIFS(휴가대장!$F$5:$F$504,휴가대장!$B$5:$B$504,$A13,휴가대장!$E$5:$E$504,"연차",휴가대장!$D$5:$D$504,"&gt;="&amp;$F13,휴가대장!$D$5:$D$504,"&lt;="&amp;$G13))</f>
        <v/>
      </c>
      <c r="L13" s="29">
        <f>IF(C13="","",J13-K13)</f>
        <v/>
      </c>
      <c r="M13" s="25">
        <f>IF(C13="","",IF(직원명부!G13&lt;&gt;"","퇴사",IF(G13-$B$3&lt;0,"기간종료",G13-$B$3&amp;"일")))</f>
        <v/>
      </c>
    </row>
    <row r="14">
      <c r="A14" s="25">
        <f>IF(직원명부!A14="","",직원명부!A14)</f>
        <v/>
      </c>
      <c r="B14" s="25">
        <f>IF(직원명부!B14="","",직원명부!B14)</f>
        <v/>
      </c>
      <c r="C14" s="26">
        <f>IF(직원명부!C14="","",직원명부!C14)</f>
        <v/>
      </c>
      <c r="D14" s="25">
        <f>IF(직원명부!F14="","",직원명부!F14)</f>
        <v/>
      </c>
      <c r="E14" s="25">
        <f>IF(C14="","",DATEDIF(C14,IF(직원명부!G14="",$B$3,MIN($B$3,직원명부!G14)),"Y")&amp;"년 "&amp;DATEDIF(C14,IF(직원명부!G14="",$B$3,MIN($B$3,직원명부!G14)),"YM")&amp;"개월")</f>
        <v/>
      </c>
      <c r="F14" s="26">
        <f>IF(C14="","",IF(DATEDIF(C14,IF(직원명부!G14="",$B$3,MIN($B$3,직원명부!G14)),"Y")&lt;1,C14,EDATE(C14,DATEDIF(C14,IF(직원명부!G14="",$B$3,MIN($B$3,직원명부!G14)),"Y")*12)))</f>
        <v/>
      </c>
      <c r="G14" s="26">
        <f>IF(C14="","",EDATE(C14,(DATEDIF(C14,IF(직원명부!G14="",$B$3,MIN($B$3,직원명부!G14)),"Y")+1)*12)-1)</f>
        <v/>
      </c>
      <c r="H14" s="27">
        <f>IF(C14="","",IF(DATEDIF(C14,IF(직원명부!G14="",$B$3,MIN($B$3,직원명부!G14)),"Y")&lt;1,MIN(11,DATEDIF(C14,IF(직원명부!G14="",$B$3,MIN($B$3,직원명부!G14)),"M")),MIN(25,15+INT((DATEDIF(C14,IF(직원명부!G14="",$B$3,MIN($B$3,직원명부!G14)),"Y")-1)/2))))</f>
        <v/>
      </c>
      <c r="I14" s="28" t="n"/>
      <c r="J14" s="27">
        <f>IF(C14="","",H14+N(I14))</f>
        <v/>
      </c>
      <c r="K14" s="27">
        <f>IF(C14="","",SUMIFS(휴가대장!$F$5:$F$504,휴가대장!$B$5:$B$504,$A14,휴가대장!$E$5:$E$504,"연차",휴가대장!$D$5:$D$504,"&gt;="&amp;$F14,휴가대장!$D$5:$D$504,"&lt;="&amp;$G14))</f>
        <v/>
      </c>
      <c r="L14" s="29">
        <f>IF(C14="","",J14-K14)</f>
        <v/>
      </c>
      <c r="M14" s="25">
        <f>IF(C14="","",IF(직원명부!G14&lt;&gt;"","퇴사",IF(G14-$B$3&lt;0,"기간종료",G14-$B$3&amp;"일")))</f>
        <v/>
      </c>
    </row>
    <row r="15">
      <c r="A15" s="25">
        <f>IF(직원명부!A15="","",직원명부!A15)</f>
        <v/>
      </c>
      <c r="B15" s="25">
        <f>IF(직원명부!B15="","",직원명부!B15)</f>
        <v/>
      </c>
      <c r="C15" s="26">
        <f>IF(직원명부!C15="","",직원명부!C15)</f>
        <v/>
      </c>
      <c r="D15" s="25">
        <f>IF(직원명부!F15="","",직원명부!F15)</f>
        <v/>
      </c>
      <c r="E15" s="25">
        <f>IF(C15="","",DATEDIF(C15,IF(직원명부!G15="",$B$3,MIN($B$3,직원명부!G15)),"Y")&amp;"년 "&amp;DATEDIF(C15,IF(직원명부!G15="",$B$3,MIN($B$3,직원명부!G15)),"YM")&amp;"개월")</f>
        <v/>
      </c>
      <c r="F15" s="26">
        <f>IF(C15="","",IF(DATEDIF(C15,IF(직원명부!G15="",$B$3,MIN($B$3,직원명부!G15)),"Y")&lt;1,C15,EDATE(C15,DATEDIF(C15,IF(직원명부!G15="",$B$3,MIN($B$3,직원명부!G15)),"Y")*12)))</f>
        <v/>
      </c>
      <c r="G15" s="26">
        <f>IF(C15="","",EDATE(C15,(DATEDIF(C15,IF(직원명부!G15="",$B$3,MIN($B$3,직원명부!G15)),"Y")+1)*12)-1)</f>
        <v/>
      </c>
      <c r="H15" s="27">
        <f>IF(C15="","",IF(DATEDIF(C15,IF(직원명부!G15="",$B$3,MIN($B$3,직원명부!G15)),"Y")&lt;1,MIN(11,DATEDIF(C15,IF(직원명부!G15="",$B$3,MIN($B$3,직원명부!G15)),"M")),MIN(25,15+INT((DATEDIF(C15,IF(직원명부!G15="",$B$3,MIN($B$3,직원명부!G15)),"Y")-1)/2))))</f>
        <v/>
      </c>
      <c r="I15" s="28" t="n"/>
      <c r="J15" s="27">
        <f>IF(C15="","",H15+N(I15))</f>
        <v/>
      </c>
      <c r="K15" s="27">
        <f>IF(C15="","",SUMIFS(휴가대장!$F$5:$F$504,휴가대장!$B$5:$B$504,$A15,휴가대장!$E$5:$E$504,"연차",휴가대장!$D$5:$D$504,"&gt;="&amp;$F15,휴가대장!$D$5:$D$504,"&lt;="&amp;$G15))</f>
        <v/>
      </c>
      <c r="L15" s="29">
        <f>IF(C15="","",J15-K15)</f>
        <v/>
      </c>
      <c r="M15" s="25">
        <f>IF(C15="","",IF(직원명부!G15&lt;&gt;"","퇴사",IF(G15-$B$3&lt;0,"기간종료",G15-$B$3&amp;"일")))</f>
        <v/>
      </c>
    </row>
    <row r="16">
      <c r="A16" s="25">
        <f>IF(직원명부!A16="","",직원명부!A16)</f>
        <v/>
      </c>
      <c r="B16" s="25">
        <f>IF(직원명부!B16="","",직원명부!B16)</f>
        <v/>
      </c>
      <c r="C16" s="26">
        <f>IF(직원명부!C16="","",직원명부!C16)</f>
        <v/>
      </c>
      <c r="D16" s="25">
        <f>IF(직원명부!F16="","",직원명부!F16)</f>
        <v/>
      </c>
      <c r="E16" s="25">
        <f>IF(C16="","",DATEDIF(C16,IF(직원명부!G16="",$B$3,MIN($B$3,직원명부!G16)),"Y")&amp;"년 "&amp;DATEDIF(C16,IF(직원명부!G16="",$B$3,MIN($B$3,직원명부!G16)),"YM")&amp;"개월")</f>
        <v/>
      </c>
      <c r="F16" s="26">
        <f>IF(C16="","",IF(DATEDIF(C16,IF(직원명부!G16="",$B$3,MIN($B$3,직원명부!G16)),"Y")&lt;1,C16,EDATE(C16,DATEDIF(C16,IF(직원명부!G16="",$B$3,MIN($B$3,직원명부!G16)),"Y")*12)))</f>
        <v/>
      </c>
      <c r="G16" s="26">
        <f>IF(C16="","",EDATE(C16,(DATEDIF(C16,IF(직원명부!G16="",$B$3,MIN($B$3,직원명부!G16)),"Y")+1)*12)-1)</f>
        <v/>
      </c>
      <c r="H16" s="27">
        <f>IF(C16="","",IF(DATEDIF(C16,IF(직원명부!G16="",$B$3,MIN($B$3,직원명부!G16)),"Y")&lt;1,MIN(11,DATEDIF(C16,IF(직원명부!G16="",$B$3,MIN($B$3,직원명부!G16)),"M")),MIN(25,15+INT((DATEDIF(C16,IF(직원명부!G16="",$B$3,MIN($B$3,직원명부!G16)),"Y")-1)/2))))</f>
        <v/>
      </c>
      <c r="I16" s="28" t="n"/>
      <c r="J16" s="27">
        <f>IF(C16="","",H16+N(I16))</f>
        <v/>
      </c>
      <c r="K16" s="27">
        <f>IF(C16="","",SUMIFS(휴가대장!$F$5:$F$504,휴가대장!$B$5:$B$504,$A16,휴가대장!$E$5:$E$504,"연차",휴가대장!$D$5:$D$504,"&gt;="&amp;$F16,휴가대장!$D$5:$D$504,"&lt;="&amp;$G16))</f>
        <v/>
      </c>
      <c r="L16" s="29">
        <f>IF(C16="","",J16-K16)</f>
        <v/>
      </c>
      <c r="M16" s="25">
        <f>IF(C16="","",IF(직원명부!G16&lt;&gt;"","퇴사",IF(G16-$B$3&lt;0,"기간종료",G16-$B$3&amp;"일")))</f>
        <v/>
      </c>
    </row>
    <row r="17">
      <c r="A17" s="25">
        <f>IF(직원명부!A17="","",직원명부!A17)</f>
        <v/>
      </c>
      <c r="B17" s="25">
        <f>IF(직원명부!B17="","",직원명부!B17)</f>
        <v/>
      </c>
      <c r="C17" s="26">
        <f>IF(직원명부!C17="","",직원명부!C17)</f>
        <v/>
      </c>
      <c r="D17" s="25">
        <f>IF(직원명부!F17="","",직원명부!F17)</f>
        <v/>
      </c>
      <c r="E17" s="25">
        <f>IF(C17="","",DATEDIF(C17,IF(직원명부!G17="",$B$3,MIN($B$3,직원명부!G17)),"Y")&amp;"년 "&amp;DATEDIF(C17,IF(직원명부!G17="",$B$3,MIN($B$3,직원명부!G17)),"YM")&amp;"개월")</f>
        <v/>
      </c>
      <c r="F17" s="26">
        <f>IF(C17="","",IF(DATEDIF(C17,IF(직원명부!G17="",$B$3,MIN($B$3,직원명부!G17)),"Y")&lt;1,C17,EDATE(C17,DATEDIF(C17,IF(직원명부!G17="",$B$3,MIN($B$3,직원명부!G17)),"Y")*12)))</f>
        <v/>
      </c>
      <c r="G17" s="26">
        <f>IF(C17="","",EDATE(C17,(DATEDIF(C17,IF(직원명부!G17="",$B$3,MIN($B$3,직원명부!G17)),"Y")+1)*12)-1)</f>
        <v/>
      </c>
      <c r="H17" s="27">
        <f>IF(C17="","",IF(DATEDIF(C17,IF(직원명부!G17="",$B$3,MIN($B$3,직원명부!G17)),"Y")&lt;1,MIN(11,DATEDIF(C17,IF(직원명부!G17="",$B$3,MIN($B$3,직원명부!G17)),"M")),MIN(25,15+INT((DATEDIF(C17,IF(직원명부!G17="",$B$3,MIN($B$3,직원명부!G17)),"Y")-1)/2))))</f>
        <v/>
      </c>
      <c r="I17" s="28" t="n"/>
      <c r="J17" s="27">
        <f>IF(C17="","",H17+N(I17))</f>
        <v/>
      </c>
      <c r="K17" s="27">
        <f>IF(C17="","",SUMIFS(휴가대장!$F$5:$F$504,휴가대장!$B$5:$B$504,$A17,휴가대장!$E$5:$E$504,"연차",휴가대장!$D$5:$D$504,"&gt;="&amp;$F17,휴가대장!$D$5:$D$504,"&lt;="&amp;$G17))</f>
        <v/>
      </c>
      <c r="L17" s="29">
        <f>IF(C17="","",J17-K17)</f>
        <v/>
      </c>
      <c r="M17" s="25">
        <f>IF(C17="","",IF(직원명부!G17&lt;&gt;"","퇴사",IF(G17-$B$3&lt;0,"기간종료",G17-$B$3&amp;"일")))</f>
        <v/>
      </c>
    </row>
    <row r="18">
      <c r="A18" s="25">
        <f>IF(직원명부!A18="","",직원명부!A18)</f>
        <v/>
      </c>
      <c r="B18" s="25">
        <f>IF(직원명부!B18="","",직원명부!B18)</f>
        <v/>
      </c>
      <c r="C18" s="26">
        <f>IF(직원명부!C18="","",직원명부!C18)</f>
        <v/>
      </c>
      <c r="D18" s="25">
        <f>IF(직원명부!F18="","",직원명부!F18)</f>
        <v/>
      </c>
      <c r="E18" s="25">
        <f>IF(C18="","",DATEDIF(C18,IF(직원명부!G18="",$B$3,MIN($B$3,직원명부!G18)),"Y")&amp;"년 "&amp;DATEDIF(C18,IF(직원명부!G18="",$B$3,MIN($B$3,직원명부!G18)),"YM")&amp;"개월")</f>
        <v/>
      </c>
      <c r="F18" s="26">
        <f>IF(C18="","",IF(DATEDIF(C18,IF(직원명부!G18="",$B$3,MIN($B$3,직원명부!G18)),"Y")&lt;1,C18,EDATE(C18,DATEDIF(C18,IF(직원명부!G18="",$B$3,MIN($B$3,직원명부!G18)),"Y")*12)))</f>
        <v/>
      </c>
      <c r="G18" s="26">
        <f>IF(C18="","",EDATE(C18,(DATEDIF(C18,IF(직원명부!G18="",$B$3,MIN($B$3,직원명부!G18)),"Y")+1)*12)-1)</f>
        <v/>
      </c>
      <c r="H18" s="27">
        <f>IF(C18="","",IF(DATEDIF(C18,IF(직원명부!G18="",$B$3,MIN($B$3,직원명부!G18)),"Y")&lt;1,MIN(11,DATEDIF(C18,IF(직원명부!G18="",$B$3,MIN($B$3,직원명부!G18)),"M")),MIN(25,15+INT((DATEDIF(C18,IF(직원명부!G18="",$B$3,MIN($B$3,직원명부!G18)),"Y")-1)/2))))</f>
        <v/>
      </c>
      <c r="I18" s="28" t="n"/>
      <c r="J18" s="27">
        <f>IF(C18="","",H18+N(I18))</f>
        <v/>
      </c>
      <c r="K18" s="27">
        <f>IF(C18="","",SUMIFS(휴가대장!$F$5:$F$504,휴가대장!$B$5:$B$504,$A18,휴가대장!$E$5:$E$504,"연차",휴가대장!$D$5:$D$504,"&gt;="&amp;$F18,휴가대장!$D$5:$D$504,"&lt;="&amp;$G18))</f>
        <v/>
      </c>
      <c r="L18" s="29">
        <f>IF(C18="","",J18-K18)</f>
        <v/>
      </c>
      <c r="M18" s="25">
        <f>IF(C18="","",IF(직원명부!G18&lt;&gt;"","퇴사",IF(G18-$B$3&lt;0,"기간종료",G18-$B$3&amp;"일")))</f>
        <v/>
      </c>
    </row>
    <row r="19">
      <c r="A19" s="25">
        <f>IF(직원명부!A19="","",직원명부!A19)</f>
        <v/>
      </c>
      <c r="B19" s="25">
        <f>IF(직원명부!B19="","",직원명부!B19)</f>
        <v/>
      </c>
      <c r="C19" s="26">
        <f>IF(직원명부!C19="","",직원명부!C19)</f>
        <v/>
      </c>
      <c r="D19" s="25">
        <f>IF(직원명부!F19="","",직원명부!F19)</f>
        <v/>
      </c>
      <c r="E19" s="25">
        <f>IF(C19="","",DATEDIF(C19,IF(직원명부!G19="",$B$3,MIN($B$3,직원명부!G19)),"Y")&amp;"년 "&amp;DATEDIF(C19,IF(직원명부!G19="",$B$3,MIN($B$3,직원명부!G19)),"YM")&amp;"개월")</f>
        <v/>
      </c>
      <c r="F19" s="26">
        <f>IF(C19="","",IF(DATEDIF(C19,IF(직원명부!G19="",$B$3,MIN($B$3,직원명부!G19)),"Y")&lt;1,C19,EDATE(C19,DATEDIF(C19,IF(직원명부!G19="",$B$3,MIN($B$3,직원명부!G19)),"Y")*12)))</f>
        <v/>
      </c>
      <c r="G19" s="26">
        <f>IF(C19="","",EDATE(C19,(DATEDIF(C19,IF(직원명부!G19="",$B$3,MIN($B$3,직원명부!G19)),"Y")+1)*12)-1)</f>
        <v/>
      </c>
      <c r="H19" s="27">
        <f>IF(C19="","",IF(DATEDIF(C19,IF(직원명부!G19="",$B$3,MIN($B$3,직원명부!G19)),"Y")&lt;1,MIN(11,DATEDIF(C19,IF(직원명부!G19="",$B$3,MIN($B$3,직원명부!G19)),"M")),MIN(25,15+INT((DATEDIF(C19,IF(직원명부!G19="",$B$3,MIN($B$3,직원명부!G19)),"Y")-1)/2))))</f>
        <v/>
      </c>
      <c r="I19" s="28" t="n"/>
      <c r="J19" s="27">
        <f>IF(C19="","",H19+N(I19))</f>
        <v/>
      </c>
      <c r="K19" s="27">
        <f>IF(C19="","",SUMIFS(휴가대장!$F$5:$F$504,휴가대장!$B$5:$B$504,$A19,휴가대장!$E$5:$E$504,"연차",휴가대장!$D$5:$D$504,"&gt;="&amp;$F19,휴가대장!$D$5:$D$504,"&lt;="&amp;$G19))</f>
        <v/>
      </c>
      <c r="L19" s="29">
        <f>IF(C19="","",J19-K19)</f>
        <v/>
      </c>
      <c r="M19" s="25">
        <f>IF(C19="","",IF(직원명부!G19&lt;&gt;"","퇴사",IF(G19-$B$3&lt;0,"기간종료",G19-$B$3&amp;"일")))</f>
        <v/>
      </c>
    </row>
    <row r="20">
      <c r="A20" s="25">
        <f>IF(직원명부!A20="","",직원명부!A20)</f>
        <v/>
      </c>
      <c r="B20" s="25">
        <f>IF(직원명부!B20="","",직원명부!B20)</f>
        <v/>
      </c>
      <c r="C20" s="26">
        <f>IF(직원명부!C20="","",직원명부!C20)</f>
        <v/>
      </c>
      <c r="D20" s="25">
        <f>IF(직원명부!F20="","",직원명부!F20)</f>
        <v/>
      </c>
      <c r="E20" s="25">
        <f>IF(C20="","",DATEDIF(C20,IF(직원명부!G20="",$B$3,MIN($B$3,직원명부!G20)),"Y")&amp;"년 "&amp;DATEDIF(C20,IF(직원명부!G20="",$B$3,MIN($B$3,직원명부!G20)),"YM")&amp;"개월")</f>
        <v/>
      </c>
      <c r="F20" s="26">
        <f>IF(C20="","",IF(DATEDIF(C20,IF(직원명부!G20="",$B$3,MIN($B$3,직원명부!G20)),"Y")&lt;1,C20,EDATE(C20,DATEDIF(C20,IF(직원명부!G20="",$B$3,MIN($B$3,직원명부!G20)),"Y")*12)))</f>
        <v/>
      </c>
      <c r="G20" s="26">
        <f>IF(C20="","",EDATE(C20,(DATEDIF(C20,IF(직원명부!G20="",$B$3,MIN($B$3,직원명부!G20)),"Y")+1)*12)-1)</f>
        <v/>
      </c>
      <c r="H20" s="27">
        <f>IF(C20="","",IF(DATEDIF(C20,IF(직원명부!G20="",$B$3,MIN($B$3,직원명부!G20)),"Y")&lt;1,MIN(11,DATEDIF(C20,IF(직원명부!G20="",$B$3,MIN($B$3,직원명부!G20)),"M")),MIN(25,15+INT((DATEDIF(C20,IF(직원명부!G20="",$B$3,MIN($B$3,직원명부!G20)),"Y")-1)/2))))</f>
        <v/>
      </c>
      <c r="I20" s="28" t="n"/>
      <c r="J20" s="27">
        <f>IF(C20="","",H20+N(I20))</f>
        <v/>
      </c>
      <c r="K20" s="27">
        <f>IF(C20="","",SUMIFS(휴가대장!$F$5:$F$504,휴가대장!$B$5:$B$504,$A20,휴가대장!$E$5:$E$504,"연차",휴가대장!$D$5:$D$504,"&gt;="&amp;$F20,휴가대장!$D$5:$D$504,"&lt;="&amp;$G20))</f>
        <v/>
      </c>
      <c r="L20" s="29">
        <f>IF(C20="","",J20-K20)</f>
        <v/>
      </c>
      <c r="M20" s="25">
        <f>IF(C20="","",IF(직원명부!G20&lt;&gt;"","퇴사",IF(G20-$B$3&lt;0,"기간종료",G20-$B$3&amp;"일")))</f>
        <v/>
      </c>
    </row>
    <row r="21">
      <c r="A21" s="25">
        <f>IF(직원명부!A21="","",직원명부!A21)</f>
        <v/>
      </c>
      <c r="B21" s="25">
        <f>IF(직원명부!B21="","",직원명부!B21)</f>
        <v/>
      </c>
      <c r="C21" s="26">
        <f>IF(직원명부!C21="","",직원명부!C21)</f>
        <v/>
      </c>
      <c r="D21" s="25">
        <f>IF(직원명부!F21="","",직원명부!F21)</f>
        <v/>
      </c>
      <c r="E21" s="25">
        <f>IF(C21="","",DATEDIF(C21,IF(직원명부!G21="",$B$3,MIN($B$3,직원명부!G21)),"Y")&amp;"년 "&amp;DATEDIF(C21,IF(직원명부!G21="",$B$3,MIN($B$3,직원명부!G21)),"YM")&amp;"개월")</f>
        <v/>
      </c>
      <c r="F21" s="26">
        <f>IF(C21="","",IF(DATEDIF(C21,IF(직원명부!G21="",$B$3,MIN($B$3,직원명부!G21)),"Y")&lt;1,C21,EDATE(C21,DATEDIF(C21,IF(직원명부!G21="",$B$3,MIN($B$3,직원명부!G21)),"Y")*12)))</f>
        <v/>
      </c>
      <c r="G21" s="26">
        <f>IF(C21="","",EDATE(C21,(DATEDIF(C21,IF(직원명부!G21="",$B$3,MIN($B$3,직원명부!G21)),"Y")+1)*12)-1)</f>
        <v/>
      </c>
      <c r="H21" s="27">
        <f>IF(C21="","",IF(DATEDIF(C21,IF(직원명부!G21="",$B$3,MIN($B$3,직원명부!G21)),"Y")&lt;1,MIN(11,DATEDIF(C21,IF(직원명부!G21="",$B$3,MIN($B$3,직원명부!G21)),"M")),MIN(25,15+INT((DATEDIF(C21,IF(직원명부!G21="",$B$3,MIN($B$3,직원명부!G21)),"Y")-1)/2))))</f>
        <v/>
      </c>
      <c r="I21" s="28" t="n"/>
      <c r="J21" s="27">
        <f>IF(C21="","",H21+N(I21))</f>
        <v/>
      </c>
      <c r="K21" s="27">
        <f>IF(C21="","",SUMIFS(휴가대장!$F$5:$F$504,휴가대장!$B$5:$B$504,$A21,휴가대장!$E$5:$E$504,"연차",휴가대장!$D$5:$D$504,"&gt;="&amp;$F21,휴가대장!$D$5:$D$504,"&lt;="&amp;$G21))</f>
        <v/>
      </c>
      <c r="L21" s="29">
        <f>IF(C21="","",J21-K21)</f>
        <v/>
      </c>
      <c r="M21" s="25">
        <f>IF(C21="","",IF(직원명부!G21&lt;&gt;"","퇴사",IF(G21-$B$3&lt;0,"기간종료",G21-$B$3&amp;"일")))</f>
        <v/>
      </c>
    </row>
    <row r="22">
      <c r="A22" s="25">
        <f>IF(직원명부!A22="","",직원명부!A22)</f>
        <v/>
      </c>
      <c r="B22" s="25">
        <f>IF(직원명부!B22="","",직원명부!B22)</f>
        <v/>
      </c>
      <c r="C22" s="26">
        <f>IF(직원명부!C22="","",직원명부!C22)</f>
        <v/>
      </c>
      <c r="D22" s="25">
        <f>IF(직원명부!F22="","",직원명부!F22)</f>
        <v/>
      </c>
      <c r="E22" s="25">
        <f>IF(C22="","",DATEDIF(C22,IF(직원명부!G22="",$B$3,MIN($B$3,직원명부!G22)),"Y")&amp;"년 "&amp;DATEDIF(C22,IF(직원명부!G22="",$B$3,MIN($B$3,직원명부!G22)),"YM")&amp;"개월")</f>
        <v/>
      </c>
      <c r="F22" s="26">
        <f>IF(C22="","",IF(DATEDIF(C22,IF(직원명부!G22="",$B$3,MIN($B$3,직원명부!G22)),"Y")&lt;1,C22,EDATE(C22,DATEDIF(C22,IF(직원명부!G22="",$B$3,MIN($B$3,직원명부!G22)),"Y")*12)))</f>
        <v/>
      </c>
      <c r="G22" s="26">
        <f>IF(C22="","",EDATE(C22,(DATEDIF(C22,IF(직원명부!G22="",$B$3,MIN($B$3,직원명부!G22)),"Y")+1)*12)-1)</f>
        <v/>
      </c>
      <c r="H22" s="27">
        <f>IF(C22="","",IF(DATEDIF(C22,IF(직원명부!G22="",$B$3,MIN($B$3,직원명부!G22)),"Y")&lt;1,MIN(11,DATEDIF(C22,IF(직원명부!G22="",$B$3,MIN($B$3,직원명부!G22)),"M")),MIN(25,15+INT((DATEDIF(C22,IF(직원명부!G22="",$B$3,MIN($B$3,직원명부!G22)),"Y")-1)/2))))</f>
        <v/>
      </c>
      <c r="I22" s="28" t="n"/>
      <c r="J22" s="27">
        <f>IF(C22="","",H22+N(I22))</f>
        <v/>
      </c>
      <c r="K22" s="27">
        <f>IF(C22="","",SUMIFS(휴가대장!$F$5:$F$504,휴가대장!$B$5:$B$504,$A22,휴가대장!$E$5:$E$504,"연차",휴가대장!$D$5:$D$504,"&gt;="&amp;$F22,휴가대장!$D$5:$D$504,"&lt;="&amp;$G22))</f>
        <v/>
      </c>
      <c r="L22" s="29">
        <f>IF(C22="","",J22-K22)</f>
        <v/>
      </c>
      <c r="M22" s="25">
        <f>IF(C22="","",IF(직원명부!G22&lt;&gt;"","퇴사",IF(G22-$B$3&lt;0,"기간종료",G22-$B$3&amp;"일")))</f>
        <v/>
      </c>
    </row>
    <row r="23">
      <c r="A23" s="25">
        <f>IF(직원명부!A23="","",직원명부!A23)</f>
        <v/>
      </c>
      <c r="B23" s="25">
        <f>IF(직원명부!B23="","",직원명부!B23)</f>
        <v/>
      </c>
      <c r="C23" s="26">
        <f>IF(직원명부!C23="","",직원명부!C23)</f>
        <v/>
      </c>
      <c r="D23" s="25">
        <f>IF(직원명부!F23="","",직원명부!F23)</f>
        <v/>
      </c>
      <c r="E23" s="25">
        <f>IF(C23="","",DATEDIF(C23,IF(직원명부!G23="",$B$3,MIN($B$3,직원명부!G23)),"Y")&amp;"년 "&amp;DATEDIF(C23,IF(직원명부!G23="",$B$3,MIN($B$3,직원명부!G23)),"YM")&amp;"개월")</f>
        <v/>
      </c>
      <c r="F23" s="26">
        <f>IF(C23="","",IF(DATEDIF(C23,IF(직원명부!G23="",$B$3,MIN($B$3,직원명부!G23)),"Y")&lt;1,C23,EDATE(C23,DATEDIF(C23,IF(직원명부!G23="",$B$3,MIN($B$3,직원명부!G23)),"Y")*12)))</f>
        <v/>
      </c>
      <c r="G23" s="26">
        <f>IF(C23="","",EDATE(C23,(DATEDIF(C23,IF(직원명부!G23="",$B$3,MIN($B$3,직원명부!G23)),"Y")+1)*12)-1)</f>
        <v/>
      </c>
      <c r="H23" s="27">
        <f>IF(C23="","",IF(DATEDIF(C23,IF(직원명부!G23="",$B$3,MIN($B$3,직원명부!G23)),"Y")&lt;1,MIN(11,DATEDIF(C23,IF(직원명부!G23="",$B$3,MIN($B$3,직원명부!G23)),"M")),MIN(25,15+INT((DATEDIF(C23,IF(직원명부!G23="",$B$3,MIN($B$3,직원명부!G23)),"Y")-1)/2))))</f>
        <v/>
      </c>
      <c r="I23" s="28" t="n"/>
      <c r="J23" s="27">
        <f>IF(C23="","",H23+N(I23))</f>
        <v/>
      </c>
      <c r="K23" s="27">
        <f>IF(C23="","",SUMIFS(휴가대장!$F$5:$F$504,휴가대장!$B$5:$B$504,$A23,휴가대장!$E$5:$E$504,"연차",휴가대장!$D$5:$D$504,"&gt;="&amp;$F23,휴가대장!$D$5:$D$504,"&lt;="&amp;$G23))</f>
        <v/>
      </c>
      <c r="L23" s="29">
        <f>IF(C23="","",J23-K23)</f>
        <v/>
      </c>
      <c r="M23" s="25">
        <f>IF(C23="","",IF(직원명부!G23&lt;&gt;"","퇴사",IF(G23-$B$3&lt;0,"기간종료",G23-$B$3&amp;"일")))</f>
        <v/>
      </c>
    </row>
    <row r="24">
      <c r="A24" s="25">
        <f>IF(직원명부!A24="","",직원명부!A24)</f>
        <v/>
      </c>
      <c r="B24" s="25">
        <f>IF(직원명부!B24="","",직원명부!B24)</f>
        <v/>
      </c>
      <c r="C24" s="26">
        <f>IF(직원명부!C24="","",직원명부!C24)</f>
        <v/>
      </c>
      <c r="D24" s="25">
        <f>IF(직원명부!F24="","",직원명부!F24)</f>
        <v/>
      </c>
      <c r="E24" s="25">
        <f>IF(C24="","",DATEDIF(C24,IF(직원명부!G24="",$B$3,MIN($B$3,직원명부!G24)),"Y")&amp;"년 "&amp;DATEDIF(C24,IF(직원명부!G24="",$B$3,MIN($B$3,직원명부!G24)),"YM")&amp;"개월")</f>
        <v/>
      </c>
      <c r="F24" s="26">
        <f>IF(C24="","",IF(DATEDIF(C24,IF(직원명부!G24="",$B$3,MIN($B$3,직원명부!G24)),"Y")&lt;1,C24,EDATE(C24,DATEDIF(C24,IF(직원명부!G24="",$B$3,MIN($B$3,직원명부!G24)),"Y")*12)))</f>
        <v/>
      </c>
      <c r="G24" s="26">
        <f>IF(C24="","",EDATE(C24,(DATEDIF(C24,IF(직원명부!G24="",$B$3,MIN($B$3,직원명부!G24)),"Y")+1)*12)-1)</f>
        <v/>
      </c>
      <c r="H24" s="27">
        <f>IF(C24="","",IF(DATEDIF(C24,IF(직원명부!G24="",$B$3,MIN($B$3,직원명부!G24)),"Y")&lt;1,MIN(11,DATEDIF(C24,IF(직원명부!G24="",$B$3,MIN($B$3,직원명부!G24)),"M")),MIN(25,15+INT((DATEDIF(C24,IF(직원명부!G24="",$B$3,MIN($B$3,직원명부!G24)),"Y")-1)/2))))</f>
        <v/>
      </c>
      <c r="I24" s="28" t="n"/>
      <c r="J24" s="27">
        <f>IF(C24="","",H24+N(I24))</f>
        <v/>
      </c>
      <c r="K24" s="27">
        <f>IF(C24="","",SUMIFS(휴가대장!$F$5:$F$504,휴가대장!$B$5:$B$504,$A24,휴가대장!$E$5:$E$504,"연차",휴가대장!$D$5:$D$504,"&gt;="&amp;$F24,휴가대장!$D$5:$D$504,"&lt;="&amp;$G24))</f>
        <v/>
      </c>
      <c r="L24" s="29">
        <f>IF(C24="","",J24-K24)</f>
        <v/>
      </c>
      <c r="M24" s="25">
        <f>IF(C24="","",IF(직원명부!G24&lt;&gt;"","퇴사",IF(G24-$B$3&lt;0,"기간종료",G24-$B$3&amp;"일")))</f>
        <v/>
      </c>
    </row>
    <row r="26">
      <c r="A26" s="2" t="inlineStr">
        <is>
          <t>· 「발생일수」는 개근을 전제로 계산합니다. 결근이 있어 출근율 80% 미만인 직원은 수동으로 조정하세요.</t>
        </is>
      </c>
    </row>
    <row r="27">
      <c r="A27" s="2" t="inlineStr">
        <is>
          <t>· 「사용」은 휴가대장에서 종류가 「연차」이고 사용일자가 산정기간 안에 있는 건만 더합니다. 경조·병가는 빠집니다.</t>
        </is>
      </c>
    </row>
    <row r="28">
      <c r="A28" s="2" t="inlineStr">
        <is>
          <t>· 산정기간이 끝나면 잔여일수는 소멸하며, 소멸분에 대해 미사용 수당을 지급해야 합니다. (취업규칙 제23조제4항)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4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3" customWidth="1" min="4" max="4"/>
    <col width="15" customWidth="1" min="5" max="5"/>
    <col width="8" customWidth="1" min="6" max="6"/>
    <col width="30" customWidth="1" min="7" max="7"/>
    <col width="11" customWidth="1" min="8" max="8"/>
    <col width="13" customWidth="1" min="9" max="9"/>
  </cols>
  <sheetData>
    <row r="1">
      <c r="A1" s="1" t="inlineStr">
        <is>
          <t>휴가대장</t>
        </is>
      </c>
    </row>
    <row r="2">
      <c r="A2" s="2" t="inlineStr">
        <is>
          <t>휴가를 쓸 때마다 한 줄씩 기록합니다. 종류가 「연차」인 건만 연차현황의 사용일수에 반영됩니다.</t>
        </is>
      </c>
    </row>
    <row r="3">
      <c r="A3" s="9" t="inlineStr">
        <is>
          <t>입력 방법 :  파란 글씨 = 직접 입력하는 칸    ·    검은 글씨 + 회색 배경 = 자동 계산 (수정 금지)</t>
        </is>
      </c>
      <c r="E3" s="2" t="inlineStr">
        <is>
          <t>반차는 일수 칸에 0.5를 넣으세요.  ·  연속 휴가는 날짜별로 한 줄씩 나눠 적는 것이 집계에 정확합니다.</t>
        </is>
      </c>
    </row>
    <row r="4" ht="30" customHeight="1">
      <c r="A4" s="11" t="inlineStr">
        <is>
          <t>순번</t>
        </is>
      </c>
      <c r="B4" s="10" t="inlineStr">
        <is>
          <t>사번</t>
        </is>
      </c>
      <c r="C4" s="11" t="inlineStr">
        <is>
          <t>성명</t>
        </is>
      </c>
      <c r="D4" s="10" t="inlineStr">
        <is>
          <t>사용일자</t>
        </is>
      </c>
      <c r="E4" s="10" t="inlineStr">
        <is>
          <t>휴가종류</t>
        </is>
      </c>
      <c r="F4" s="10" t="inlineStr">
        <is>
          <t>일수</t>
        </is>
      </c>
      <c r="G4" s="10" t="inlineStr">
        <is>
          <t>사유</t>
        </is>
      </c>
      <c r="H4" s="10" t="inlineStr">
        <is>
          <t>승인자</t>
        </is>
      </c>
      <c r="I4" s="10" t="inlineStr">
        <is>
          <t>신청일</t>
        </is>
      </c>
    </row>
    <row r="5">
      <c r="A5" s="30">
        <f>IF(B5="","",COUNTA($B$5:$B5))</f>
        <v/>
      </c>
      <c r="B5" s="12" t="n"/>
      <c r="C5" s="25">
        <f>IFERROR(IF(B5="","",INDEX(직원명부!$B$5:$B$24,MATCH(B5,직원명부!$A$5:$A$24,0))),"사번 확인")</f>
        <v/>
      </c>
      <c r="D5" s="13" t="n"/>
      <c r="E5" s="12" t="n"/>
      <c r="F5" s="31" t="n"/>
      <c r="G5" s="17" t="n"/>
      <c r="H5" s="12" t="n"/>
      <c r="I5" s="13" t="n"/>
    </row>
    <row r="6">
      <c r="A6" s="30">
        <f>IF(B6="","",COUNTA($B$5:$B6))</f>
        <v/>
      </c>
      <c r="B6" s="18" t="n"/>
      <c r="C6" s="25">
        <f>IFERROR(IF(B6="","",INDEX(직원명부!$B$5:$B$24,MATCH(B6,직원명부!$A$5:$A$24,0))),"사번 확인")</f>
        <v/>
      </c>
      <c r="D6" s="19" t="n"/>
      <c r="E6" s="18" t="n"/>
      <c r="F6" s="28" t="n"/>
      <c r="G6" s="22" t="n"/>
      <c r="H6" s="18" t="n"/>
      <c r="I6" s="19" t="n"/>
    </row>
    <row r="7">
      <c r="A7" s="30">
        <f>IF(B7="","",COUNTA($B$5:$B7))</f>
        <v/>
      </c>
      <c r="B7" s="18" t="n"/>
      <c r="C7" s="25">
        <f>IFERROR(IF(B7="","",INDEX(직원명부!$B$5:$B$24,MATCH(B7,직원명부!$A$5:$A$24,0))),"사번 확인")</f>
        <v/>
      </c>
      <c r="D7" s="19" t="n"/>
      <c r="E7" s="18" t="n"/>
      <c r="F7" s="28" t="n"/>
      <c r="G7" s="22" t="n"/>
      <c r="H7" s="18" t="n"/>
      <c r="I7" s="19" t="n"/>
    </row>
    <row r="8">
      <c r="A8" s="30">
        <f>IF(B8="","",COUNTA($B$5:$B8))</f>
        <v/>
      </c>
      <c r="B8" s="18" t="n"/>
      <c r="C8" s="25">
        <f>IFERROR(IF(B8="","",INDEX(직원명부!$B$5:$B$24,MATCH(B8,직원명부!$A$5:$A$24,0))),"사번 확인")</f>
        <v/>
      </c>
      <c r="D8" s="19" t="n"/>
      <c r="E8" s="18" t="n"/>
      <c r="F8" s="28" t="n"/>
      <c r="G8" s="22" t="n"/>
      <c r="H8" s="18" t="n"/>
      <c r="I8" s="19" t="n"/>
    </row>
    <row r="9">
      <c r="A9" s="30">
        <f>IF(B9="","",COUNTA($B$5:$B9))</f>
        <v/>
      </c>
      <c r="B9" s="18" t="n"/>
      <c r="C9" s="25">
        <f>IFERROR(IF(B9="","",INDEX(직원명부!$B$5:$B$24,MATCH(B9,직원명부!$A$5:$A$24,0))),"사번 확인")</f>
        <v/>
      </c>
      <c r="D9" s="19" t="n"/>
      <c r="E9" s="18" t="n"/>
      <c r="F9" s="28" t="n"/>
      <c r="G9" s="22" t="n"/>
      <c r="H9" s="18" t="n"/>
      <c r="I9" s="19" t="n"/>
    </row>
    <row r="10">
      <c r="A10" s="30">
        <f>IF(B10="","",COUNTA($B$5:$B10))</f>
        <v/>
      </c>
      <c r="B10" s="18" t="n"/>
      <c r="C10" s="25">
        <f>IFERROR(IF(B10="","",INDEX(직원명부!$B$5:$B$24,MATCH(B10,직원명부!$A$5:$A$24,0))),"사번 확인")</f>
        <v/>
      </c>
      <c r="D10" s="19" t="n"/>
      <c r="E10" s="18" t="n"/>
      <c r="F10" s="28" t="n"/>
      <c r="G10" s="22" t="n"/>
      <c r="H10" s="18" t="n"/>
      <c r="I10" s="19" t="n"/>
    </row>
    <row r="11">
      <c r="A11" s="30">
        <f>IF(B11="","",COUNTA($B$5:$B11))</f>
        <v/>
      </c>
      <c r="B11" s="18" t="n"/>
      <c r="C11" s="25">
        <f>IFERROR(IF(B11="","",INDEX(직원명부!$B$5:$B$24,MATCH(B11,직원명부!$A$5:$A$24,0))),"사번 확인")</f>
        <v/>
      </c>
      <c r="D11" s="19" t="n"/>
      <c r="E11" s="18" t="n"/>
      <c r="F11" s="28" t="n"/>
      <c r="G11" s="22" t="n"/>
      <c r="H11" s="18" t="n"/>
      <c r="I11" s="19" t="n"/>
    </row>
    <row r="12">
      <c r="A12" s="30">
        <f>IF(B12="","",COUNTA($B$5:$B12))</f>
        <v/>
      </c>
      <c r="B12" s="18" t="n"/>
      <c r="C12" s="25">
        <f>IFERROR(IF(B12="","",INDEX(직원명부!$B$5:$B$24,MATCH(B12,직원명부!$A$5:$A$24,0))),"사번 확인")</f>
        <v/>
      </c>
      <c r="D12" s="19" t="n"/>
      <c r="E12" s="18" t="n"/>
      <c r="F12" s="28" t="n"/>
      <c r="G12" s="22" t="n"/>
      <c r="H12" s="18" t="n"/>
      <c r="I12" s="19" t="n"/>
    </row>
    <row r="13">
      <c r="A13" s="30">
        <f>IF(B13="","",COUNTA($B$5:$B13))</f>
        <v/>
      </c>
      <c r="B13" s="18" t="n"/>
      <c r="C13" s="25">
        <f>IFERROR(IF(B13="","",INDEX(직원명부!$B$5:$B$24,MATCH(B13,직원명부!$A$5:$A$24,0))),"사번 확인")</f>
        <v/>
      </c>
      <c r="D13" s="19" t="n"/>
      <c r="E13" s="18" t="n"/>
      <c r="F13" s="28" t="n"/>
      <c r="G13" s="22" t="n"/>
      <c r="H13" s="18" t="n"/>
      <c r="I13" s="19" t="n"/>
    </row>
    <row r="14">
      <c r="A14" s="30">
        <f>IF(B14="","",COUNTA($B$5:$B14))</f>
        <v/>
      </c>
      <c r="B14" s="18" t="n"/>
      <c r="C14" s="25">
        <f>IFERROR(IF(B14="","",INDEX(직원명부!$B$5:$B$24,MATCH(B14,직원명부!$A$5:$A$24,0))),"사번 확인")</f>
        <v/>
      </c>
      <c r="D14" s="19" t="n"/>
      <c r="E14" s="18" t="n"/>
      <c r="F14" s="28" t="n"/>
      <c r="G14" s="22" t="n"/>
      <c r="H14" s="18" t="n"/>
      <c r="I14" s="19" t="n"/>
    </row>
    <row r="15">
      <c r="A15" s="30">
        <f>IF(B15="","",COUNTA($B$5:$B15))</f>
        <v/>
      </c>
      <c r="B15" s="18" t="n"/>
      <c r="C15" s="25">
        <f>IFERROR(IF(B15="","",INDEX(직원명부!$B$5:$B$24,MATCH(B15,직원명부!$A$5:$A$24,0))),"사번 확인")</f>
        <v/>
      </c>
      <c r="D15" s="19" t="n"/>
      <c r="E15" s="18" t="n"/>
      <c r="F15" s="28" t="n"/>
      <c r="G15" s="22" t="n"/>
      <c r="H15" s="18" t="n"/>
      <c r="I15" s="19" t="n"/>
    </row>
    <row r="16">
      <c r="A16" s="30">
        <f>IF(B16="","",COUNTA($B$5:$B16))</f>
        <v/>
      </c>
      <c r="B16" s="18" t="n"/>
      <c r="C16" s="25">
        <f>IFERROR(IF(B16="","",INDEX(직원명부!$B$5:$B$24,MATCH(B16,직원명부!$A$5:$A$24,0))),"사번 확인")</f>
        <v/>
      </c>
      <c r="D16" s="19" t="n"/>
      <c r="E16" s="18" t="n"/>
      <c r="F16" s="28" t="n"/>
      <c r="G16" s="22" t="n"/>
      <c r="H16" s="18" t="n"/>
      <c r="I16" s="19" t="n"/>
    </row>
    <row r="17">
      <c r="A17" s="30">
        <f>IF(B17="","",COUNTA($B$5:$B17))</f>
        <v/>
      </c>
      <c r="B17" s="18" t="n"/>
      <c r="C17" s="25">
        <f>IFERROR(IF(B17="","",INDEX(직원명부!$B$5:$B$24,MATCH(B17,직원명부!$A$5:$A$24,0))),"사번 확인")</f>
        <v/>
      </c>
      <c r="D17" s="19" t="n"/>
      <c r="E17" s="18" t="n"/>
      <c r="F17" s="28" t="n"/>
      <c r="G17" s="22" t="n"/>
      <c r="H17" s="18" t="n"/>
      <c r="I17" s="19" t="n"/>
    </row>
    <row r="18">
      <c r="A18" s="30">
        <f>IF(B18="","",COUNTA($B$5:$B18))</f>
        <v/>
      </c>
      <c r="B18" s="18" t="n"/>
      <c r="C18" s="25">
        <f>IFERROR(IF(B18="","",INDEX(직원명부!$B$5:$B$24,MATCH(B18,직원명부!$A$5:$A$24,0))),"사번 확인")</f>
        <v/>
      </c>
      <c r="D18" s="19" t="n"/>
      <c r="E18" s="18" t="n"/>
      <c r="F18" s="28" t="n"/>
      <c r="G18" s="22" t="n"/>
      <c r="H18" s="18" t="n"/>
      <c r="I18" s="19" t="n"/>
    </row>
    <row r="19">
      <c r="A19" s="30">
        <f>IF(B19="","",COUNTA($B$5:$B19))</f>
        <v/>
      </c>
      <c r="B19" s="18" t="n"/>
      <c r="C19" s="25">
        <f>IFERROR(IF(B19="","",INDEX(직원명부!$B$5:$B$24,MATCH(B19,직원명부!$A$5:$A$24,0))),"사번 확인")</f>
        <v/>
      </c>
      <c r="D19" s="19" t="n"/>
      <c r="E19" s="18" t="n"/>
      <c r="F19" s="28" t="n"/>
      <c r="G19" s="22" t="n"/>
      <c r="H19" s="18" t="n"/>
      <c r="I19" s="19" t="n"/>
    </row>
    <row r="20">
      <c r="A20" s="30">
        <f>IF(B20="","",COUNTA($B$5:$B20))</f>
        <v/>
      </c>
      <c r="B20" s="18" t="n"/>
      <c r="C20" s="25">
        <f>IFERROR(IF(B20="","",INDEX(직원명부!$B$5:$B$24,MATCH(B20,직원명부!$A$5:$A$24,0))),"사번 확인")</f>
        <v/>
      </c>
      <c r="D20" s="19" t="n"/>
      <c r="E20" s="18" t="n"/>
      <c r="F20" s="28" t="n"/>
      <c r="G20" s="22" t="n"/>
      <c r="H20" s="18" t="n"/>
      <c r="I20" s="19" t="n"/>
    </row>
    <row r="21">
      <c r="A21" s="30">
        <f>IF(B21="","",COUNTA($B$5:$B21))</f>
        <v/>
      </c>
      <c r="B21" s="18" t="n"/>
      <c r="C21" s="25">
        <f>IFERROR(IF(B21="","",INDEX(직원명부!$B$5:$B$24,MATCH(B21,직원명부!$A$5:$A$24,0))),"사번 확인")</f>
        <v/>
      </c>
      <c r="D21" s="19" t="n"/>
      <c r="E21" s="18" t="n"/>
      <c r="F21" s="28" t="n"/>
      <c r="G21" s="22" t="n"/>
      <c r="H21" s="18" t="n"/>
      <c r="I21" s="19" t="n"/>
    </row>
    <row r="22">
      <c r="A22" s="30">
        <f>IF(B22="","",COUNTA($B$5:$B22))</f>
        <v/>
      </c>
      <c r="B22" s="18" t="n"/>
      <c r="C22" s="25">
        <f>IFERROR(IF(B22="","",INDEX(직원명부!$B$5:$B$24,MATCH(B22,직원명부!$A$5:$A$24,0))),"사번 확인")</f>
        <v/>
      </c>
      <c r="D22" s="19" t="n"/>
      <c r="E22" s="18" t="n"/>
      <c r="F22" s="28" t="n"/>
      <c r="G22" s="22" t="n"/>
      <c r="H22" s="18" t="n"/>
      <c r="I22" s="19" t="n"/>
    </row>
    <row r="23">
      <c r="A23" s="30">
        <f>IF(B23="","",COUNTA($B$5:$B23))</f>
        <v/>
      </c>
      <c r="B23" s="18" t="n"/>
      <c r="C23" s="25">
        <f>IFERROR(IF(B23="","",INDEX(직원명부!$B$5:$B$24,MATCH(B23,직원명부!$A$5:$A$24,0))),"사번 확인")</f>
        <v/>
      </c>
      <c r="D23" s="19" t="n"/>
      <c r="E23" s="18" t="n"/>
      <c r="F23" s="28" t="n"/>
      <c r="G23" s="22" t="n"/>
      <c r="H23" s="18" t="n"/>
      <c r="I23" s="19" t="n"/>
    </row>
    <row r="24">
      <c r="A24" s="30">
        <f>IF(B24="","",COUNTA($B$5:$B24))</f>
        <v/>
      </c>
      <c r="B24" s="18" t="n"/>
      <c r="C24" s="25">
        <f>IFERROR(IF(B24="","",INDEX(직원명부!$B$5:$B$24,MATCH(B24,직원명부!$A$5:$A$24,0))),"사번 확인")</f>
        <v/>
      </c>
      <c r="D24" s="19" t="n"/>
      <c r="E24" s="18" t="n"/>
      <c r="F24" s="28" t="n"/>
      <c r="G24" s="22" t="n"/>
      <c r="H24" s="18" t="n"/>
      <c r="I24" s="19" t="n"/>
    </row>
    <row r="25">
      <c r="A25" s="30">
        <f>IF(B25="","",COUNTA($B$5:$B25))</f>
        <v/>
      </c>
      <c r="B25" s="18" t="n"/>
      <c r="C25" s="25">
        <f>IFERROR(IF(B25="","",INDEX(직원명부!$B$5:$B$24,MATCH(B25,직원명부!$A$5:$A$24,0))),"사번 확인")</f>
        <v/>
      </c>
      <c r="D25" s="19" t="n"/>
      <c r="E25" s="18" t="n"/>
      <c r="F25" s="28" t="n"/>
      <c r="G25" s="22" t="n"/>
      <c r="H25" s="18" t="n"/>
      <c r="I25" s="19" t="n"/>
    </row>
    <row r="26">
      <c r="A26" s="30">
        <f>IF(B26="","",COUNTA($B$5:$B26))</f>
        <v/>
      </c>
      <c r="B26" s="18" t="n"/>
      <c r="C26" s="25">
        <f>IFERROR(IF(B26="","",INDEX(직원명부!$B$5:$B$24,MATCH(B26,직원명부!$A$5:$A$24,0))),"사번 확인")</f>
        <v/>
      </c>
      <c r="D26" s="19" t="n"/>
      <c r="E26" s="18" t="n"/>
      <c r="F26" s="28" t="n"/>
      <c r="G26" s="22" t="n"/>
      <c r="H26" s="18" t="n"/>
      <c r="I26" s="19" t="n"/>
    </row>
    <row r="27">
      <c r="A27" s="30">
        <f>IF(B27="","",COUNTA($B$5:$B27))</f>
        <v/>
      </c>
      <c r="B27" s="18" t="n"/>
      <c r="C27" s="25">
        <f>IFERROR(IF(B27="","",INDEX(직원명부!$B$5:$B$24,MATCH(B27,직원명부!$A$5:$A$24,0))),"사번 확인")</f>
        <v/>
      </c>
      <c r="D27" s="19" t="n"/>
      <c r="E27" s="18" t="n"/>
      <c r="F27" s="28" t="n"/>
      <c r="G27" s="22" t="n"/>
      <c r="H27" s="18" t="n"/>
      <c r="I27" s="19" t="n"/>
    </row>
    <row r="28">
      <c r="A28" s="30">
        <f>IF(B28="","",COUNTA($B$5:$B28))</f>
        <v/>
      </c>
      <c r="B28" s="18" t="n"/>
      <c r="C28" s="25">
        <f>IFERROR(IF(B28="","",INDEX(직원명부!$B$5:$B$24,MATCH(B28,직원명부!$A$5:$A$24,0))),"사번 확인")</f>
        <v/>
      </c>
      <c r="D28" s="19" t="n"/>
      <c r="E28" s="18" t="n"/>
      <c r="F28" s="28" t="n"/>
      <c r="G28" s="22" t="n"/>
      <c r="H28" s="18" t="n"/>
      <c r="I28" s="19" t="n"/>
    </row>
    <row r="29">
      <c r="A29" s="30">
        <f>IF(B29="","",COUNTA($B$5:$B29))</f>
        <v/>
      </c>
      <c r="B29" s="18" t="n"/>
      <c r="C29" s="25">
        <f>IFERROR(IF(B29="","",INDEX(직원명부!$B$5:$B$24,MATCH(B29,직원명부!$A$5:$A$24,0))),"사번 확인")</f>
        <v/>
      </c>
      <c r="D29" s="19" t="n"/>
      <c r="E29" s="18" t="n"/>
      <c r="F29" s="28" t="n"/>
      <c r="G29" s="22" t="n"/>
      <c r="H29" s="18" t="n"/>
      <c r="I29" s="19" t="n"/>
    </row>
    <row r="30">
      <c r="A30" s="30">
        <f>IF(B30="","",COUNTA($B$5:$B30))</f>
        <v/>
      </c>
      <c r="B30" s="18" t="n"/>
      <c r="C30" s="25">
        <f>IFERROR(IF(B30="","",INDEX(직원명부!$B$5:$B$24,MATCH(B30,직원명부!$A$5:$A$24,0))),"사번 확인")</f>
        <v/>
      </c>
      <c r="D30" s="19" t="n"/>
      <c r="E30" s="18" t="n"/>
      <c r="F30" s="28" t="n"/>
      <c r="G30" s="22" t="n"/>
      <c r="H30" s="18" t="n"/>
      <c r="I30" s="19" t="n"/>
    </row>
    <row r="31">
      <c r="A31" s="30">
        <f>IF(B31="","",COUNTA($B$5:$B31))</f>
        <v/>
      </c>
      <c r="B31" s="18" t="n"/>
      <c r="C31" s="25">
        <f>IFERROR(IF(B31="","",INDEX(직원명부!$B$5:$B$24,MATCH(B31,직원명부!$A$5:$A$24,0))),"사번 확인")</f>
        <v/>
      </c>
      <c r="D31" s="19" t="n"/>
      <c r="E31" s="18" t="n"/>
      <c r="F31" s="28" t="n"/>
      <c r="G31" s="22" t="n"/>
      <c r="H31" s="18" t="n"/>
      <c r="I31" s="19" t="n"/>
    </row>
    <row r="32">
      <c r="A32" s="30">
        <f>IF(B32="","",COUNTA($B$5:$B32))</f>
        <v/>
      </c>
      <c r="B32" s="18" t="n"/>
      <c r="C32" s="25">
        <f>IFERROR(IF(B32="","",INDEX(직원명부!$B$5:$B$24,MATCH(B32,직원명부!$A$5:$A$24,0))),"사번 확인")</f>
        <v/>
      </c>
      <c r="D32" s="19" t="n"/>
      <c r="E32" s="18" t="n"/>
      <c r="F32" s="28" t="n"/>
      <c r="G32" s="22" t="n"/>
      <c r="H32" s="18" t="n"/>
      <c r="I32" s="19" t="n"/>
    </row>
    <row r="33">
      <c r="A33" s="30">
        <f>IF(B33="","",COUNTA($B$5:$B33))</f>
        <v/>
      </c>
      <c r="B33" s="18" t="n"/>
      <c r="C33" s="25">
        <f>IFERROR(IF(B33="","",INDEX(직원명부!$B$5:$B$24,MATCH(B33,직원명부!$A$5:$A$24,0))),"사번 확인")</f>
        <v/>
      </c>
      <c r="D33" s="19" t="n"/>
      <c r="E33" s="18" t="n"/>
      <c r="F33" s="28" t="n"/>
      <c r="G33" s="22" t="n"/>
      <c r="H33" s="18" t="n"/>
      <c r="I33" s="19" t="n"/>
    </row>
    <row r="34">
      <c r="A34" s="30">
        <f>IF(B34="","",COUNTA($B$5:$B34))</f>
        <v/>
      </c>
      <c r="B34" s="18" t="n"/>
      <c r="C34" s="25">
        <f>IFERROR(IF(B34="","",INDEX(직원명부!$B$5:$B$24,MATCH(B34,직원명부!$A$5:$A$24,0))),"사번 확인")</f>
        <v/>
      </c>
      <c r="D34" s="19" t="n"/>
      <c r="E34" s="18" t="n"/>
      <c r="F34" s="28" t="n"/>
      <c r="G34" s="22" t="n"/>
      <c r="H34" s="18" t="n"/>
      <c r="I34" s="19" t="n"/>
    </row>
    <row r="35">
      <c r="A35" s="30">
        <f>IF(B35="","",COUNTA($B$5:$B35))</f>
        <v/>
      </c>
      <c r="B35" s="18" t="n"/>
      <c r="C35" s="25">
        <f>IFERROR(IF(B35="","",INDEX(직원명부!$B$5:$B$24,MATCH(B35,직원명부!$A$5:$A$24,0))),"사번 확인")</f>
        <v/>
      </c>
      <c r="D35" s="19" t="n"/>
      <c r="E35" s="18" t="n"/>
      <c r="F35" s="28" t="n"/>
      <c r="G35" s="22" t="n"/>
      <c r="H35" s="18" t="n"/>
      <c r="I35" s="19" t="n"/>
    </row>
    <row r="36">
      <c r="A36" s="30">
        <f>IF(B36="","",COUNTA($B$5:$B36))</f>
        <v/>
      </c>
      <c r="B36" s="18" t="n"/>
      <c r="C36" s="25">
        <f>IFERROR(IF(B36="","",INDEX(직원명부!$B$5:$B$24,MATCH(B36,직원명부!$A$5:$A$24,0))),"사번 확인")</f>
        <v/>
      </c>
      <c r="D36" s="19" t="n"/>
      <c r="E36" s="18" t="n"/>
      <c r="F36" s="28" t="n"/>
      <c r="G36" s="22" t="n"/>
      <c r="H36" s="18" t="n"/>
      <c r="I36" s="19" t="n"/>
    </row>
    <row r="37">
      <c r="A37" s="30">
        <f>IF(B37="","",COUNTA($B$5:$B37))</f>
        <v/>
      </c>
      <c r="B37" s="18" t="n"/>
      <c r="C37" s="25">
        <f>IFERROR(IF(B37="","",INDEX(직원명부!$B$5:$B$24,MATCH(B37,직원명부!$A$5:$A$24,0))),"사번 확인")</f>
        <v/>
      </c>
      <c r="D37" s="19" t="n"/>
      <c r="E37" s="18" t="n"/>
      <c r="F37" s="28" t="n"/>
      <c r="G37" s="22" t="n"/>
      <c r="H37" s="18" t="n"/>
      <c r="I37" s="19" t="n"/>
    </row>
    <row r="38">
      <c r="A38" s="30">
        <f>IF(B38="","",COUNTA($B$5:$B38))</f>
        <v/>
      </c>
      <c r="B38" s="18" t="n"/>
      <c r="C38" s="25">
        <f>IFERROR(IF(B38="","",INDEX(직원명부!$B$5:$B$24,MATCH(B38,직원명부!$A$5:$A$24,0))),"사번 확인")</f>
        <v/>
      </c>
      <c r="D38" s="19" t="n"/>
      <c r="E38" s="18" t="n"/>
      <c r="F38" s="28" t="n"/>
      <c r="G38" s="22" t="n"/>
      <c r="H38" s="18" t="n"/>
      <c r="I38" s="19" t="n"/>
    </row>
    <row r="39">
      <c r="A39" s="30">
        <f>IF(B39="","",COUNTA($B$5:$B39))</f>
        <v/>
      </c>
      <c r="B39" s="18" t="n"/>
      <c r="C39" s="25">
        <f>IFERROR(IF(B39="","",INDEX(직원명부!$B$5:$B$24,MATCH(B39,직원명부!$A$5:$A$24,0))),"사번 확인")</f>
        <v/>
      </c>
      <c r="D39" s="19" t="n"/>
      <c r="E39" s="18" t="n"/>
      <c r="F39" s="28" t="n"/>
      <c r="G39" s="22" t="n"/>
      <c r="H39" s="18" t="n"/>
      <c r="I39" s="19" t="n"/>
    </row>
    <row r="40">
      <c r="A40" s="30">
        <f>IF(B40="","",COUNTA($B$5:$B40))</f>
        <v/>
      </c>
      <c r="B40" s="18" t="n"/>
      <c r="C40" s="25">
        <f>IFERROR(IF(B40="","",INDEX(직원명부!$B$5:$B$24,MATCH(B40,직원명부!$A$5:$A$24,0))),"사번 확인")</f>
        <v/>
      </c>
      <c r="D40" s="19" t="n"/>
      <c r="E40" s="18" t="n"/>
      <c r="F40" s="28" t="n"/>
      <c r="G40" s="22" t="n"/>
      <c r="H40" s="18" t="n"/>
      <c r="I40" s="19" t="n"/>
    </row>
    <row r="41">
      <c r="A41" s="30">
        <f>IF(B41="","",COUNTA($B$5:$B41))</f>
        <v/>
      </c>
      <c r="B41" s="18" t="n"/>
      <c r="C41" s="25">
        <f>IFERROR(IF(B41="","",INDEX(직원명부!$B$5:$B$24,MATCH(B41,직원명부!$A$5:$A$24,0))),"사번 확인")</f>
        <v/>
      </c>
      <c r="D41" s="19" t="n"/>
      <c r="E41" s="18" t="n"/>
      <c r="F41" s="28" t="n"/>
      <c r="G41" s="22" t="n"/>
      <c r="H41" s="18" t="n"/>
      <c r="I41" s="19" t="n"/>
    </row>
    <row r="42">
      <c r="A42" s="30">
        <f>IF(B42="","",COUNTA($B$5:$B42))</f>
        <v/>
      </c>
      <c r="B42" s="18" t="n"/>
      <c r="C42" s="25">
        <f>IFERROR(IF(B42="","",INDEX(직원명부!$B$5:$B$24,MATCH(B42,직원명부!$A$5:$A$24,0))),"사번 확인")</f>
        <v/>
      </c>
      <c r="D42" s="19" t="n"/>
      <c r="E42" s="18" t="n"/>
      <c r="F42" s="28" t="n"/>
      <c r="G42" s="22" t="n"/>
      <c r="H42" s="18" t="n"/>
      <c r="I42" s="19" t="n"/>
    </row>
    <row r="43">
      <c r="A43" s="30">
        <f>IF(B43="","",COUNTA($B$5:$B43))</f>
        <v/>
      </c>
      <c r="B43" s="18" t="n"/>
      <c r="C43" s="25">
        <f>IFERROR(IF(B43="","",INDEX(직원명부!$B$5:$B$24,MATCH(B43,직원명부!$A$5:$A$24,0))),"사번 확인")</f>
        <v/>
      </c>
      <c r="D43" s="19" t="n"/>
      <c r="E43" s="18" t="n"/>
      <c r="F43" s="28" t="n"/>
      <c r="G43" s="22" t="n"/>
      <c r="H43" s="18" t="n"/>
      <c r="I43" s="19" t="n"/>
    </row>
    <row r="44">
      <c r="A44" s="30">
        <f>IF(B44="","",COUNTA($B$5:$B44))</f>
        <v/>
      </c>
      <c r="B44" s="18" t="n"/>
      <c r="C44" s="25">
        <f>IFERROR(IF(B44="","",INDEX(직원명부!$B$5:$B$24,MATCH(B44,직원명부!$A$5:$A$24,0))),"사번 확인")</f>
        <v/>
      </c>
      <c r="D44" s="19" t="n"/>
      <c r="E44" s="18" t="n"/>
      <c r="F44" s="28" t="n"/>
      <c r="G44" s="22" t="n"/>
      <c r="H44" s="18" t="n"/>
      <c r="I44" s="19" t="n"/>
    </row>
    <row r="45">
      <c r="A45" s="30">
        <f>IF(B45="","",COUNTA($B$5:$B45))</f>
        <v/>
      </c>
      <c r="B45" s="18" t="n"/>
      <c r="C45" s="25">
        <f>IFERROR(IF(B45="","",INDEX(직원명부!$B$5:$B$24,MATCH(B45,직원명부!$A$5:$A$24,0))),"사번 확인")</f>
        <v/>
      </c>
      <c r="D45" s="19" t="n"/>
      <c r="E45" s="18" t="n"/>
      <c r="F45" s="28" t="n"/>
      <c r="G45" s="22" t="n"/>
      <c r="H45" s="18" t="n"/>
      <c r="I45" s="19" t="n"/>
    </row>
    <row r="46">
      <c r="A46" s="30">
        <f>IF(B46="","",COUNTA($B$5:$B46))</f>
        <v/>
      </c>
      <c r="B46" s="18" t="n"/>
      <c r="C46" s="25">
        <f>IFERROR(IF(B46="","",INDEX(직원명부!$B$5:$B$24,MATCH(B46,직원명부!$A$5:$A$24,0))),"사번 확인")</f>
        <v/>
      </c>
      <c r="D46" s="19" t="n"/>
      <c r="E46" s="18" t="n"/>
      <c r="F46" s="28" t="n"/>
      <c r="G46" s="22" t="n"/>
      <c r="H46" s="18" t="n"/>
      <c r="I46" s="19" t="n"/>
    </row>
    <row r="47">
      <c r="A47" s="30">
        <f>IF(B47="","",COUNTA($B$5:$B47))</f>
        <v/>
      </c>
      <c r="B47" s="18" t="n"/>
      <c r="C47" s="25">
        <f>IFERROR(IF(B47="","",INDEX(직원명부!$B$5:$B$24,MATCH(B47,직원명부!$A$5:$A$24,0))),"사번 확인")</f>
        <v/>
      </c>
      <c r="D47" s="19" t="n"/>
      <c r="E47" s="18" t="n"/>
      <c r="F47" s="28" t="n"/>
      <c r="G47" s="22" t="n"/>
      <c r="H47" s="18" t="n"/>
      <c r="I47" s="19" t="n"/>
    </row>
    <row r="48">
      <c r="A48" s="30">
        <f>IF(B48="","",COUNTA($B$5:$B48))</f>
        <v/>
      </c>
      <c r="B48" s="18" t="n"/>
      <c r="C48" s="25">
        <f>IFERROR(IF(B48="","",INDEX(직원명부!$B$5:$B$24,MATCH(B48,직원명부!$A$5:$A$24,0))),"사번 확인")</f>
        <v/>
      </c>
      <c r="D48" s="19" t="n"/>
      <c r="E48" s="18" t="n"/>
      <c r="F48" s="28" t="n"/>
      <c r="G48" s="22" t="n"/>
      <c r="H48" s="18" t="n"/>
      <c r="I48" s="19" t="n"/>
    </row>
    <row r="49">
      <c r="A49" s="30">
        <f>IF(B49="","",COUNTA($B$5:$B49))</f>
        <v/>
      </c>
      <c r="B49" s="18" t="n"/>
      <c r="C49" s="25">
        <f>IFERROR(IF(B49="","",INDEX(직원명부!$B$5:$B$24,MATCH(B49,직원명부!$A$5:$A$24,0))),"사번 확인")</f>
        <v/>
      </c>
      <c r="D49" s="19" t="n"/>
      <c r="E49" s="18" t="n"/>
      <c r="F49" s="28" t="n"/>
      <c r="G49" s="22" t="n"/>
      <c r="H49" s="18" t="n"/>
      <c r="I49" s="19" t="n"/>
    </row>
    <row r="50">
      <c r="A50" s="30">
        <f>IF(B50="","",COUNTA($B$5:$B50))</f>
        <v/>
      </c>
      <c r="B50" s="18" t="n"/>
      <c r="C50" s="25">
        <f>IFERROR(IF(B50="","",INDEX(직원명부!$B$5:$B$24,MATCH(B50,직원명부!$A$5:$A$24,0))),"사번 확인")</f>
        <v/>
      </c>
      <c r="D50" s="19" t="n"/>
      <c r="E50" s="18" t="n"/>
      <c r="F50" s="28" t="n"/>
      <c r="G50" s="22" t="n"/>
      <c r="H50" s="18" t="n"/>
      <c r="I50" s="19" t="n"/>
    </row>
    <row r="51">
      <c r="A51" s="30">
        <f>IF(B51="","",COUNTA($B$5:$B51))</f>
        <v/>
      </c>
      <c r="B51" s="18" t="n"/>
      <c r="C51" s="25">
        <f>IFERROR(IF(B51="","",INDEX(직원명부!$B$5:$B$24,MATCH(B51,직원명부!$A$5:$A$24,0))),"사번 확인")</f>
        <v/>
      </c>
      <c r="D51" s="19" t="n"/>
      <c r="E51" s="18" t="n"/>
      <c r="F51" s="28" t="n"/>
      <c r="G51" s="22" t="n"/>
      <c r="H51" s="18" t="n"/>
      <c r="I51" s="19" t="n"/>
    </row>
    <row r="52">
      <c r="A52" s="30">
        <f>IF(B52="","",COUNTA($B$5:$B52))</f>
        <v/>
      </c>
      <c r="B52" s="18" t="n"/>
      <c r="C52" s="25">
        <f>IFERROR(IF(B52="","",INDEX(직원명부!$B$5:$B$24,MATCH(B52,직원명부!$A$5:$A$24,0))),"사번 확인")</f>
        <v/>
      </c>
      <c r="D52" s="19" t="n"/>
      <c r="E52" s="18" t="n"/>
      <c r="F52" s="28" t="n"/>
      <c r="G52" s="22" t="n"/>
      <c r="H52" s="18" t="n"/>
      <c r="I52" s="19" t="n"/>
    </row>
    <row r="53">
      <c r="A53" s="30">
        <f>IF(B53="","",COUNTA($B$5:$B53))</f>
        <v/>
      </c>
      <c r="B53" s="18" t="n"/>
      <c r="C53" s="25">
        <f>IFERROR(IF(B53="","",INDEX(직원명부!$B$5:$B$24,MATCH(B53,직원명부!$A$5:$A$24,0))),"사번 확인")</f>
        <v/>
      </c>
      <c r="D53" s="19" t="n"/>
      <c r="E53" s="18" t="n"/>
      <c r="F53" s="28" t="n"/>
      <c r="G53" s="22" t="n"/>
      <c r="H53" s="18" t="n"/>
      <c r="I53" s="19" t="n"/>
    </row>
    <row r="54">
      <c r="A54" s="30">
        <f>IF(B54="","",COUNTA($B$5:$B54))</f>
        <v/>
      </c>
      <c r="B54" s="18" t="n"/>
      <c r="C54" s="25">
        <f>IFERROR(IF(B54="","",INDEX(직원명부!$B$5:$B$24,MATCH(B54,직원명부!$A$5:$A$24,0))),"사번 확인")</f>
        <v/>
      </c>
      <c r="D54" s="19" t="n"/>
      <c r="E54" s="18" t="n"/>
      <c r="F54" s="28" t="n"/>
      <c r="G54" s="22" t="n"/>
      <c r="H54" s="18" t="n"/>
      <c r="I54" s="19" t="n"/>
    </row>
    <row r="55">
      <c r="A55" s="30">
        <f>IF(B55="","",COUNTA($B$5:$B55))</f>
        <v/>
      </c>
      <c r="B55" s="18" t="n"/>
      <c r="C55" s="25">
        <f>IFERROR(IF(B55="","",INDEX(직원명부!$B$5:$B$24,MATCH(B55,직원명부!$A$5:$A$24,0))),"사번 확인")</f>
        <v/>
      </c>
      <c r="D55" s="19" t="n"/>
      <c r="E55" s="18" t="n"/>
      <c r="F55" s="28" t="n"/>
      <c r="G55" s="22" t="n"/>
      <c r="H55" s="18" t="n"/>
      <c r="I55" s="19" t="n"/>
    </row>
    <row r="56">
      <c r="A56" s="30">
        <f>IF(B56="","",COUNTA($B$5:$B56))</f>
        <v/>
      </c>
      <c r="B56" s="18" t="n"/>
      <c r="C56" s="25">
        <f>IFERROR(IF(B56="","",INDEX(직원명부!$B$5:$B$24,MATCH(B56,직원명부!$A$5:$A$24,0))),"사번 확인")</f>
        <v/>
      </c>
      <c r="D56" s="19" t="n"/>
      <c r="E56" s="18" t="n"/>
      <c r="F56" s="28" t="n"/>
      <c r="G56" s="22" t="n"/>
      <c r="H56" s="18" t="n"/>
      <c r="I56" s="19" t="n"/>
    </row>
    <row r="57">
      <c r="A57" s="30">
        <f>IF(B57="","",COUNTA($B$5:$B57))</f>
        <v/>
      </c>
      <c r="B57" s="18" t="n"/>
      <c r="C57" s="25">
        <f>IFERROR(IF(B57="","",INDEX(직원명부!$B$5:$B$24,MATCH(B57,직원명부!$A$5:$A$24,0))),"사번 확인")</f>
        <v/>
      </c>
      <c r="D57" s="19" t="n"/>
      <c r="E57" s="18" t="n"/>
      <c r="F57" s="28" t="n"/>
      <c r="G57" s="22" t="n"/>
      <c r="H57" s="18" t="n"/>
      <c r="I57" s="19" t="n"/>
    </row>
    <row r="58">
      <c r="A58" s="30">
        <f>IF(B58="","",COUNTA($B$5:$B58))</f>
        <v/>
      </c>
      <c r="B58" s="18" t="n"/>
      <c r="C58" s="25">
        <f>IFERROR(IF(B58="","",INDEX(직원명부!$B$5:$B$24,MATCH(B58,직원명부!$A$5:$A$24,0))),"사번 확인")</f>
        <v/>
      </c>
      <c r="D58" s="19" t="n"/>
      <c r="E58" s="18" t="n"/>
      <c r="F58" s="28" t="n"/>
      <c r="G58" s="22" t="n"/>
      <c r="H58" s="18" t="n"/>
      <c r="I58" s="19" t="n"/>
    </row>
    <row r="59">
      <c r="A59" s="30">
        <f>IF(B59="","",COUNTA($B$5:$B59))</f>
        <v/>
      </c>
      <c r="B59" s="18" t="n"/>
      <c r="C59" s="25">
        <f>IFERROR(IF(B59="","",INDEX(직원명부!$B$5:$B$24,MATCH(B59,직원명부!$A$5:$A$24,0))),"사번 확인")</f>
        <v/>
      </c>
      <c r="D59" s="19" t="n"/>
      <c r="E59" s="18" t="n"/>
      <c r="F59" s="28" t="n"/>
      <c r="G59" s="22" t="n"/>
      <c r="H59" s="18" t="n"/>
      <c r="I59" s="19" t="n"/>
    </row>
    <row r="60">
      <c r="A60" s="30">
        <f>IF(B60="","",COUNTA($B$5:$B60))</f>
        <v/>
      </c>
      <c r="B60" s="18" t="n"/>
      <c r="C60" s="25">
        <f>IFERROR(IF(B60="","",INDEX(직원명부!$B$5:$B$24,MATCH(B60,직원명부!$A$5:$A$24,0))),"사번 확인")</f>
        <v/>
      </c>
      <c r="D60" s="19" t="n"/>
      <c r="E60" s="18" t="n"/>
      <c r="F60" s="28" t="n"/>
      <c r="G60" s="22" t="n"/>
      <c r="H60" s="18" t="n"/>
      <c r="I60" s="19" t="n"/>
    </row>
    <row r="61">
      <c r="A61" s="30">
        <f>IF(B61="","",COUNTA($B$5:$B61))</f>
        <v/>
      </c>
      <c r="B61" s="18" t="n"/>
      <c r="C61" s="25">
        <f>IFERROR(IF(B61="","",INDEX(직원명부!$B$5:$B$24,MATCH(B61,직원명부!$A$5:$A$24,0))),"사번 확인")</f>
        <v/>
      </c>
      <c r="D61" s="19" t="n"/>
      <c r="E61" s="18" t="n"/>
      <c r="F61" s="28" t="n"/>
      <c r="G61" s="22" t="n"/>
      <c r="H61" s="18" t="n"/>
      <c r="I61" s="19" t="n"/>
    </row>
    <row r="62">
      <c r="A62" s="30">
        <f>IF(B62="","",COUNTA($B$5:$B62))</f>
        <v/>
      </c>
      <c r="B62" s="18" t="n"/>
      <c r="C62" s="25">
        <f>IFERROR(IF(B62="","",INDEX(직원명부!$B$5:$B$24,MATCH(B62,직원명부!$A$5:$A$24,0))),"사번 확인")</f>
        <v/>
      </c>
      <c r="D62" s="19" t="n"/>
      <c r="E62" s="18" t="n"/>
      <c r="F62" s="28" t="n"/>
      <c r="G62" s="22" t="n"/>
      <c r="H62" s="18" t="n"/>
      <c r="I62" s="19" t="n"/>
    </row>
    <row r="63">
      <c r="A63" s="30">
        <f>IF(B63="","",COUNTA($B$5:$B63))</f>
        <v/>
      </c>
      <c r="B63" s="18" t="n"/>
      <c r="C63" s="25">
        <f>IFERROR(IF(B63="","",INDEX(직원명부!$B$5:$B$24,MATCH(B63,직원명부!$A$5:$A$24,0))),"사번 확인")</f>
        <v/>
      </c>
      <c r="D63" s="19" t="n"/>
      <c r="E63" s="18" t="n"/>
      <c r="F63" s="28" t="n"/>
      <c r="G63" s="22" t="n"/>
      <c r="H63" s="18" t="n"/>
      <c r="I63" s="19" t="n"/>
    </row>
    <row r="64">
      <c r="A64" s="30">
        <f>IF(B64="","",COUNTA($B$5:$B64))</f>
        <v/>
      </c>
      <c r="B64" s="18" t="n"/>
      <c r="C64" s="25">
        <f>IFERROR(IF(B64="","",INDEX(직원명부!$B$5:$B$24,MATCH(B64,직원명부!$A$5:$A$24,0))),"사번 확인")</f>
        <v/>
      </c>
      <c r="D64" s="19" t="n"/>
      <c r="E64" s="18" t="n"/>
      <c r="F64" s="28" t="n"/>
      <c r="G64" s="22" t="n"/>
      <c r="H64" s="18" t="n"/>
      <c r="I64" s="19" t="n"/>
    </row>
    <row r="65">
      <c r="A65" s="30">
        <f>IF(B65="","",COUNTA($B$5:$B65))</f>
        <v/>
      </c>
      <c r="B65" s="18" t="n"/>
      <c r="C65" s="25">
        <f>IFERROR(IF(B65="","",INDEX(직원명부!$B$5:$B$24,MATCH(B65,직원명부!$A$5:$A$24,0))),"사번 확인")</f>
        <v/>
      </c>
      <c r="D65" s="19" t="n"/>
      <c r="E65" s="18" t="n"/>
      <c r="F65" s="28" t="n"/>
      <c r="G65" s="22" t="n"/>
      <c r="H65" s="18" t="n"/>
      <c r="I65" s="19" t="n"/>
    </row>
    <row r="66">
      <c r="A66" s="30">
        <f>IF(B66="","",COUNTA($B$5:$B66))</f>
        <v/>
      </c>
      <c r="B66" s="18" t="n"/>
      <c r="C66" s="25">
        <f>IFERROR(IF(B66="","",INDEX(직원명부!$B$5:$B$24,MATCH(B66,직원명부!$A$5:$A$24,0))),"사번 확인")</f>
        <v/>
      </c>
      <c r="D66" s="19" t="n"/>
      <c r="E66" s="18" t="n"/>
      <c r="F66" s="28" t="n"/>
      <c r="G66" s="22" t="n"/>
      <c r="H66" s="18" t="n"/>
      <c r="I66" s="19" t="n"/>
    </row>
    <row r="67">
      <c r="A67" s="30">
        <f>IF(B67="","",COUNTA($B$5:$B67))</f>
        <v/>
      </c>
      <c r="B67" s="18" t="n"/>
      <c r="C67" s="25">
        <f>IFERROR(IF(B67="","",INDEX(직원명부!$B$5:$B$24,MATCH(B67,직원명부!$A$5:$A$24,0))),"사번 확인")</f>
        <v/>
      </c>
      <c r="D67" s="19" t="n"/>
      <c r="E67" s="18" t="n"/>
      <c r="F67" s="28" t="n"/>
      <c r="G67" s="22" t="n"/>
      <c r="H67" s="18" t="n"/>
      <c r="I67" s="19" t="n"/>
    </row>
    <row r="68">
      <c r="A68" s="30">
        <f>IF(B68="","",COUNTA($B$5:$B68))</f>
        <v/>
      </c>
      <c r="B68" s="18" t="n"/>
      <c r="C68" s="25">
        <f>IFERROR(IF(B68="","",INDEX(직원명부!$B$5:$B$24,MATCH(B68,직원명부!$A$5:$A$24,0))),"사번 확인")</f>
        <v/>
      </c>
      <c r="D68" s="19" t="n"/>
      <c r="E68" s="18" t="n"/>
      <c r="F68" s="28" t="n"/>
      <c r="G68" s="22" t="n"/>
      <c r="H68" s="18" t="n"/>
      <c r="I68" s="19" t="n"/>
    </row>
    <row r="69">
      <c r="A69" s="30">
        <f>IF(B69="","",COUNTA($B$5:$B69))</f>
        <v/>
      </c>
      <c r="B69" s="18" t="n"/>
      <c r="C69" s="25">
        <f>IFERROR(IF(B69="","",INDEX(직원명부!$B$5:$B$24,MATCH(B69,직원명부!$A$5:$A$24,0))),"사번 확인")</f>
        <v/>
      </c>
      <c r="D69" s="19" t="n"/>
      <c r="E69" s="18" t="n"/>
      <c r="F69" s="28" t="n"/>
      <c r="G69" s="22" t="n"/>
      <c r="H69" s="18" t="n"/>
      <c r="I69" s="19" t="n"/>
    </row>
    <row r="70">
      <c r="A70" s="30">
        <f>IF(B70="","",COUNTA($B$5:$B70))</f>
        <v/>
      </c>
      <c r="B70" s="18" t="n"/>
      <c r="C70" s="25">
        <f>IFERROR(IF(B70="","",INDEX(직원명부!$B$5:$B$24,MATCH(B70,직원명부!$A$5:$A$24,0))),"사번 확인")</f>
        <v/>
      </c>
      <c r="D70" s="19" t="n"/>
      <c r="E70" s="18" t="n"/>
      <c r="F70" s="28" t="n"/>
      <c r="G70" s="22" t="n"/>
      <c r="H70" s="18" t="n"/>
      <c r="I70" s="19" t="n"/>
    </row>
    <row r="71">
      <c r="A71" s="30">
        <f>IF(B71="","",COUNTA($B$5:$B71))</f>
        <v/>
      </c>
      <c r="B71" s="18" t="n"/>
      <c r="C71" s="25">
        <f>IFERROR(IF(B71="","",INDEX(직원명부!$B$5:$B$24,MATCH(B71,직원명부!$A$5:$A$24,0))),"사번 확인")</f>
        <v/>
      </c>
      <c r="D71" s="19" t="n"/>
      <c r="E71" s="18" t="n"/>
      <c r="F71" s="28" t="n"/>
      <c r="G71" s="22" t="n"/>
      <c r="H71" s="18" t="n"/>
      <c r="I71" s="19" t="n"/>
    </row>
    <row r="72">
      <c r="A72" s="30">
        <f>IF(B72="","",COUNTA($B$5:$B72))</f>
        <v/>
      </c>
      <c r="B72" s="18" t="n"/>
      <c r="C72" s="25">
        <f>IFERROR(IF(B72="","",INDEX(직원명부!$B$5:$B$24,MATCH(B72,직원명부!$A$5:$A$24,0))),"사번 확인")</f>
        <v/>
      </c>
      <c r="D72" s="19" t="n"/>
      <c r="E72" s="18" t="n"/>
      <c r="F72" s="28" t="n"/>
      <c r="G72" s="22" t="n"/>
      <c r="H72" s="18" t="n"/>
      <c r="I72" s="19" t="n"/>
    </row>
    <row r="73">
      <c r="A73" s="30">
        <f>IF(B73="","",COUNTA($B$5:$B73))</f>
        <v/>
      </c>
      <c r="B73" s="18" t="n"/>
      <c r="C73" s="25">
        <f>IFERROR(IF(B73="","",INDEX(직원명부!$B$5:$B$24,MATCH(B73,직원명부!$A$5:$A$24,0))),"사번 확인")</f>
        <v/>
      </c>
      <c r="D73" s="19" t="n"/>
      <c r="E73" s="18" t="n"/>
      <c r="F73" s="28" t="n"/>
      <c r="G73" s="22" t="n"/>
      <c r="H73" s="18" t="n"/>
      <c r="I73" s="19" t="n"/>
    </row>
    <row r="74">
      <c r="A74" s="30">
        <f>IF(B74="","",COUNTA($B$5:$B74))</f>
        <v/>
      </c>
      <c r="B74" s="18" t="n"/>
      <c r="C74" s="25">
        <f>IFERROR(IF(B74="","",INDEX(직원명부!$B$5:$B$24,MATCH(B74,직원명부!$A$5:$A$24,0))),"사번 확인")</f>
        <v/>
      </c>
      <c r="D74" s="19" t="n"/>
      <c r="E74" s="18" t="n"/>
      <c r="F74" s="28" t="n"/>
      <c r="G74" s="22" t="n"/>
      <c r="H74" s="18" t="n"/>
      <c r="I74" s="19" t="n"/>
    </row>
    <row r="75">
      <c r="A75" s="30">
        <f>IF(B75="","",COUNTA($B$5:$B75))</f>
        <v/>
      </c>
      <c r="B75" s="18" t="n"/>
      <c r="C75" s="25">
        <f>IFERROR(IF(B75="","",INDEX(직원명부!$B$5:$B$24,MATCH(B75,직원명부!$A$5:$A$24,0))),"사번 확인")</f>
        <v/>
      </c>
      <c r="D75" s="19" t="n"/>
      <c r="E75" s="18" t="n"/>
      <c r="F75" s="28" t="n"/>
      <c r="G75" s="22" t="n"/>
      <c r="H75" s="18" t="n"/>
      <c r="I75" s="19" t="n"/>
    </row>
    <row r="76">
      <c r="A76" s="30">
        <f>IF(B76="","",COUNTA($B$5:$B76))</f>
        <v/>
      </c>
      <c r="B76" s="18" t="n"/>
      <c r="C76" s="25">
        <f>IFERROR(IF(B76="","",INDEX(직원명부!$B$5:$B$24,MATCH(B76,직원명부!$A$5:$A$24,0))),"사번 확인")</f>
        <v/>
      </c>
      <c r="D76" s="19" t="n"/>
      <c r="E76" s="18" t="n"/>
      <c r="F76" s="28" t="n"/>
      <c r="G76" s="22" t="n"/>
      <c r="H76" s="18" t="n"/>
      <c r="I76" s="19" t="n"/>
    </row>
    <row r="77">
      <c r="A77" s="30">
        <f>IF(B77="","",COUNTA($B$5:$B77))</f>
        <v/>
      </c>
      <c r="B77" s="18" t="n"/>
      <c r="C77" s="25">
        <f>IFERROR(IF(B77="","",INDEX(직원명부!$B$5:$B$24,MATCH(B77,직원명부!$A$5:$A$24,0))),"사번 확인")</f>
        <v/>
      </c>
      <c r="D77" s="19" t="n"/>
      <c r="E77" s="18" t="n"/>
      <c r="F77" s="28" t="n"/>
      <c r="G77" s="22" t="n"/>
      <c r="H77" s="18" t="n"/>
      <c r="I77" s="19" t="n"/>
    </row>
    <row r="78">
      <c r="A78" s="30">
        <f>IF(B78="","",COUNTA($B$5:$B78))</f>
        <v/>
      </c>
      <c r="B78" s="18" t="n"/>
      <c r="C78" s="25">
        <f>IFERROR(IF(B78="","",INDEX(직원명부!$B$5:$B$24,MATCH(B78,직원명부!$A$5:$A$24,0))),"사번 확인")</f>
        <v/>
      </c>
      <c r="D78" s="19" t="n"/>
      <c r="E78" s="18" t="n"/>
      <c r="F78" s="28" t="n"/>
      <c r="G78" s="22" t="n"/>
      <c r="H78" s="18" t="n"/>
      <c r="I78" s="19" t="n"/>
    </row>
    <row r="79">
      <c r="A79" s="30">
        <f>IF(B79="","",COUNTA($B$5:$B79))</f>
        <v/>
      </c>
      <c r="B79" s="18" t="n"/>
      <c r="C79" s="25">
        <f>IFERROR(IF(B79="","",INDEX(직원명부!$B$5:$B$24,MATCH(B79,직원명부!$A$5:$A$24,0))),"사번 확인")</f>
        <v/>
      </c>
      <c r="D79" s="19" t="n"/>
      <c r="E79" s="18" t="n"/>
      <c r="F79" s="28" t="n"/>
      <c r="G79" s="22" t="n"/>
      <c r="H79" s="18" t="n"/>
      <c r="I79" s="19" t="n"/>
    </row>
    <row r="80">
      <c r="A80" s="30">
        <f>IF(B80="","",COUNTA($B$5:$B80))</f>
        <v/>
      </c>
      <c r="B80" s="18" t="n"/>
      <c r="C80" s="25">
        <f>IFERROR(IF(B80="","",INDEX(직원명부!$B$5:$B$24,MATCH(B80,직원명부!$A$5:$A$24,0))),"사번 확인")</f>
        <v/>
      </c>
      <c r="D80" s="19" t="n"/>
      <c r="E80" s="18" t="n"/>
      <c r="F80" s="28" t="n"/>
      <c r="G80" s="22" t="n"/>
      <c r="H80" s="18" t="n"/>
      <c r="I80" s="19" t="n"/>
    </row>
    <row r="81">
      <c r="A81" s="30">
        <f>IF(B81="","",COUNTA($B$5:$B81))</f>
        <v/>
      </c>
      <c r="B81" s="18" t="n"/>
      <c r="C81" s="25">
        <f>IFERROR(IF(B81="","",INDEX(직원명부!$B$5:$B$24,MATCH(B81,직원명부!$A$5:$A$24,0))),"사번 확인")</f>
        <v/>
      </c>
      <c r="D81" s="19" t="n"/>
      <c r="E81" s="18" t="n"/>
      <c r="F81" s="28" t="n"/>
      <c r="G81" s="22" t="n"/>
      <c r="H81" s="18" t="n"/>
      <c r="I81" s="19" t="n"/>
    </row>
    <row r="82">
      <c r="A82" s="30">
        <f>IF(B82="","",COUNTA($B$5:$B82))</f>
        <v/>
      </c>
      <c r="B82" s="18" t="n"/>
      <c r="C82" s="25">
        <f>IFERROR(IF(B82="","",INDEX(직원명부!$B$5:$B$24,MATCH(B82,직원명부!$A$5:$A$24,0))),"사번 확인")</f>
        <v/>
      </c>
      <c r="D82" s="19" t="n"/>
      <c r="E82" s="18" t="n"/>
      <c r="F82" s="28" t="n"/>
      <c r="G82" s="22" t="n"/>
      <c r="H82" s="18" t="n"/>
      <c r="I82" s="19" t="n"/>
    </row>
    <row r="83">
      <c r="A83" s="30">
        <f>IF(B83="","",COUNTA($B$5:$B83))</f>
        <v/>
      </c>
      <c r="B83" s="18" t="n"/>
      <c r="C83" s="25">
        <f>IFERROR(IF(B83="","",INDEX(직원명부!$B$5:$B$24,MATCH(B83,직원명부!$A$5:$A$24,0))),"사번 확인")</f>
        <v/>
      </c>
      <c r="D83" s="19" t="n"/>
      <c r="E83" s="18" t="n"/>
      <c r="F83" s="28" t="n"/>
      <c r="G83" s="22" t="n"/>
      <c r="H83" s="18" t="n"/>
      <c r="I83" s="19" t="n"/>
    </row>
    <row r="84">
      <c r="A84" s="30">
        <f>IF(B84="","",COUNTA($B$5:$B84))</f>
        <v/>
      </c>
      <c r="B84" s="18" t="n"/>
      <c r="C84" s="25">
        <f>IFERROR(IF(B84="","",INDEX(직원명부!$B$5:$B$24,MATCH(B84,직원명부!$A$5:$A$24,0))),"사번 확인")</f>
        <v/>
      </c>
      <c r="D84" s="19" t="n"/>
      <c r="E84" s="18" t="n"/>
      <c r="F84" s="28" t="n"/>
      <c r="G84" s="22" t="n"/>
      <c r="H84" s="18" t="n"/>
      <c r="I84" s="19" t="n"/>
    </row>
    <row r="85">
      <c r="A85" s="30">
        <f>IF(B85="","",COUNTA($B$5:$B85))</f>
        <v/>
      </c>
      <c r="B85" s="18" t="n"/>
      <c r="C85" s="25">
        <f>IFERROR(IF(B85="","",INDEX(직원명부!$B$5:$B$24,MATCH(B85,직원명부!$A$5:$A$24,0))),"사번 확인")</f>
        <v/>
      </c>
      <c r="D85" s="19" t="n"/>
      <c r="E85" s="18" t="n"/>
      <c r="F85" s="28" t="n"/>
      <c r="G85" s="22" t="n"/>
      <c r="H85" s="18" t="n"/>
      <c r="I85" s="19" t="n"/>
    </row>
    <row r="86">
      <c r="A86" s="30">
        <f>IF(B86="","",COUNTA($B$5:$B86))</f>
        <v/>
      </c>
      <c r="B86" s="18" t="n"/>
      <c r="C86" s="25">
        <f>IFERROR(IF(B86="","",INDEX(직원명부!$B$5:$B$24,MATCH(B86,직원명부!$A$5:$A$24,0))),"사번 확인")</f>
        <v/>
      </c>
      <c r="D86" s="19" t="n"/>
      <c r="E86" s="18" t="n"/>
      <c r="F86" s="28" t="n"/>
      <c r="G86" s="22" t="n"/>
      <c r="H86" s="18" t="n"/>
      <c r="I86" s="19" t="n"/>
    </row>
    <row r="87">
      <c r="A87" s="30">
        <f>IF(B87="","",COUNTA($B$5:$B87))</f>
        <v/>
      </c>
      <c r="B87" s="18" t="n"/>
      <c r="C87" s="25">
        <f>IFERROR(IF(B87="","",INDEX(직원명부!$B$5:$B$24,MATCH(B87,직원명부!$A$5:$A$24,0))),"사번 확인")</f>
        <v/>
      </c>
      <c r="D87" s="19" t="n"/>
      <c r="E87" s="18" t="n"/>
      <c r="F87" s="28" t="n"/>
      <c r="G87" s="22" t="n"/>
      <c r="H87" s="18" t="n"/>
      <c r="I87" s="19" t="n"/>
    </row>
    <row r="88">
      <c r="A88" s="30">
        <f>IF(B88="","",COUNTA($B$5:$B88))</f>
        <v/>
      </c>
      <c r="B88" s="18" t="n"/>
      <c r="C88" s="25">
        <f>IFERROR(IF(B88="","",INDEX(직원명부!$B$5:$B$24,MATCH(B88,직원명부!$A$5:$A$24,0))),"사번 확인")</f>
        <v/>
      </c>
      <c r="D88" s="19" t="n"/>
      <c r="E88" s="18" t="n"/>
      <c r="F88" s="28" t="n"/>
      <c r="G88" s="22" t="n"/>
      <c r="H88" s="18" t="n"/>
      <c r="I88" s="19" t="n"/>
    </row>
    <row r="89">
      <c r="A89" s="30">
        <f>IF(B89="","",COUNTA($B$5:$B89))</f>
        <v/>
      </c>
      <c r="B89" s="18" t="n"/>
      <c r="C89" s="25">
        <f>IFERROR(IF(B89="","",INDEX(직원명부!$B$5:$B$24,MATCH(B89,직원명부!$A$5:$A$24,0))),"사번 확인")</f>
        <v/>
      </c>
      <c r="D89" s="19" t="n"/>
      <c r="E89" s="18" t="n"/>
      <c r="F89" s="28" t="n"/>
      <c r="G89" s="22" t="n"/>
      <c r="H89" s="18" t="n"/>
      <c r="I89" s="19" t="n"/>
    </row>
    <row r="90">
      <c r="A90" s="30">
        <f>IF(B90="","",COUNTA($B$5:$B90))</f>
        <v/>
      </c>
      <c r="B90" s="18" t="n"/>
      <c r="C90" s="25">
        <f>IFERROR(IF(B90="","",INDEX(직원명부!$B$5:$B$24,MATCH(B90,직원명부!$A$5:$A$24,0))),"사번 확인")</f>
        <v/>
      </c>
      <c r="D90" s="19" t="n"/>
      <c r="E90" s="18" t="n"/>
      <c r="F90" s="28" t="n"/>
      <c r="G90" s="22" t="n"/>
      <c r="H90" s="18" t="n"/>
      <c r="I90" s="19" t="n"/>
    </row>
    <row r="91">
      <c r="A91" s="30">
        <f>IF(B91="","",COUNTA($B$5:$B91))</f>
        <v/>
      </c>
      <c r="B91" s="18" t="n"/>
      <c r="C91" s="25">
        <f>IFERROR(IF(B91="","",INDEX(직원명부!$B$5:$B$24,MATCH(B91,직원명부!$A$5:$A$24,0))),"사번 확인")</f>
        <v/>
      </c>
      <c r="D91" s="19" t="n"/>
      <c r="E91" s="18" t="n"/>
      <c r="F91" s="28" t="n"/>
      <c r="G91" s="22" t="n"/>
      <c r="H91" s="18" t="n"/>
      <c r="I91" s="19" t="n"/>
    </row>
    <row r="92">
      <c r="A92" s="30">
        <f>IF(B92="","",COUNTA($B$5:$B92))</f>
        <v/>
      </c>
      <c r="B92" s="18" t="n"/>
      <c r="C92" s="25">
        <f>IFERROR(IF(B92="","",INDEX(직원명부!$B$5:$B$24,MATCH(B92,직원명부!$A$5:$A$24,0))),"사번 확인")</f>
        <v/>
      </c>
      <c r="D92" s="19" t="n"/>
      <c r="E92" s="18" t="n"/>
      <c r="F92" s="28" t="n"/>
      <c r="G92" s="22" t="n"/>
      <c r="H92" s="18" t="n"/>
      <c r="I92" s="19" t="n"/>
    </row>
    <row r="93">
      <c r="A93" s="30">
        <f>IF(B93="","",COUNTA($B$5:$B93))</f>
        <v/>
      </c>
      <c r="B93" s="18" t="n"/>
      <c r="C93" s="25">
        <f>IFERROR(IF(B93="","",INDEX(직원명부!$B$5:$B$24,MATCH(B93,직원명부!$A$5:$A$24,0))),"사번 확인")</f>
        <v/>
      </c>
      <c r="D93" s="19" t="n"/>
      <c r="E93" s="18" t="n"/>
      <c r="F93" s="28" t="n"/>
      <c r="G93" s="22" t="n"/>
      <c r="H93" s="18" t="n"/>
      <c r="I93" s="19" t="n"/>
    </row>
    <row r="94">
      <c r="A94" s="30">
        <f>IF(B94="","",COUNTA($B$5:$B94))</f>
        <v/>
      </c>
      <c r="B94" s="18" t="n"/>
      <c r="C94" s="25">
        <f>IFERROR(IF(B94="","",INDEX(직원명부!$B$5:$B$24,MATCH(B94,직원명부!$A$5:$A$24,0))),"사번 확인")</f>
        <v/>
      </c>
      <c r="D94" s="19" t="n"/>
      <c r="E94" s="18" t="n"/>
      <c r="F94" s="28" t="n"/>
      <c r="G94" s="22" t="n"/>
      <c r="H94" s="18" t="n"/>
      <c r="I94" s="19" t="n"/>
    </row>
    <row r="95">
      <c r="A95" s="30">
        <f>IF(B95="","",COUNTA($B$5:$B95))</f>
        <v/>
      </c>
      <c r="B95" s="18" t="n"/>
      <c r="C95" s="25">
        <f>IFERROR(IF(B95="","",INDEX(직원명부!$B$5:$B$24,MATCH(B95,직원명부!$A$5:$A$24,0))),"사번 확인")</f>
        <v/>
      </c>
      <c r="D95" s="19" t="n"/>
      <c r="E95" s="18" t="n"/>
      <c r="F95" s="28" t="n"/>
      <c r="G95" s="22" t="n"/>
      <c r="H95" s="18" t="n"/>
      <c r="I95" s="19" t="n"/>
    </row>
    <row r="96">
      <c r="A96" s="30">
        <f>IF(B96="","",COUNTA($B$5:$B96))</f>
        <v/>
      </c>
      <c r="B96" s="18" t="n"/>
      <c r="C96" s="25">
        <f>IFERROR(IF(B96="","",INDEX(직원명부!$B$5:$B$24,MATCH(B96,직원명부!$A$5:$A$24,0))),"사번 확인")</f>
        <v/>
      </c>
      <c r="D96" s="19" t="n"/>
      <c r="E96" s="18" t="n"/>
      <c r="F96" s="28" t="n"/>
      <c r="G96" s="22" t="n"/>
      <c r="H96" s="18" t="n"/>
      <c r="I96" s="19" t="n"/>
    </row>
    <row r="97">
      <c r="A97" s="30">
        <f>IF(B97="","",COUNTA($B$5:$B97))</f>
        <v/>
      </c>
      <c r="B97" s="18" t="n"/>
      <c r="C97" s="25">
        <f>IFERROR(IF(B97="","",INDEX(직원명부!$B$5:$B$24,MATCH(B97,직원명부!$A$5:$A$24,0))),"사번 확인")</f>
        <v/>
      </c>
      <c r="D97" s="19" t="n"/>
      <c r="E97" s="18" t="n"/>
      <c r="F97" s="28" t="n"/>
      <c r="G97" s="22" t="n"/>
      <c r="H97" s="18" t="n"/>
      <c r="I97" s="19" t="n"/>
    </row>
    <row r="98">
      <c r="A98" s="30">
        <f>IF(B98="","",COUNTA($B$5:$B98))</f>
        <v/>
      </c>
      <c r="B98" s="18" t="n"/>
      <c r="C98" s="25">
        <f>IFERROR(IF(B98="","",INDEX(직원명부!$B$5:$B$24,MATCH(B98,직원명부!$A$5:$A$24,0))),"사번 확인")</f>
        <v/>
      </c>
      <c r="D98" s="19" t="n"/>
      <c r="E98" s="18" t="n"/>
      <c r="F98" s="28" t="n"/>
      <c r="G98" s="22" t="n"/>
      <c r="H98" s="18" t="n"/>
      <c r="I98" s="19" t="n"/>
    </row>
    <row r="99">
      <c r="A99" s="30">
        <f>IF(B99="","",COUNTA($B$5:$B99))</f>
        <v/>
      </c>
      <c r="B99" s="18" t="n"/>
      <c r="C99" s="25">
        <f>IFERROR(IF(B99="","",INDEX(직원명부!$B$5:$B$24,MATCH(B99,직원명부!$A$5:$A$24,0))),"사번 확인")</f>
        <v/>
      </c>
      <c r="D99" s="19" t="n"/>
      <c r="E99" s="18" t="n"/>
      <c r="F99" s="28" t="n"/>
      <c r="G99" s="22" t="n"/>
      <c r="H99" s="18" t="n"/>
      <c r="I99" s="19" t="n"/>
    </row>
    <row r="100">
      <c r="A100" s="30">
        <f>IF(B100="","",COUNTA($B$5:$B100))</f>
        <v/>
      </c>
      <c r="B100" s="18" t="n"/>
      <c r="C100" s="25">
        <f>IFERROR(IF(B100="","",INDEX(직원명부!$B$5:$B$24,MATCH(B100,직원명부!$A$5:$A$24,0))),"사번 확인")</f>
        <v/>
      </c>
      <c r="D100" s="19" t="n"/>
      <c r="E100" s="18" t="n"/>
      <c r="F100" s="28" t="n"/>
      <c r="G100" s="22" t="n"/>
      <c r="H100" s="18" t="n"/>
      <c r="I100" s="19" t="n"/>
    </row>
    <row r="101">
      <c r="A101" s="30">
        <f>IF(B101="","",COUNTA($B$5:$B101))</f>
        <v/>
      </c>
      <c r="B101" s="18" t="n"/>
      <c r="C101" s="25">
        <f>IFERROR(IF(B101="","",INDEX(직원명부!$B$5:$B$24,MATCH(B101,직원명부!$A$5:$A$24,0))),"사번 확인")</f>
        <v/>
      </c>
      <c r="D101" s="19" t="n"/>
      <c r="E101" s="18" t="n"/>
      <c r="F101" s="28" t="n"/>
      <c r="G101" s="22" t="n"/>
      <c r="H101" s="18" t="n"/>
      <c r="I101" s="19" t="n"/>
    </row>
    <row r="102">
      <c r="A102" s="30">
        <f>IF(B102="","",COUNTA($B$5:$B102))</f>
        <v/>
      </c>
      <c r="B102" s="18" t="n"/>
      <c r="C102" s="25">
        <f>IFERROR(IF(B102="","",INDEX(직원명부!$B$5:$B$24,MATCH(B102,직원명부!$A$5:$A$24,0))),"사번 확인")</f>
        <v/>
      </c>
      <c r="D102" s="19" t="n"/>
      <c r="E102" s="18" t="n"/>
      <c r="F102" s="28" t="n"/>
      <c r="G102" s="22" t="n"/>
      <c r="H102" s="18" t="n"/>
      <c r="I102" s="19" t="n"/>
    </row>
    <row r="103">
      <c r="A103" s="30">
        <f>IF(B103="","",COUNTA($B$5:$B103))</f>
        <v/>
      </c>
      <c r="B103" s="18" t="n"/>
      <c r="C103" s="25">
        <f>IFERROR(IF(B103="","",INDEX(직원명부!$B$5:$B$24,MATCH(B103,직원명부!$A$5:$A$24,0))),"사번 확인")</f>
        <v/>
      </c>
      <c r="D103" s="19" t="n"/>
      <c r="E103" s="18" t="n"/>
      <c r="F103" s="28" t="n"/>
      <c r="G103" s="22" t="n"/>
      <c r="H103" s="18" t="n"/>
      <c r="I103" s="19" t="n"/>
    </row>
    <row r="104">
      <c r="A104" s="30">
        <f>IF(B104="","",COUNTA($B$5:$B104))</f>
        <v/>
      </c>
      <c r="B104" s="18" t="n"/>
      <c r="C104" s="25">
        <f>IFERROR(IF(B104="","",INDEX(직원명부!$B$5:$B$24,MATCH(B104,직원명부!$A$5:$A$24,0))),"사번 확인")</f>
        <v/>
      </c>
      <c r="D104" s="19" t="n"/>
      <c r="E104" s="18" t="n"/>
      <c r="F104" s="28" t="n"/>
      <c r="G104" s="22" t="n"/>
      <c r="H104" s="18" t="n"/>
      <c r="I104" s="19" t="n"/>
    </row>
    <row r="105">
      <c r="A105" s="30">
        <f>IF(B105="","",COUNTA($B$5:$B105))</f>
        <v/>
      </c>
      <c r="B105" s="18" t="n"/>
      <c r="C105" s="25">
        <f>IFERROR(IF(B105="","",INDEX(직원명부!$B$5:$B$24,MATCH(B105,직원명부!$A$5:$A$24,0))),"사번 확인")</f>
        <v/>
      </c>
      <c r="D105" s="19" t="n"/>
      <c r="E105" s="18" t="n"/>
      <c r="F105" s="28" t="n"/>
      <c r="G105" s="22" t="n"/>
      <c r="H105" s="18" t="n"/>
      <c r="I105" s="19" t="n"/>
    </row>
    <row r="106">
      <c r="A106" s="30">
        <f>IF(B106="","",COUNTA($B$5:$B106))</f>
        <v/>
      </c>
      <c r="B106" s="18" t="n"/>
      <c r="C106" s="25">
        <f>IFERROR(IF(B106="","",INDEX(직원명부!$B$5:$B$24,MATCH(B106,직원명부!$A$5:$A$24,0))),"사번 확인")</f>
        <v/>
      </c>
      <c r="D106" s="19" t="n"/>
      <c r="E106" s="18" t="n"/>
      <c r="F106" s="28" t="n"/>
      <c r="G106" s="22" t="n"/>
      <c r="H106" s="18" t="n"/>
      <c r="I106" s="19" t="n"/>
    </row>
    <row r="107">
      <c r="A107" s="30">
        <f>IF(B107="","",COUNTA($B$5:$B107))</f>
        <v/>
      </c>
      <c r="B107" s="18" t="n"/>
      <c r="C107" s="25">
        <f>IFERROR(IF(B107="","",INDEX(직원명부!$B$5:$B$24,MATCH(B107,직원명부!$A$5:$A$24,0))),"사번 확인")</f>
        <v/>
      </c>
      <c r="D107" s="19" t="n"/>
      <c r="E107" s="18" t="n"/>
      <c r="F107" s="28" t="n"/>
      <c r="G107" s="22" t="n"/>
      <c r="H107" s="18" t="n"/>
      <c r="I107" s="19" t="n"/>
    </row>
    <row r="108">
      <c r="A108" s="30">
        <f>IF(B108="","",COUNTA($B$5:$B108))</f>
        <v/>
      </c>
      <c r="B108" s="18" t="n"/>
      <c r="C108" s="25">
        <f>IFERROR(IF(B108="","",INDEX(직원명부!$B$5:$B$24,MATCH(B108,직원명부!$A$5:$A$24,0))),"사번 확인")</f>
        <v/>
      </c>
      <c r="D108" s="19" t="n"/>
      <c r="E108" s="18" t="n"/>
      <c r="F108" s="28" t="n"/>
      <c r="G108" s="22" t="n"/>
      <c r="H108" s="18" t="n"/>
      <c r="I108" s="19" t="n"/>
    </row>
    <row r="109">
      <c r="A109" s="30">
        <f>IF(B109="","",COUNTA($B$5:$B109))</f>
        <v/>
      </c>
      <c r="B109" s="18" t="n"/>
      <c r="C109" s="25">
        <f>IFERROR(IF(B109="","",INDEX(직원명부!$B$5:$B$24,MATCH(B109,직원명부!$A$5:$A$24,0))),"사번 확인")</f>
        <v/>
      </c>
      <c r="D109" s="19" t="n"/>
      <c r="E109" s="18" t="n"/>
      <c r="F109" s="28" t="n"/>
      <c r="G109" s="22" t="n"/>
      <c r="H109" s="18" t="n"/>
      <c r="I109" s="19" t="n"/>
    </row>
    <row r="110">
      <c r="A110" s="30">
        <f>IF(B110="","",COUNTA($B$5:$B110))</f>
        <v/>
      </c>
      <c r="B110" s="18" t="n"/>
      <c r="C110" s="25">
        <f>IFERROR(IF(B110="","",INDEX(직원명부!$B$5:$B$24,MATCH(B110,직원명부!$A$5:$A$24,0))),"사번 확인")</f>
        <v/>
      </c>
      <c r="D110" s="19" t="n"/>
      <c r="E110" s="18" t="n"/>
      <c r="F110" s="28" t="n"/>
      <c r="G110" s="22" t="n"/>
      <c r="H110" s="18" t="n"/>
      <c r="I110" s="19" t="n"/>
    </row>
    <row r="111">
      <c r="A111" s="30">
        <f>IF(B111="","",COUNTA($B$5:$B111))</f>
        <v/>
      </c>
      <c r="B111" s="18" t="n"/>
      <c r="C111" s="25">
        <f>IFERROR(IF(B111="","",INDEX(직원명부!$B$5:$B$24,MATCH(B111,직원명부!$A$5:$A$24,0))),"사번 확인")</f>
        <v/>
      </c>
      <c r="D111" s="19" t="n"/>
      <c r="E111" s="18" t="n"/>
      <c r="F111" s="28" t="n"/>
      <c r="G111" s="22" t="n"/>
      <c r="H111" s="18" t="n"/>
      <c r="I111" s="19" t="n"/>
    </row>
    <row r="112">
      <c r="A112" s="30">
        <f>IF(B112="","",COUNTA($B$5:$B112))</f>
        <v/>
      </c>
      <c r="B112" s="18" t="n"/>
      <c r="C112" s="25">
        <f>IFERROR(IF(B112="","",INDEX(직원명부!$B$5:$B$24,MATCH(B112,직원명부!$A$5:$A$24,0))),"사번 확인")</f>
        <v/>
      </c>
      <c r="D112" s="19" t="n"/>
      <c r="E112" s="18" t="n"/>
      <c r="F112" s="28" t="n"/>
      <c r="G112" s="22" t="n"/>
      <c r="H112" s="18" t="n"/>
      <c r="I112" s="19" t="n"/>
    </row>
    <row r="113">
      <c r="A113" s="30">
        <f>IF(B113="","",COUNTA($B$5:$B113))</f>
        <v/>
      </c>
      <c r="B113" s="18" t="n"/>
      <c r="C113" s="25">
        <f>IFERROR(IF(B113="","",INDEX(직원명부!$B$5:$B$24,MATCH(B113,직원명부!$A$5:$A$24,0))),"사번 확인")</f>
        <v/>
      </c>
      <c r="D113" s="19" t="n"/>
      <c r="E113" s="18" t="n"/>
      <c r="F113" s="28" t="n"/>
      <c r="G113" s="22" t="n"/>
      <c r="H113" s="18" t="n"/>
      <c r="I113" s="19" t="n"/>
    </row>
    <row r="114">
      <c r="A114" s="30">
        <f>IF(B114="","",COUNTA($B$5:$B114))</f>
        <v/>
      </c>
      <c r="B114" s="18" t="n"/>
      <c r="C114" s="25">
        <f>IFERROR(IF(B114="","",INDEX(직원명부!$B$5:$B$24,MATCH(B114,직원명부!$A$5:$A$24,0))),"사번 확인")</f>
        <v/>
      </c>
      <c r="D114" s="19" t="n"/>
      <c r="E114" s="18" t="n"/>
      <c r="F114" s="28" t="n"/>
      <c r="G114" s="22" t="n"/>
      <c r="H114" s="18" t="n"/>
      <c r="I114" s="19" t="n"/>
    </row>
    <row r="115">
      <c r="A115" s="30">
        <f>IF(B115="","",COUNTA($B$5:$B115))</f>
        <v/>
      </c>
      <c r="B115" s="18" t="n"/>
      <c r="C115" s="25">
        <f>IFERROR(IF(B115="","",INDEX(직원명부!$B$5:$B$24,MATCH(B115,직원명부!$A$5:$A$24,0))),"사번 확인")</f>
        <v/>
      </c>
      <c r="D115" s="19" t="n"/>
      <c r="E115" s="18" t="n"/>
      <c r="F115" s="28" t="n"/>
      <c r="G115" s="22" t="n"/>
      <c r="H115" s="18" t="n"/>
      <c r="I115" s="19" t="n"/>
    </row>
    <row r="116">
      <c r="A116" s="30">
        <f>IF(B116="","",COUNTA($B$5:$B116))</f>
        <v/>
      </c>
      <c r="B116" s="18" t="n"/>
      <c r="C116" s="25">
        <f>IFERROR(IF(B116="","",INDEX(직원명부!$B$5:$B$24,MATCH(B116,직원명부!$A$5:$A$24,0))),"사번 확인")</f>
        <v/>
      </c>
      <c r="D116" s="19" t="n"/>
      <c r="E116" s="18" t="n"/>
      <c r="F116" s="28" t="n"/>
      <c r="G116" s="22" t="n"/>
      <c r="H116" s="18" t="n"/>
      <c r="I116" s="19" t="n"/>
    </row>
    <row r="117">
      <c r="A117" s="30">
        <f>IF(B117="","",COUNTA($B$5:$B117))</f>
        <v/>
      </c>
      <c r="B117" s="18" t="n"/>
      <c r="C117" s="25">
        <f>IFERROR(IF(B117="","",INDEX(직원명부!$B$5:$B$24,MATCH(B117,직원명부!$A$5:$A$24,0))),"사번 확인")</f>
        <v/>
      </c>
      <c r="D117" s="19" t="n"/>
      <c r="E117" s="18" t="n"/>
      <c r="F117" s="28" t="n"/>
      <c r="G117" s="22" t="n"/>
      <c r="H117" s="18" t="n"/>
      <c r="I117" s="19" t="n"/>
    </row>
    <row r="118">
      <c r="A118" s="30">
        <f>IF(B118="","",COUNTA($B$5:$B118))</f>
        <v/>
      </c>
      <c r="B118" s="18" t="n"/>
      <c r="C118" s="25">
        <f>IFERROR(IF(B118="","",INDEX(직원명부!$B$5:$B$24,MATCH(B118,직원명부!$A$5:$A$24,0))),"사번 확인")</f>
        <v/>
      </c>
      <c r="D118" s="19" t="n"/>
      <c r="E118" s="18" t="n"/>
      <c r="F118" s="28" t="n"/>
      <c r="G118" s="22" t="n"/>
      <c r="H118" s="18" t="n"/>
      <c r="I118" s="19" t="n"/>
    </row>
    <row r="119">
      <c r="A119" s="30">
        <f>IF(B119="","",COUNTA($B$5:$B119))</f>
        <v/>
      </c>
      <c r="B119" s="18" t="n"/>
      <c r="C119" s="25">
        <f>IFERROR(IF(B119="","",INDEX(직원명부!$B$5:$B$24,MATCH(B119,직원명부!$A$5:$A$24,0))),"사번 확인")</f>
        <v/>
      </c>
      <c r="D119" s="19" t="n"/>
      <c r="E119" s="18" t="n"/>
      <c r="F119" s="28" t="n"/>
      <c r="G119" s="22" t="n"/>
      <c r="H119" s="18" t="n"/>
      <c r="I119" s="19" t="n"/>
    </row>
    <row r="120">
      <c r="A120" s="30">
        <f>IF(B120="","",COUNTA($B$5:$B120))</f>
        <v/>
      </c>
      <c r="B120" s="18" t="n"/>
      <c r="C120" s="25">
        <f>IFERROR(IF(B120="","",INDEX(직원명부!$B$5:$B$24,MATCH(B120,직원명부!$A$5:$A$24,0))),"사번 확인")</f>
        <v/>
      </c>
      <c r="D120" s="19" t="n"/>
      <c r="E120" s="18" t="n"/>
      <c r="F120" s="28" t="n"/>
      <c r="G120" s="22" t="n"/>
      <c r="H120" s="18" t="n"/>
      <c r="I120" s="19" t="n"/>
    </row>
    <row r="121">
      <c r="A121" s="30">
        <f>IF(B121="","",COUNTA($B$5:$B121))</f>
        <v/>
      </c>
      <c r="B121" s="18" t="n"/>
      <c r="C121" s="25">
        <f>IFERROR(IF(B121="","",INDEX(직원명부!$B$5:$B$24,MATCH(B121,직원명부!$A$5:$A$24,0))),"사번 확인")</f>
        <v/>
      </c>
      <c r="D121" s="19" t="n"/>
      <c r="E121" s="18" t="n"/>
      <c r="F121" s="28" t="n"/>
      <c r="G121" s="22" t="n"/>
      <c r="H121" s="18" t="n"/>
      <c r="I121" s="19" t="n"/>
    </row>
    <row r="122">
      <c r="A122" s="30">
        <f>IF(B122="","",COUNTA($B$5:$B122))</f>
        <v/>
      </c>
      <c r="B122" s="18" t="n"/>
      <c r="C122" s="25">
        <f>IFERROR(IF(B122="","",INDEX(직원명부!$B$5:$B$24,MATCH(B122,직원명부!$A$5:$A$24,0))),"사번 확인")</f>
        <v/>
      </c>
      <c r="D122" s="19" t="n"/>
      <c r="E122" s="18" t="n"/>
      <c r="F122" s="28" t="n"/>
      <c r="G122" s="22" t="n"/>
      <c r="H122" s="18" t="n"/>
      <c r="I122" s="19" t="n"/>
    </row>
    <row r="123">
      <c r="A123" s="30">
        <f>IF(B123="","",COUNTA($B$5:$B123))</f>
        <v/>
      </c>
      <c r="B123" s="18" t="n"/>
      <c r="C123" s="25">
        <f>IFERROR(IF(B123="","",INDEX(직원명부!$B$5:$B$24,MATCH(B123,직원명부!$A$5:$A$24,0))),"사번 확인")</f>
        <v/>
      </c>
      <c r="D123" s="19" t="n"/>
      <c r="E123" s="18" t="n"/>
      <c r="F123" s="28" t="n"/>
      <c r="G123" s="22" t="n"/>
      <c r="H123" s="18" t="n"/>
      <c r="I123" s="19" t="n"/>
    </row>
    <row r="124">
      <c r="A124" s="30">
        <f>IF(B124="","",COUNTA($B$5:$B124))</f>
        <v/>
      </c>
      <c r="B124" s="18" t="n"/>
      <c r="C124" s="25">
        <f>IFERROR(IF(B124="","",INDEX(직원명부!$B$5:$B$24,MATCH(B124,직원명부!$A$5:$A$24,0))),"사번 확인")</f>
        <v/>
      </c>
      <c r="D124" s="19" t="n"/>
      <c r="E124" s="18" t="n"/>
      <c r="F124" s="28" t="n"/>
      <c r="G124" s="22" t="n"/>
      <c r="H124" s="18" t="n"/>
      <c r="I124" s="19" t="n"/>
    </row>
    <row r="125">
      <c r="A125" s="30">
        <f>IF(B125="","",COUNTA($B$5:$B125))</f>
        <v/>
      </c>
      <c r="B125" s="18" t="n"/>
      <c r="C125" s="25">
        <f>IFERROR(IF(B125="","",INDEX(직원명부!$B$5:$B$24,MATCH(B125,직원명부!$A$5:$A$24,0))),"사번 확인")</f>
        <v/>
      </c>
      <c r="D125" s="19" t="n"/>
      <c r="E125" s="18" t="n"/>
      <c r="F125" s="28" t="n"/>
      <c r="G125" s="22" t="n"/>
      <c r="H125" s="18" t="n"/>
      <c r="I125" s="19" t="n"/>
    </row>
    <row r="126">
      <c r="A126" s="30">
        <f>IF(B126="","",COUNTA($B$5:$B126))</f>
        <v/>
      </c>
      <c r="B126" s="18" t="n"/>
      <c r="C126" s="25">
        <f>IFERROR(IF(B126="","",INDEX(직원명부!$B$5:$B$24,MATCH(B126,직원명부!$A$5:$A$24,0))),"사번 확인")</f>
        <v/>
      </c>
      <c r="D126" s="19" t="n"/>
      <c r="E126" s="18" t="n"/>
      <c r="F126" s="28" t="n"/>
      <c r="G126" s="22" t="n"/>
      <c r="H126" s="18" t="n"/>
      <c r="I126" s="19" t="n"/>
    </row>
    <row r="127">
      <c r="A127" s="30">
        <f>IF(B127="","",COUNTA($B$5:$B127))</f>
        <v/>
      </c>
      <c r="B127" s="18" t="n"/>
      <c r="C127" s="25">
        <f>IFERROR(IF(B127="","",INDEX(직원명부!$B$5:$B$24,MATCH(B127,직원명부!$A$5:$A$24,0))),"사번 확인")</f>
        <v/>
      </c>
      <c r="D127" s="19" t="n"/>
      <c r="E127" s="18" t="n"/>
      <c r="F127" s="28" t="n"/>
      <c r="G127" s="22" t="n"/>
      <c r="H127" s="18" t="n"/>
      <c r="I127" s="19" t="n"/>
    </row>
    <row r="128">
      <c r="A128" s="30">
        <f>IF(B128="","",COUNTA($B$5:$B128))</f>
        <v/>
      </c>
      <c r="B128" s="18" t="n"/>
      <c r="C128" s="25">
        <f>IFERROR(IF(B128="","",INDEX(직원명부!$B$5:$B$24,MATCH(B128,직원명부!$A$5:$A$24,0))),"사번 확인")</f>
        <v/>
      </c>
      <c r="D128" s="19" t="n"/>
      <c r="E128" s="18" t="n"/>
      <c r="F128" s="28" t="n"/>
      <c r="G128" s="22" t="n"/>
      <c r="H128" s="18" t="n"/>
      <c r="I128" s="19" t="n"/>
    </row>
    <row r="129">
      <c r="A129" s="30">
        <f>IF(B129="","",COUNTA($B$5:$B129))</f>
        <v/>
      </c>
      <c r="B129" s="18" t="n"/>
      <c r="C129" s="25">
        <f>IFERROR(IF(B129="","",INDEX(직원명부!$B$5:$B$24,MATCH(B129,직원명부!$A$5:$A$24,0))),"사번 확인")</f>
        <v/>
      </c>
      <c r="D129" s="19" t="n"/>
      <c r="E129" s="18" t="n"/>
      <c r="F129" s="28" t="n"/>
      <c r="G129" s="22" t="n"/>
      <c r="H129" s="18" t="n"/>
      <c r="I129" s="19" t="n"/>
    </row>
    <row r="130">
      <c r="A130" s="30">
        <f>IF(B130="","",COUNTA($B$5:$B130))</f>
        <v/>
      </c>
      <c r="B130" s="18" t="n"/>
      <c r="C130" s="25">
        <f>IFERROR(IF(B130="","",INDEX(직원명부!$B$5:$B$24,MATCH(B130,직원명부!$A$5:$A$24,0))),"사번 확인")</f>
        <v/>
      </c>
      <c r="D130" s="19" t="n"/>
      <c r="E130" s="18" t="n"/>
      <c r="F130" s="28" t="n"/>
      <c r="G130" s="22" t="n"/>
      <c r="H130" s="18" t="n"/>
      <c r="I130" s="19" t="n"/>
    </row>
    <row r="131">
      <c r="A131" s="30">
        <f>IF(B131="","",COUNTA($B$5:$B131))</f>
        <v/>
      </c>
      <c r="B131" s="18" t="n"/>
      <c r="C131" s="25">
        <f>IFERROR(IF(B131="","",INDEX(직원명부!$B$5:$B$24,MATCH(B131,직원명부!$A$5:$A$24,0))),"사번 확인")</f>
        <v/>
      </c>
      <c r="D131" s="19" t="n"/>
      <c r="E131" s="18" t="n"/>
      <c r="F131" s="28" t="n"/>
      <c r="G131" s="22" t="n"/>
      <c r="H131" s="18" t="n"/>
      <c r="I131" s="19" t="n"/>
    </row>
    <row r="132">
      <c r="A132" s="30">
        <f>IF(B132="","",COUNTA($B$5:$B132))</f>
        <v/>
      </c>
      <c r="B132" s="18" t="n"/>
      <c r="C132" s="25">
        <f>IFERROR(IF(B132="","",INDEX(직원명부!$B$5:$B$24,MATCH(B132,직원명부!$A$5:$A$24,0))),"사번 확인")</f>
        <v/>
      </c>
      <c r="D132" s="19" t="n"/>
      <c r="E132" s="18" t="n"/>
      <c r="F132" s="28" t="n"/>
      <c r="G132" s="22" t="n"/>
      <c r="H132" s="18" t="n"/>
      <c r="I132" s="19" t="n"/>
    </row>
    <row r="133">
      <c r="A133" s="30">
        <f>IF(B133="","",COUNTA($B$5:$B133))</f>
        <v/>
      </c>
      <c r="B133" s="18" t="n"/>
      <c r="C133" s="25">
        <f>IFERROR(IF(B133="","",INDEX(직원명부!$B$5:$B$24,MATCH(B133,직원명부!$A$5:$A$24,0))),"사번 확인")</f>
        <v/>
      </c>
      <c r="D133" s="19" t="n"/>
      <c r="E133" s="18" t="n"/>
      <c r="F133" s="28" t="n"/>
      <c r="G133" s="22" t="n"/>
      <c r="H133" s="18" t="n"/>
      <c r="I133" s="19" t="n"/>
    </row>
    <row r="134">
      <c r="A134" s="30">
        <f>IF(B134="","",COUNTA($B$5:$B134))</f>
        <v/>
      </c>
      <c r="B134" s="18" t="n"/>
      <c r="C134" s="25">
        <f>IFERROR(IF(B134="","",INDEX(직원명부!$B$5:$B$24,MATCH(B134,직원명부!$A$5:$A$24,0))),"사번 확인")</f>
        <v/>
      </c>
      <c r="D134" s="19" t="n"/>
      <c r="E134" s="18" t="n"/>
      <c r="F134" s="28" t="n"/>
      <c r="G134" s="22" t="n"/>
      <c r="H134" s="18" t="n"/>
      <c r="I134" s="19" t="n"/>
    </row>
    <row r="135">
      <c r="A135" s="30">
        <f>IF(B135="","",COUNTA($B$5:$B135))</f>
        <v/>
      </c>
      <c r="B135" s="18" t="n"/>
      <c r="C135" s="25">
        <f>IFERROR(IF(B135="","",INDEX(직원명부!$B$5:$B$24,MATCH(B135,직원명부!$A$5:$A$24,0))),"사번 확인")</f>
        <v/>
      </c>
      <c r="D135" s="19" t="n"/>
      <c r="E135" s="18" t="n"/>
      <c r="F135" s="28" t="n"/>
      <c r="G135" s="22" t="n"/>
      <c r="H135" s="18" t="n"/>
      <c r="I135" s="19" t="n"/>
    </row>
    <row r="136">
      <c r="A136" s="30">
        <f>IF(B136="","",COUNTA($B$5:$B136))</f>
        <v/>
      </c>
      <c r="B136" s="18" t="n"/>
      <c r="C136" s="25">
        <f>IFERROR(IF(B136="","",INDEX(직원명부!$B$5:$B$24,MATCH(B136,직원명부!$A$5:$A$24,0))),"사번 확인")</f>
        <v/>
      </c>
      <c r="D136" s="19" t="n"/>
      <c r="E136" s="18" t="n"/>
      <c r="F136" s="28" t="n"/>
      <c r="G136" s="22" t="n"/>
      <c r="H136" s="18" t="n"/>
      <c r="I136" s="19" t="n"/>
    </row>
    <row r="137">
      <c r="A137" s="30">
        <f>IF(B137="","",COUNTA($B$5:$B137))</f>
        <v/>
      </c>
      <c r="B137" s="18" t="n"/>
      <c r="C137" s="25">
        <f>IFERROR(IF(B137="","",INDEX(직원명부!$B$5:$B$24,MATCH(B137,직원명부!$A$5:$A$24,0))),"사번 확인")</f>
        <v/>
      </c>
      <c r="D137" s="19" t="n"/>
      <c r="E137" s="18" t="n"/>
      <c r="F137" s="28" t="n"/>
      <c r="G137" s="22" t="n"/>
      <c r="H137" s="18" t="n"/>
      <c r="I137" s="19" t="n"/>
    </row>
    <row r="138">
      <c r="A138" s="30">
        <f>IF(B138="","",COUNTA($B$5:$B138))</f>
        <v/>
      </c>
      <c r="B138" s="18" t="n"/>
      <c r="C138" s="25">
        <f>IFERROR(IF(B138="","",INDEX(직원명부!$B$5:$B$24,MATCH(B138,직원명부!$A$5:$A$24,0))),"사번 확인")</f>
        <v/>
      </c>
      <c r="D138" s="19" t="n"/>
      <c r="E138" s="18" t="n"/>
      <c r="F138" s="28" t="n"/>
      <c r="G138" s="22" t="n"/>
      <c r="H138" s="18" t="n"/>
      <c r="I138" s="19" t="n"/>
    </row>
    <row r="139">
      <c r="A139" s="30">
        <f>IF(B139="","",COUNTA($B$5:$B139))</f>
        <v/>
      </c>
      <c r="B139" s="18" t="n"/>
      <c r="C139" s="25">
        <f>IFERROR(IF(B139="","",INDEX(직원명부!$B$5:$B$24,MATCH(B139,직원명부!$A$5:$A$24,0))),"사번 확인")</f>
        <v/>
      </c>
      <c r="D139" s="19" t="n"/>
      <c r="E139" s="18" t="n"/>
      <c r="F139" s="28" t="n"/>
      <c r="G139" s="22" t="n"/>
      <c r="H139" s="18" t="n"/>
      <c r="I139" s="19" t="n"/>
    </row>
    <row r="140">
      <c r="A140" s="30">
        <f>IF(B140="","",COUNTA($B$5:$B140))</f>
        <v/>
      </c>
      <c r="B140" s="18" t="n"/>
      <c r="C140" s="25">
        <f>IFERROR(IF(B140="","",INDEX(직원명부!$B$5:$B$24,MATCH(B140,직원명부!$A$5:$A$24,0))),"사번 확인")</f>
        <v/>
      </c>
      <c r="D140" s="19" t="n"/>
      <c r="E140" s="18" t="n"/>
      <c r="F140" s="28" t="n"/>
      <c r="G140" s="22" t="n"/>
      <c r="H140" s="18" t="n"/>
      <c r="I140" s="19" t="n"/>
    </row>
    <row r="141">
      <c r="A141" s="30">
        <f>IF(B141="","",COUNTA($B$5:$B141))</f>
        <v/>
      </c>
      <c r="B141" s="18" t="n"/>
      <c r="C141" s="25">
        <f>IFERROR(IF(B141="","",INDEX(직원명부!$B$5:$B$24,MATCH(B141,직원명부!$A$5:$A$24,0))),"사번 확인")</f>
        <v/>
      </c>
      <c r="D141" s="19" t="n"/>
      <c r="E141" s="18" t="n"/>
      <c r="F141" s="28" t="n"/>
      <c r="G141" s="22" t="n"/>
      <c r="H141" s="18" t="n"/>
      <c r="I141" s="19" t="n"/>
    </row>
    <row r="142">
      <c r="A142" s="30">
        <f>IF(B142="","",COUNTA($B$5:$B142))</f>
        <v/>
      </c>
      <c r="B142" s="18" t="n"/>
      <c r="C142" s="25">
        <f>IFERROR(IF(B142="","",INDEX(직원명부!$B$5:$B$24,MATCH(B142,직원명부!$A$5:$A$24,0))),"사번 확인")</f>
        <v/>
      </c>
      <c r="D142" s="19" t="n"/>
      <c r="E142" s="18" t="n"/>
      <c r="F142" s="28" t="n"/>
      <c r="G142" s="22" t="n"/>
      <c r="H142" s="18" t="n"/>
      <c r="I142" s="19" t="n"/>
    </row>
    <row r="143">
      <c r="A143" s="30">
        <f>IF(B143="","",COUNTA($B$5:$B143))</f>
        <v/>
      </c>
      <c r="B143" s="18" t="n"/>
      <c r="C143" s="25">
        <f>IFERROR(IF(B143="","",INDEX(직원명부!$B$5:$B$24,MATCH(B143,직원명부!$A$5:$A$24,0))),"사번 확인")</f>
        <v/>
      </c>
      <c r="D143" s="19" t="n"/>
      <c r="E143" s="18" t="n"/>
      <c r="F143" s="28" t="n"/>
      <c r="G143" s="22" t="n"/>
      <c r="H143" s="18" t="n"/>
      <c r="I143" s="19" t="n"/>
    </row>
    <row r="144">
      <c r="A144" s="30">
        <f>IF(B144="","",COUNTA($B$5:$B144))</f>
        <v/>
      </c>
      <c r="B144" s="18" t="n"/>
      <c r="C144" s="25">
        <f>IFERROR(IF(B144="","",INDEX(직원명부!$B$5:$B$24,MATCH(B144,직원명부!$A$5:$A$24,0))),"사번 확인")</f>
        <v/>
      </c>
      <c r="D144" s="19" t="n"/>
      <c r="E144" s="18" t="n"/>
      <c r="F144" s="28" t="n"/>
      <c r="G144" s="22" t="n"/>
      <c r="H144" s="18" t="n"/>
      <c r="I144" s="19" t="n"/>
    </row>
    <row r="145">
      <c r="A145" s="30">
        <f>IF(B145="","",COUNTA($B$5:$B145))</f>
        <v/>
      </c>
      <c r="B145" s="18" t="n"/>
      <c r="C145" s="25">
        <f>IFERROR(IF(B145="","",INDEX(직원명부!$B$5:$B$24,MATCH(B145,직원명부!$A$5:$A$24,0))),"사번 확인")</f>
        <v/>
      </c>
      <c r="D145" s="19" t="n"/>
      <c r="E145" s="18" t="n"/>
      <c r="F145" s="28" t="n"/>
      <c r="G145" s="22" t="n"/>
      <c r="H145" s="18" t="n"/>
      <c r="I145" s="19" t="n"/>
    </row>
    <row r="146">
      <c r="A146" s="30">
        <f>IF(B146="","",COUNTA($B$5:$B146))</f>
        <v/>
      </c>
      <c r="B146" s="18" t="n"/>
      <c r="C146" s="25">
        <f>IFERROR(IF(B146="","",INDEX(직원명부!$B$5:$B$24,MATCH(B146,직원명부!$A$5:$A$24,0))),"사번 확인")</f>
        <v/>
      </c>
      <c r="D146" s="19" t="n"/>
      <c r="E146" s="18" t="n"/>
      <c r="F146" s="28" t="n"/>
      <c r="G146" s="22" t="n"/>
      <c r="H146" s="18" t="n"/>
      <c r="I146" s="19" t="n"/>
    </row>
    <row r="147">
      <c r="A147" s="30">
        <f>IF(B147="","",COUNTA($B$5:$B147))</f>
        <v/>
      </c>
      <c r="B147" s="18" t="n"/>
      <c r="C147" s="25">
        <f>IFERROR(IF(B147="","",INDEX(직원명부!$B$5:$B$24,MATCH(B147,직원명부!$A$5:$A$24,0))),"사번 확인")</f>
        <v/>
      </c>
      <c r="D147" s="19" t="n"/>
      <c r="E147" s="18" t="n"/>
      <c r="F147" s="28" t="n"/>
      <c r="G147" s="22" t="n"/>
      <c r="H147" s="18" t="n"/>
      <c r="I147" s="19" t="n"/>
    </row>
    <row r="148">
      <c r="A148" s="30">
        <f>IF(B148="","",COUNTA($B$5:$B148))</f>
        <v/>
      </c>
      <c r="B148" s="18" t="n"/>
      <c r="C148" s="25">
        <f>IFERROR(IF(B148="","",INDEX(직원명부!$B$5:$B$24,MATCH(B148,직원명부!$A$5:$A$24,0))),"사번 확인")</f>
        <v/>
      </c>
      <c r="D148" s="19" t="n"/>
      <c r="E148" s="18" t="n"/>
      <c r="F148" s="28" t="n"/>
      <c r="G148" s="22" t="n"/>
      <c r="H148" s="18" t="n"/>
      <c r="I148" s="19" t="n"/>
    </row>
    <row r="149">
      <c r="A149" s="30">
        <f>IF(B149="","",COUNTA($B$5:$B149))</f>
        <v/>
      </c>
      <c r="B149" s="18" t="n"/>
      <c r="C149" s="25">
        <f>IFERROR(IF(B149="","",INDEX(직원명부!$B$5:$B$24,MATCH(B149,직원명부!$A$5:$A$24,0))),"사번 확인")</f>
        <v/>
      </c>
      <c r="D149" s="19" t="n"/>
      <c r="E149" s="18" t="n"/>
      <c r="F149" s="28" t="n"/>
      <c r="G149" s="22" t="n"/>
      <c r="H149" s="18" t="n"/>
      <c r="I149" s="19" t="n"/>
    </row>
    <row r="150">
      <c r="A150" s="30">
        <f>IF(B150="","",COUNTA($B$5:$B150))</f>
        <v/>
      </c>
      <c r="B150" s="18" t="n"/>
      <c r="C150" s="25">
        <f>IFERROR(IF(B150="","",INDEX(직원명부!$B$5:$B$24,MATCH(B150,직원명부!$A$5:$A$24,0))),"사번 확인")</f>
        <v/>
      </c>
      <c r="D150" s="19" t="n"/>
      <c r="E150" s="18" t="n"/>
      <c r="F150" s="28" t="n"/>
      <c r="G150" s="22" t="n"/>
      <c r="H150" s="18" t="n"/>
      <c r="I150" s="19" t="n"/>
    </row>
    <row r="151">
      <c r="A151" s="30">
        <f>IF(B151="","",COUNTA($B$5:$B151))</f>
        <v/>
      </c>
      <c r="B151" s="18" t="n"/>
      <c r="C151" s="25">
        <f>IFERROR(IF(B151="","",INDEX(직원명부!$B$5:$B$24,MATCH(B151,직원명부!$A$5:$A$24,0))),"사번 확인")</f>
        <v/>
      </c>
      <c r="D151" s="19" t="n"/>
      <c r="E151" s="18" t="n"/>
      <c r="F151" s="28" t="n"/>
      <c r="G151" s="22" t="n"/>
      <c r="H151" s="18" t="n"/>
      <c r="I151" s="19" t="n"/>
    </row>
    <row r="152">
      <c r="A152" s="30">
        <f>IF(B152="","",COUNTA($B$5:$B152))</f>
        <v/>
      </c>
      <c r="B152" s="18" t="n"/>
      <c r="C152" s="25">
        <f>IFERROR(IF(B152="","",INDEX(직원명부!$B$5:$B$24,MATCH(B152,직원명부!$A$5:$A$24,0))),"사번 확인")</f>
        <v/>
      </c>
      <c r="D152" s="19" t="n"/>
      <c r="E152" s="18" t="n"/>
      <c r="F152" s="28" t="n"/>
      <c r="G152" s="22" t="n"/>
      <c r="H152" s="18" t="n"/>
      <c r="I152" s="19" t="n"/>
    </row>
    <row r="153">
      <c r="A153" s="30">
        <f>IF(B153="","",COUNTA($B$5:$B153))</f>
        <v/>
      </c>
      <c r="B153" s="18" t="n"/>
      <c r="C153" s="25">
        <f>IFERROR(IF(B153="","",INDEX(직원명부!$B$5:$B$24,MATCH(B153,직원명부!$A$5:$A$24,0))),"사번 확인")</f>
        <v/>
      </c>
      <c r="D153" s="19" t="n"/>
      <c r="E153" s="18" t="n"/>
      <c r="F153" s="28" t="n"/>
      <c r="G153" s="22" t="n"/>
      <c r="H153" s="18" t="n"/>
      <c r="I153" s="19" t="n"/>
    </row>
    <row r="154">
      <c r="A154" s="30">
        <f>IF(B154="","",COUNTA($B$5:$B154))</f>
        <v/>
      </c>
      <c r="B154" s="18" t="n"/>
      <c r="C154" s="25">
        <f>IFERROR(IF(B154="","",INDEX(직원명부!$B$5:$B$24,MATCH(B154,직원명부!$A$5:$A$24,0))),"사번 확인")</f>
        <v/>
      </c>
      <c r="D154" s="19" t="n"/>
      <c r="E154" s="18" t="n"/>
      <c r="F154" s="28" t="n"/>
      <c r="G154" s="22" t="n"/>
      <c r="H154" s="18" t="n"/>
      <c r="I154" s="19" t="n"/>
    </row>
    <row r="155">
      <c r="A155" s="30">
        <f>IF(B155="","",COUNTA($B$5:$B155))</f>
        <v/>
      </c>
      <c r="B155" s="18" t="n"/>
      <c r="C155" s="25">
        <f>IFERROR(IF(B155="","",INDEX(직원명부!$B$5:$B$24,MATCH(B155,직원명부!$A$5:$A$24,0))),"사번 확인")</f>
        <v/>
      </c>
      <c r="D155" s="19" t="n"/>
      <c r="E155" s="18" t="n"/>
      <c r="F155" s="28" t="n"/>
      <c r="G155" s="22" t="n"/>
      <c r="H155" s="18" t="n"/>
      <c r="I155" s="19" t="n"/>
    </row>
    <row r="156">
      <c r="A156" s="30">
        <f>IF(B156="","",COUNTA($B$5:$B156))</f>
        <v/>
      </c>
      <c r="B156" s="18" t="n"/>
      <c r="C156" s="25">
        <f>IFERROR(IF(B156="","",INDEX(직원명부!$B$5:$B$24,MATCH(B156,직원명부!$A$5:$A$24,0))),"사번 확인")</f>
        <v/>
      </c>
      <c r="D156" s="19" t="n"/>
      <c r="E156" s="18" t="n"/>
      <c r="F156" s="28" t="n"/>
      <c r="G156" s="22" t="n"/>
      <c r="H156" s="18" t="n"/>
      <c r="I156" s="19" t="n"/>
    </row>
    <row r="157">
      <c r="A157" s="30">
        <f>IF(B157="","",COUNTA($B$5:$B157))</f>
        <v/>
      </c>
      <c r="B157" s="18" t="n"/>
      <c r="C157" s="25">
        <f>IFERROR(IF(B157="","",INDEX(직원명부!$B$5:$B$24,MATCH(B157,직원명부!$A$5:$A$24,0))),"사번 확인")</f>
        <v/>
      </c>
      <c r="D157" s="19" t="n"/>
      <c r="E157" s="18" t="n"/>
      <c r="F157" s="28" t="n"/>
      <c r="G157" s="22" t="n"/>
      <c r="H157" s="18" t="n"/>
      <c r="I157" s="19" t="n"/>
    </row>
    <row r="158">
      <c r="A158" s="30">
        <f>IF(B158="","",COUNTA($B$5:$B158))</f>
        <v/>
      </c>
      <c r="B158" s="18" t="n"/>
      <c r="C158" s="25">
        <f>IFERROR(IF(B158="","",INDEX(직원명부!$B$5:$B$24,MATCH(B158,직원명부!$A$5:$A$24,0))),"사번 확인")</f>
        <v/>
      </c>
      <c r="D158" s="19" t="n"/>
      <c r="E158" s="18" t="n"/>
      <c r="F158" s="28" t="n"/>
      <c r="G158" s="22" t="n"/>
      <c r="H158" s="18" t="n"/>
      <c r="I158" s="19" t="n"/>
    </row>
    <row r="159">
      <c r="A159" s="30">
        <f>IF(B159="","",COUNTA($B$5:$B159))</f>
        <v/>
      </c>
      <c r="B159" s="18" t="n"/>
      <c r="C159" s="25">
        <f>IFERROR(IF(B159="","",INDEX(직원명부!$B$5:$B$24,MATCH(B159,직원명부!$A$5:$A$24,0))),"사번 확인")</f>
        <v/>
      </c>
      <c r="D159" s="19" t="n"/>
      <c r="E159" s="18" t="n"/>
      <c r="F159" s="28" t="n"/>
      <c r="G159" s="22" t="n"/>
      <c r="H159" s="18" t="n"/>
      <c r="I159" s="19" t="n"/>
    </row>
    <row r="160">
      <c r="A160" s="30">
        <f>IF(B160="","",COUNTA($B$5:$B160))</f>
        <v/>
      </c>
      <c r="B160" s="18" t="n"/>
      <c r="C160" s="25">
        <f>IFERROR(IF(B160="","",INDEX(직원명부!$B$5:$B$24,MATCH(B160,직원명부!$A$5:$A$24,0))),"사번 확인")</f>
        <v/>
      </c>
      <c r="D160" s="19" t="n"/>
      <c r="E160" s="18" t="n"/>
      <c r="F160" s="28" t="n"/>
      <c r="G160" s="22" t="n"/>
      <c r="H160" s="18" t="n"/>
      <c r="I160" s="19" t="n"/>
    </row>
    <row r="161">
      <c r="A161" s="30">
        <f>IF(B161="","",COUNTA($B$5:$B161))</f>
        <v/>
      </c>
      <c r="B161" s="18" t="n"/>
      <c r="C161" s="25">
        <f>IFERROR(IF(B161="","",INDEX(직원명부!$B$5:$B$24,MATCH(B161,직원명부!$A$5:$A$24,0))),"사번 확인")</f>
        <v/>
      </c>
      <c r="D161" s="19" t="n"/>
      <c r="E161" s="18" t="n"/>
      <c r="F161" s="28" t="n"/>
      <c r="G161" s="22" t="n"/>
      <c r="H161" s="18" t="n"/>
      <c r="I161" s="19" t="n"/>
    </row>
    <row r="162">
      <c r="A162" s="30">
        <f>IF(B162="","",COUNTA($B$5:$B162))</f>
        <v/>
      </c>
      <c r="B162" s="18" t="n"/>
      <c r="C162" s="25">
        <f>IFERROR(IF(B162="","",INDEX(직원명부!$B$5:$B$24,MATCH(B162,직원명부!$A$5:$A$24,0))),"사번 확인")</f>
        <v/>
      </c>
      <c r="D162" s="19" t="n"/>
      <c r="E162" s="18" t="n"/>
      <c r="F162" s="28" t="n"/>
      <c r="G162" s="22" t="n"/>
      <c r="H162" s="18" t="n"/>
      <c r="I162" s="19" t="n"/>
    </row>
    <row r="163">
      <c r="A163" s="30">
        <f>IF(B163="","",COUNTA($B$5:$B163))</f>
        <v/>
      </c>
      <c r="B163" s="18" t="n"/>
      <c r="C163" s="25">
        <f>IFERROR(IF(B163="","",INDEX(직원명부!$B$5:$B$24,MATCH(B163,직원명부!$A$5:$A$24,0))),"사번 확인")</f>
        <v/>
      </c>
      <c r="D163" s="19" t="n"/>
      <c r="E163" s="18" t="n"/>
      <c r="F163" s="28" t="n"/>
      <c r="G163" s="22" t="n"/>
      <c r="H163" s="18" t="n"/>
      <c r="I163" s="19" t="n"/>
    </row>
    <row r="164">
      <c r="A164" s="30">
        <f>IF(B164="","",COUNTA($B$5:$B164))</f>
        <v/>
      </c>
      <c r="B164" s="18" t="n"/>
      <c r="C164" s="25">
        <f>IFERROR(IF(B164="","",INDEX(직원명부!$B$5:$B$24,MATCH(B164,직원명부!$A$5:$A$24,0))),"사번 확인")</f>
        <v/>
      </c>
      <c r="D164" s="19" t="n"/>
      <c r="E164" s="18" t="n"/>
      <c r="F164" s="28" t="n"/>
      <c r="G164" s="22" t="n"/>
      <c r="H164" s="18" t="n"/>
      <c r="I164" s="19" t="n"/>
    </row>
    <row r="165">
      <c r="A165" s="30">
        <f>IF(B165="","",COUNTA($B$5:$B165))</f>
        <v/>
      </c>
      <c r="B165" s="18" t="n"/>
      <c r="C165" s="25">
        <f>IFERROR(IF(B165="","",INDEX(직원명부!$B$5:$B$24,MATCH(B165,직원명부!$A$5:$A$24,0))),"사번 확인")</f>
        <v/>
      </c>
      <c r="D165" s="19" t="n"/>
      <c r="E165" s="18" t="n"/>
      <c r="F165" s="28" t="n"/>
      <c r="G165" s="22" t="n"/>
      <c r="H165" s="18" t="n"/>
      <c r="I165" s="19" t="n"/>
    </row>
    <row r="166">
      <c r="A166" s="30">
        <f>IF(B166="","",COUNTA($B$5:$B166))</f>
        <v/>
      </c>
      <c r="B166" s="18" t="n"/>
      <c r="C166" s="25">
        <f>IFERROR(IF(B166="","",INDEX(직원명부!$B$5:$B$24,MATCH(B166,직원명부!$A$5:$A$24,0))),"사번 확인")</f>
        <v/>
      </c>
      <c r="D166" s="19" t="n"/>
      <c r="E166" s="18" t="n"/>
      <c r="F166" s="28" t="n"/>
      <c r="G166" s="22" t="n"/>
      <c r="H166" s="18" t="n"/>
      <c r="I166" s="19" t="n"/>
    </row>
    <row r="167">
      <c r="A167" s="30">
        <f>IF(B167="","",COUNTA($B$5:$B167))</f>
        <v/>
      </c>
      <c r="B167" s="18" t="n"/>
      <c r="C167" s="25">
        <f>IFERROR(IF(B167="","",INDEX(직원명부!$B$5:$B$24,MATCH(B167,직원명부!$A$5:$A$24,0))),"사번 확인")</f>
        <v/>
      </c>
      <c r="D167" s="19" t="n"/>
      <c r="E167" s="18" t="n"/>
      <c r="F167" s="28" t="n"/>
      <c r="G167" s="22" t="n"/>
      <c r="H167" s="18" t="n"/>
      <c r="I167" s="19" t="n"/>
    </row>
    <row r="168">
      <c r="A168" s="30">
        <f>IF(B168="","",COUNTA($B$5:$B168))</f>
        <v/>
      </c>
      <c r="B168" s="18" t="n"/>
      <c r="C168" s="25">
        <f>IFERROR(IF(B168="","",INDEX(직원명부!$B$5:$B$24,MATCH(B168,직원명부!$A$5:$A$24,0))),"사번 확인")</f>
        <v/>
      </c>
      <c r="D168" s="19" t="n"/>
      <c r="E168" s="18" t="n"/>
      <c r="F168" s="28" t="n"/>
      <c r="G168" s="22" t="n"/>
      <c r="H168" s="18" t="n"/>
      <c r="I168" s="19" t="n"/>
    </row>
    <row r="169">
      <c r="A169" s="30">
        <f>IF(B169="","",COUNTA($B$5:$B169))</f>
        <v/>
      </c>
      <c r="B169" s="18" t="n"/>
      <c r="C169" s="25">
        <f>IFERROR(IF(B169="","",INDEX(직원명부!$B$5:$B$24,MATCH(B169,직원명부!$A$5:$A$24,0))),"사번 확인")</f>
        <v/>
      </c>
      <c r="D169" s="19" t="n"/>
      <c r="E169" s="18" t="n"/>
      <c r="F169" s="28" t="n"/>
      <c r="G169" s="22" t="n"/>
      <c r="H169" s="18" t="n"/>
      <c r="I169" s="19" t="n"/>
    </row>
    <row r="170">
      <c r="A170" s="30">
        <f>IF(B170="","",COUNTA($B$5:$B170))</f>
        <v/>
      </c>
      <c r="B170" s="18" t="n"/>
      <c r="C170" s="25">
        <f>IFERROR(IF(B170="","",INDEX(직원명부!$B$5:$B$24,MATCH(B170,직원명부!$A$5:$A$24,0))),"사번 확인")</f>
        <v/>
      </c>
      <c r="D170" s="19" t="n"/>
      <c r="E170" s="18" t="n"/>
      <c r="F170" s="28" t="n"/>
      <c r="G170" s="22" t="n"/>
      <c r="H170" s="18" t="n"/>
      <c r="I170" s="19" t="n"/>
    </row>
    <row r="171">
      <c r="A171" s="30">
        <f>IF(B171="","",COUNTA($B$5:$B171))</f>
        <v/>
      </c>
      <c r="B171" s="18" t="n"/>
      <c r="C171" s="25">
        <f>IFERROR(IF(B171="","",INDEX(직원명부!$B$5:$B$24,MATCH(B171,직원명부!$A$5:$A$24,0))),"사번 확인")</f>
        <v/>
      </c>
      <c r="D171" s="19" t="n"/>
      <c r="E171" s="18" t="n"/>
      <c r="F171" s="28" t="n"/>
      <c r="G171" s="22" t="n"/>
      <c r="H171" s="18" t="n"/>
      <c r="I171" s="19" t="n"/>
    </row>
    <row r="172">
      <c r="A172" s="30">
        <f>IF(B172="","",COUNTA($B$5:$B172))</f>
        <v/>
      </c>
      <c r="B172" s="18" t="n"/>
      <c r="C172" s="25">
        <f>IFERROR(IF(B172="","",INDEX(직원명부!$B$5:$B$24,MATCH(B172,직원명부!$A$5:$A$24,0))),"사번 확인")</f>
        <v/>
      </c>
      <c r="D172" s="19" t="n"/>
      <c r="E172" s="18" t="n"/>
      <c r="F172" s="28" t="n"/>
      <c r="G172" s="22" t="n"/>
      <c r="H172" s="18" t="n"/>
      <c r="I172" s="19" t="n"/>
    </row>
    <row r="173">
      <c r="A173" s="30">
        <f>IF(B173="","",COUNTA($B$5:$B173))</f>
        <v/>
      </c>
      <c r="B173" s="18" t="n"/>
      <c r="C173" s="25">
        <f>IFERROR(IF(B173="","",INDEX(직원명부!$B$5:$B$24,MATCH(B173,직원명부!$A$5:$A$24,0))),"사번 확인")</f>
        <v/>
      </c>
      <c r="D173" s="19" t="n"/>
      <c r="E173" s="18" t="n"/>
      <c r="F173" s="28" t="n"/>
      <c r="G173" s="22" t="n"/>
      <c r="H173" s="18" t="n"/>
      <c r="I173" s="19" t="n"/>
    </row>
    <row r="174">
      <c r="A174" s="30">
        <f>IF(B174="","",COUNTA($B$5:$B174))</f>
        <v/>
      </c>
      <c r="B174" s="18" t="n"/>
      <c r="C174" s="25">
        <f>IFERROR(IF(B174="","",INDEX(직원명부!$B$5:$B$24,MATCH(B174,직원명부!$A$5:$A$24,0))),"사번 확인")</f>
        <v/>
      </c>
      <c r="D174" s="19" t="n"/>
      <c r="E174" s="18" t="n"/>
      <c r="F174" s="28" t="n"/>
      <c r="G174" s="22" t="n"/>
      <c r="H174" s="18" t="n"/>
      <c r="I174" s="19" t="n"/>
    </row>
    <row r="175">
      <c r="A175" s="30">
        <f>IF(B175="","",COUNTA($B$5:$B175))</f>
        <v/>
      </c>
      <c r="B175" s="18" t="n"/>
      <c r="C175" s="25">
        <f>IFERROR(IF(B175="","",INDEX(직원명부!$B$5:$B$24,MATCH(B175,직원명부!$A$5:$A$24,0))),"사번 확인")</f>
        <v/>
      </c>
      <c r="D175" s="19" t="n"/>
      <c r="E175" s="18" t="n"/>
      <c r="F175" s="28" t="n"/>
      <c r="G175" s="22" t="n"/>
      <c r="H175" s="18" t="n"/>
      <c r="I175" s="19" t="n"/>
    </row>
    <row r="176">
      <c r="A176" s="30">
        <f>IF(B176="","",COUNTA($B$5:$B176))</f>
        <v/>
      </c>
      <c r="B176" s="18" t="n"/>
      <c r="C176" s="25">
        <f>IFERROR(IF(B176="","",INDEX(직원명부!$B$5:$B$24,MATCH(B176,직원명부!$A$5:$A$24,0))),"사번 확인")</f>
        <v/>
      </c>
      <c r="D176" s="19" t="n"/>
      <c r="E176" s="18" t="n"/>
      <c r="F176" s="28" t="n"/>
      <c r="G176" s="22" t="n"/>
      <c r="H176" s="18" t="n"/>
      <c r="I176" s="19" t="n"/>
    </row>
    <row r="177">
      <c r="A177" s="30">
        <f>IF(B177="","",COUNTA($B$5:$B177))</f>
        <v/>
      </c>
      <c r="B177" s="18" t="n"/>
      <c r="C177" s="25">
        <f>IFERROR(IF(B177="","",INDEX(직원명부!$B$5:$B$24,MATCH(B177,직원명부!$A$5:$A$24,0))),"사번 확인")</f>
        <v/>
      </c>
      <c r="D177" s="19" t="n"/>
      <c r="E177" s="18" t="n"/>
      <c r="F177" s="28" t="n"/>
      <c r="G177" s="22" t="n"/>
      <c r="H177" s="18" t="n"/>
      <c r="I177" s="19" t="n"/>
    </row>
    <row r="178">
      <c r="A178" s="30">
        <f>IF(B178="","",COUNTA($B$5:$B178))</f>
        <v/>
      </c>
      <c r="B178" s="18" t="n"/>
      <c r="C178" s="25">
        <f>IFERROR(IF(B178="","",INDEX(직원명부!$B$5:$B$24,MATCH(B178,직원명부!$A$5:$A$24,0))),"사번 확인")</f>
        <v/>
      </c>
      <c r="D178" s="19" t="n"/>
      <c r="E178" s="18" t="n"/>
      <c r="F178" s="28" t="n"/>
      <c r="G178" s="22" t="n"/>
      <c r="H178" s="18" t="n"/>
      <c r="I178" s="19" t="n"/>
    </row>
    <row r="179">
      <c r="A179" s="30">
        <f>IF(B179="","",COUNTA($B$5:$B179))</f>
        <v/>
      </c>
      <c r="B179" s="18" t="n"/>
      <c r="C179" s="25">
        <f>IFERROR(IF(B179="","",INDEX(직원명부!$B$5:$B$24,MATCH(B179,직원명부!$A$5:$A$24,0))),"사번 확인")</f>
        <v/>
      </c>
      <c r="D179" s="19" t="n"/>
      <c r="E179" s="18" t="n"/>
      <c r="F179" s="28" t="n"/>
      <c r="G179" s="22" t="n"/>
      <c r="H179" s="18" t="n"/>
      <c r="I179" s="19" t="n"/>
    </row>
    <row r="180">
      <c r="A180" s="30">
        <f>IF(B180="","",COUNTA($B$5:$B180))</f>
        <v/>
      </c>
      <c r="B180" s="18" t="n"/>
      <c r="C180" s="25">
        <f>IFERROR(IF(B180="","",INDEX(직원명부!$B$5:$B$24,MATCH(B180,직원명부!$A$5:$A$24,0))),"사번 확인")</f>
        <v/>
      </c>
      <c r="D180" s="19" t="n"/>
      <c r="E180" s="18" t="n"/>
      <c r="F180" s="28" t="n"/>
      <c r="G180" s="22" t="n"/>
      <c r="H180" s="18" t="n"/>
      <c r="I180" s="19" t="n"/>
    </row>
    <row r="181">
      <c r="A181" s="30">
        <f>IF(B181="","",COUNTA($B$5:$B181))</f>
        <v/>
      </c>
      <c r="B181" s="18" t="n"/>
      <c r="C181" s="25">
        <f>IFERROR(IF(B181="","",INDEX(직원명부!$B$5:$B$24,MATCH(B181,직원명부!$A$5:$A$24,0))),"사번 확인")</f>
        <v/>
      </c>
      <c r="D181" s="19" t="n"/>
      <c r="E181" s="18" t="n"/>
      <c r="F181" s="28" t="n"/>
      <c r="G181" s="22" t="n"/>
      <c r="H181" s="18" t="n"/>
      <c r="I181" s="19" t="n"/>
    </row>
    <row r="182">
      <c r="A182" s="30">
        <f>IF(B182="","",COUNTA($B$5:$B182))</f>
        <v/>
      </c>
      <c r="B182" s="18" t="n"/>
      <c r="C182" s="25">
        <f>IFERROR(IF(B182="","",INDEX(직원명부!$B$5:$B$24,MATCH(B182,직원명부!$A$5:$A$24,0))),"사번 확인")</f>
        <v/>
      </c>
      <c r="D182" s="19" t="n"/>
      <c r="E182" s="18" t="n"/>
      <c r="F182" s="28" t="n"/>
      <c r="G182" s="22" t="n"/>
      <c r="H182" s="18" t="n"/>
      <c r="I182" s="19" t="n"/>
    </row>
    <row r="183">
      <c r="A183" s="30">
        <f>IF(B183="","",COUNTA($B$5:$B183))</f>
        <v/>
      </c>
      <c r="B183" s="18" t="n"/>
      <c r="C183" s="25">
        <f>IFERROR(IF(B183="","",INDEX(직원명부!$B$5:$B$24,MATCH(B183,직원명부!$A$5:$A$24,0))),"사번 확인")</f>
        <v/>
      </c>
      <c r="D183" s="19" t="n"/>
      <c r="E183" s="18" t="n"/>
      <c r="F183" s="28" t="n"/>
      <c r="G183" s="22" t="n"/>
      <c r="H183" s="18" t="n"/>
      <c r="I183" s="19" t="n"/>
    </row>
    <row r="184">
      <c r="A184" s="30">
        <f>IF(B184="","",COUNTA($B$5:$B184))</f>
        <v/>
      </c>
      <c r="B184" s="18" t="n"/>
      <c r="C184" s="25">
        <f>IFERROR(IF(B184="","",INDEX(직원명부!$B$5:$B$24,MATCH(B184,직원명부!$A$5:$A$24,0))),"사번 확인")</f>
        <v/>
      </c>
      <c r="D184" s="19" t="n"/>
      <c r="E184" s="18" t="n"/>
      <c r="F184" s="28" t="n"/>
      <c r="G184" s="22" t="n"/>
      <c r="H184" s="18" t="n"/>
      <c r="I184" s="19" t="n"/>
    </row>
    <row r="185">
      <c r="A185" s="30">
        <f>IF(B185="","",COUNTA($B$5:$B185))</f>
        <v/>
      </c>
      <c r="B185" s="18" t="n"/>
      <c r="C185" s="25">
        <f>IFERROR(IF(B185="","",INDEX(직원명부!$B$5:$B$24,MATCH(B185,직원명부!$A$5:$A$24,0))),"사번 확인")</f>
        <v/>
      </c>
      <c r="D185" s="19" t="n"/>
      <c r="E185" s="18" t="n"/>
      <c r="F185" s="28" t="n"/>
      <c r="G185" s="22" t="n"/>
      <c r="H185" s="18" t="n"/>
      <c r="I185" s="19" t="n"/>
    </row>
    <row r="186">
      <c r="A186" s="30">
        <f>IF(B186="","",COUNTA($B$5:$B186))</f>
        <v/>
      </c>
      <c r="B186" s="18" t="n"/>
      <c r="C186" s="25">
        <f>IFERROR(IF(B186="","",INDEX(직원명부!$B$5:$B$24,MATCH(B186,직원명부!$A$5:$A$24,0))),"사번 확인")</f>
        <v/>
      </c>
      <c r="D186" s="19" t="n"/>
      <c r="E186" s="18" t="n"/>
      <c r="F186" s="28" t="n"/>
      <c r="G186" s="22" t="n"/>
      <c r="H186" s="18" t="n"/>
      <c r="I186" s="19" t="n"/>
    </row>
    <row r="187">
      <c r="A187" s="30">
        <f>IF(B187="","",COUNTA($B$5:$B187))</f>
        <v/>
      </c>
      <c r="B187" s="18" t="n"/>
      <c r="C187" s="25">
        <f>IFERROR(IF(B187="","",INDEX(직원명부!$B$5:$B$24,MATCH(B187,직원명부!$A$5:$A$24,0))),"사번 확인")</f>
        <v/>
      </c>
      <c r="D187" s="19" t="n"/>
      <c r="E187" s="18" t="n"/>
      <c r="F187" s="28" t="n"/>
      <c r="G187" s="22" t="n"/>
      <c r="H187" s="18" t="n"/>
      <c r="I187" s="19" t="n"/>
    </row>
    <row r="188">
      <c r="A188" s="30">
        <f>IF(B188="","",COUNTA($B$5:$B188))</f>
        <v/>
      </c>
      <c r="B188" s="18" t="n"/>
      <c r="C188" s="25">
        <f>IFERROR(IF(B188="","",INDEX(직원명부!$B$5:$B$24,MATCH(B188,직원명부!$A$5:$A$24,0))),"사번 확인")</f>
        <v/>
      </c>
      <c r="D188" s="19" t="n"/>
      <c r="E188" s="18" t="n"/>
      <c r="F188" s="28" t="n"/>
      <c r="G188" s="22" t="n"/>
      <c r="H188" s="18" t="n"/>
      <c r="I188" s="19" t="n"/>
    </row>
    <row r="189">
      <c r="A189" s="30">
        <f>IF(B189="","",COUNTA($B$5:$B189))</f>
        <v/>
      </c>
      <c r="B189" s="18" t="n"/>
      <c r="C189" s="25">
        <f>IFERROR(IF(B189="","",INDEX(직원명부!$B$5:$B$24,MATCH(B189,직원명부!$A$5:$A$24,0))),"사번 확인")</f>
        <v/>
      </c>
      <c r="D189" s="19" t="n"/>
      <c r="E189" s="18" t="n"/>
      <c r="F189" s="28" t="n"/>
      <c r="G189" s="22" t="n"/>
      <c r="H189" s="18" t="n"/>
      <c r="I189" s="19" t="n"/>
    </row>
    <row r="190">
      <c r="A190" s="30">
        <f>IF(B190="","",COUNTA($B$5:$B190))</f>
        <v/>
      </c>
      <c r="B190" s="18" t="n"/>
      <c r="C190" s="25">
        <f>IFERROR(IF(B190="","",INDEX(직원명부!$B$5:$B$24,MATCH(B190,직원명부!$A$5:$A$24,0))),"사번 확인")</f>
        <v/>
      </c>
      <c r="D190" s="19" t="n"/>
      <c r="E190" s="18" t="n"/>
      <c r="F190" s="28" t="n"/>
      <c r="G190" s="22" t="n"/>
      <c r="H190" s="18" t="n"/>
      <c r="I190" s="19" t="n"/>
    </row>
    <row r="191">
      <c r="A191" s="30">
        <f>IF(B191="","",COUNTA($B$5:$B191))</f>
        <v/>
      </c>
      <c r="B191" s="18" t="n"/>
      <c r="C191" s="25">
        <f>IFERROR(IF(B191="","",INDEX(직원명부!$B$5:$B$24,MATCH(B191,직원명부!$A$5:$A$24,0))),"사번 확인")</f>
        <v/>
      </c>
      <c r="D191" s="19" t="n"/>
      <c r="E191" s="18" t="n"/>
      <c r="F191" s="28" t="n"/>
      <c r="G191" s="22" t="n"/>
      <c r="H191" s="18" t="n"/>
      <c r="I191" s="19" t="n"/>
    </row>
    <row r="192">
      <c r="A192" s="30">
        <f>IF(B192="","",COUNTA($B$5:$B192))</f>
        <v/>
      </c>
      <c r="B192" s="18" t="n"/>
      <c r="C192" s="25">
        <f>IFERROR(IF(B192="","",INDEX(직원명부!$B$5:$B$24,MATCH(B192,직원명부!$A$5:$A$24,0))),"사번 확인")</f>
        <v/>
      </c>
      <c r="D192" s="19" t="n"/>
      <c r="E192" s="18" t="n"/>
      <c r="F192" s="28" t="n"/>
      <c r="G192" s="22" t="n"/>
      <c r="H192" s="18" t="n"/>
      <c r="I192" s="19" t="n"/>
    </row>
    <row r="193">
      <c r="A193" s="30">
        <f>IF(B193="","",COUNTA($B$5:$B193))</f>
        <v/>
      </c>
      <c r="B193" s="18" t="n"/>
      <c r="C193" s="25">
        <f>IFERROR(IF(B193="","",INDEX(직원명부!$B$5:$B$24,MATCH(B193,직원명부!$A$5:$A$24,0))),"사번 확인")</f>
        <v/>
      </c>
      <c r="D193" s="19" t="n"/>
      <c r="E193" s="18" t="n"/>
      <c r="F193" s="28" t="n"/>
      <c r="G193" s="22" t="n"/>
      <c r="H193" s="18" t="n"/>
      <c r="I193" s="19" t="n"/>
    </row>
    <row r="194">
      <c r="A194" s="30">
        <f>IF(B194="","",COUNTA($B$5:$B194))</f>
        <v/>
      </c>
      <c r="B194" s="18" t="n"/>
      <c r="C194" s="25">
        <f>IFERROR(IF(B194="","",INDEX(직원명부!$B$5:$B$24,MATCH(B194,직원명부!$A$5:$A$24,0))),"사번 확인")</f>
        <v/>
      </c>
      <c r="D194" s="19" t="n"/>
      <c r="E194" s="18" t="n"/>
      <c r="F194" s="28" t="n"/>
      <c r="G194" s="22" t="n"/>
      <c r="H194" s="18" t="n"/>
      <c r="I194" s="19" t="n"/>
    </row>
    <row r="195">
      <c r="A195" s="30">
        <f>IF(B195="","",COUNTA($B$5:$B195))</f>
        <v/>
      </c>
      <c r="B195" s="18" t="n"/>
      <c r="C195" s="25">
        <f>IFERROR(IF(B195="","",INDEX(직원명부!$B$5:$B$24,MATCH(B195,직원명부!$A$5:$A$24,0))),"사번 확인")</f>
        <v/>
      </c>
      <c r="D195" s="19" t="n"/>
      <c r="E195" s="18" t="n"/>
      <c r="F195" s="28" t="n"/>
      <c r="G195" s="22" t="n"/>
      <c r="H195" s="18" t="n"/>
      <c r="I195" s="19" t="n"/>
    </row>
    <row r="196">
      <c r="A196" s="30">
        <f>IF(B196="","",COUNTA($B$5:$B196))</f>
        <v/>
      </c>
      <c r="B196" s="18" t="n"/>
      <c r="C196" s="25">
        <f>IFERROR(IF(B196="","",INDEX(직원명부!$B$5:$B$24,MATCH(B196,직원명부!$A$5:$A$24,0))),"사번 확인")</f>
        <v/>
      </c>
      <c r="D196" s="19" t="n"/>
      <c r="E196" s="18" t="n"/>
      <c r="F196" s="28" t="n"/>
      <c r="G196" s="22" t="n"/>
      <c r="H196" s="18" t="n"/>
      <c r="I196" s="19" t="n"/>
    </row>
    <row r="197">
      <c r="A197" s="30">
        <f>IF(B197="","",COUNTA($B$5:$B197))</f>
        <v/>
      </c>
      <c r="B197" s="18" t="n"/>
      <c r="C197" s="25">
        <f>IFERROR(IF(B197="","",INDEX(직원명부!$B$5:$B$24,MATCH(B197,직원명부!$A$5:$A$24,0))),"사번 확인")</f>
        <v/>
      </c>
      <c r="D197" s="19" t="n"/>
      <c r="E197" s="18" t="n"/>
      <c r="F197" s="28" t="n"/>
      <c r="G197" s="22" t="n"/>
      <c r="H197" s="18" t="n"/>
      <c r="I197" s="19" t="n"/>
    </row>
    <row r="198">
      <c r="A198" s="30">
        <f>IF(B198="","",COUNTA($B$5:$B198))</f>
        <v/>
      </c>
      <c r="B198" s="18" t="n"/>
      <c r="C198" s="25">
        <f>IFERROR(IF(B198="","",INDEX(직원명부!$B$5:$B$24,MATCH(B198,직원명부!$A$5:$A$24,0))),"사번 확인")</f>
        <v/>
      </c>
      <c r="D198" s="19" t="n"/>
      <c r="E198" s="18" t="n"/>
      <c r="F198" s="28" t="n"/>
      <c r="G198" s="22" t="n"/>
      <c r="H198" s="18" t="n"/>
      <c r="I198" s="19" t="n"/>
    </row>
    <row r="199">
      <c r="A199" s="30">
        <f>IF(B199="","",COUNTA($B$5:$B199))</f>
        <v/>
      </c>
      <c r="B199" s="18" t="n"/>
      <c r="C199" s="25">
        <f>IFERROR(IF(B199="","",INDEX(직원명부!$B$5:$B$24,MATCH(B199,직원명부!$A$5:$A$24,0))),"사번 확인")</f>
        <v/>
      </c>
      <c r="D199" s="19" t="n"/>
      <c r="E199" s="18" t="n"/>
      <c r="F199" s="28" t="n"/>
      <c r="G199" s="22" t="n"/>
      <c r="H199" s="18" t="n"/>
      <c r="I199" s="19" t="n"/>
    </row>
    <row r="200">
      <c r="A200" s="30">
        <f>IF(B200="","",COUNTA($B$5:$B200))</f>
        <v/>
      </c>
      <c r="B200" s="18" t="n"/>
      <c r="C200" s="25">
        <f>IFERROR(IF(B200="","",INDEX(직원명부!$B$5:$B$24,MATCH(B200,직원명부!$A$5:$A$24,0))),"사번 확인")</f>
        <v/>
      </c>
      <c r="D200" s="19" t="n"/>
      <c r="E200" s="18" t="n"/>
      <c r="F200" s="28" t="n"/>
      <c r="G200" s="22" t="n"/>
      <c r="H200" s="18" t="n"/>
      <c r="I200" s="19" t="n"/>
    </row>
    <row r="201">
      <c r="A201" s="30">
        <f>IF(B201="","",COUNTA($B$5:$B201))</f>
        <v/>
      </c>
      <c r="B201" s="18" t="n"/>
      <c r="C201" s="25">
        <f>IFERROR(IF(B201="","",INDEX(직원명부!$B$5:$B$24,MATCH(B201,직원명부!$A$5:$A$24,0))),"사번 확인")</f>
        <v/>
      </c>
      <c r="D201" s="19" t="n"/>
      <c r="E201" s="18" t="n"/>
      <c r="F201" s="28" t="n"/>
      <c r="G201" s="22" t="n"/>
      <c r="H201" s="18" t="n"/>
      <c r="I201" s="19" t="n"/>
    </row>
    <row r="202">
      <c r="A202" s="30">
        <f>IF(B202="","",COUNTA($B$5:$B202))</f>
        <v/>
      </c>
      <c r="B202" s="18" t="n"/>
      <c r="C202" s="25">
        <f>IFERROR(IF(B202="","",INDEX(직원명부!$B$5:$B$24,MATCH(B202,직원명부!$A$5:$A$24,0))),"사번 확인")</f>
        <v/>
      </c>
      <c r="D202" s="19" t="n"/>
      <c r="E202" s="18" t="n"/>
      <c r="F202" s="28" t="n"/>
      <c r="G202" s="22" t="n"/>
      <c r="H202" s="18" t="n"/>
      <c r="I202" s="19" t="n"/>
    </row>
    <row r="203">
      <c r="A203" s="30">
        <f>IF(B203="","",COUNTA($B$5:$B203))</f>
        <v/>
      </c>
      <c r="B203" s="18" t="n"/>
      <c r="C203" s="25">
        <f>IFERROR(IF(B203="","",INDEX(직원명부!$B$5:$B$24,MATCH(B203,직원명부!$A$5:$A$24,0))),"사번 확인")</f>
        <v/>
      </c>
      <c r="D203" s="19" t="n"/>
      <c r="E203" s="18" t="n"/>
      <c r="F203" s="28" t="n"/>
      <c r="G203" s="22" t="n"/>
      <c r="H203" s="18" t="n"/>
      <c r="I203" s="19" t="n"/>
    </row>
    <row r="204">
      <c r="A204" s="30">
        <f>IF(B204="","",COUNTA($B$5:$B204))</f>
        <v/>
      </c>
      <c r="B204" s="18" t="n"/>
      <c r="C204" s="25">
        <f>IFERROR(IF(B204="","",INDEX(직원명부!$B$5:$B$24,MATCH(B204,직원명부!$A$5:$A$24,0))),"사번 확인")</f>
        <v/>
      </c>
      <c r="D204" s="19" t="n"/>
      <c r="E204" s="18" t="n"/>
      <c r="F204" s="28" t="n"/>
      <c r="G204" s="22" t="n"/>
      <c r="H204" s="18" t="n"/>
      <c r="I204" s="19" t="n"/>
    </row>
    <row r="205">
      <c r="A205" s="30">
        <f>IF(B205="","",COUNTA($B$5:$B205))</f>
        <v/>
      </c>
      <c r="B205" s="18" t="n"/>
      <c r="C205" s="25">
        <f>IFERROR(IF(B205="","",INDEX(직원명부!$B$5:$B$24,MATCH(B205,직원명부!$A$5:$A$24,0))),"사번 확인")</f>
        <v/>
      </c>
      <c r="D205" s="19" t="n"/>
      <c r="E205" s="18" t="n"/>
      <c r="F205" s="28" t="n"/>
      <c r="G205" s="22" t="n"/>
      <c r="H205" s="18" t="n"/>
      <c r="I205" s="19" t="n"/>
    </row>
    <row r="206">
      <c r="A206" s="30">
        <f>IF(B206="","",COUNTA($B$5:$B206))</f>
        <v/>
      </c>
      <c r="B206" s="18" t="n"/>
      <c r="C206" s="25">
        <f>IFERROR(IF(B206="","",INDEX(직원명부!$B$5:$B$24,MATCH(B206,직원명부!$A$5:$A$24,0))),"사번 확인")</f>
        <v/>
      </c>
      <c r="D206" s="19" t="n"/>
      <c r="E206" s="18" t="n"/>
      <c r="F206" s="28" t="n"/>
      <c r="G206" s="22" t="n"/>
      <c r="H206" s="18" t="n"/>
      <c r="I206" s="19" t="n"/>
    </row>
    <row r="207">
      <c r="A207" s="30">
        <f>IF(B207="","",COUNTA($B$5:$B207))</f>
        <v/>
      </c>
      <c r="B207" s="18" t="n"/>
      <c r="C207" s="25">
        <f>IFERROR(IF(B207="","",INDEX(직원명부!$B$5:$B$24,MATCH(B207,직원명부!$A$5:$A$24,0))),"사번 확인")</f>
        <v/>
      </c>
      <c r="D207" s="19" t="n"/>
      <c r="E207" s="18" t="n"/>
      <c r="F207" s="28" t="n"/>
      <c r="G207" s="22" t="n"/>
      <c r="H207" s="18" t="n"/>
      <c r="I207" s="19" t="n"/>
    </row>
    <row r="208">
      <c r="A208" s="30">
        <f>IF(B208="","",COUNTA($B$5:$B208))</f>
        <v/>
      </c>
      <c r="B208" s="18" t="n"/>
      <c r="C208" s="25">
        <f>IFERROR(IF(B208="","",INDEX(직원명부!$B$5:$B$24,MATCH(B208,직원명부!$A$5:$A$24,0))),"사번 확인")</f>
        <v/>
      </c>
      <c r="D208" s="19" t="n"/>
      <c r="E208" s="18" t="n"/>
      <c r="F208" s="28" t="n"/>
      <c r="G208" s="22" t="n"/>
      <c r="H208" s="18" t="n"/>
      <c r="I208" s="19" t="n"/>
    </row>
    <row r="209">
      <c r="A209" s="30">
        <f>IF(B209="","",COUNTA($B$5:$B209))</f>
        <v/>
      </c>
      <c r="B209" s="18" t="n"/>
      <c r="C209" s="25">
        <f>IFERROR(IF(B209="","",INDEX(직원명부!$B$5:$B$24,MATCH(B209,직원명부!$A$5:$A$24,0))),"사번 확인")</f>
        <v/>
      </c>
      <c r="D209" s="19" t="n"/>
      <c r="E209" s="18" t="n"/>
      <c r="F209" s="28" t="n"/>
      <c r="G209" s="22" t="n"/>
      <c r="H209" s="18" t="n"/>
      <c r="I209" s="19" t="n"/>
    </row>
    <row r="210">
      <c r="A210" s="30">
        <f>IF(B210="","",COUNTA($B$5:$B210))</f>
        <v/>
      </c>
      <c r="B210" s="18" t="n"/>
      <c r="C210" s="25">
        <f>IFERROR(IF(B210="","",INDEX(직원명부!$B$5:$B$24,MATCH(B210,직원명부!$A$5:$A$24,0))),"사번 확인")</f>
        <v/>
      </c>
      <c r="D210" s="19" t="n"/>
      <c r="E210" s="18" t="n"/>
      <c r="F210" s="28" t="n"/>
      <c r="G210" s="22" t="n"/>
      <c r="H210" s="18" t="n"/>
      <c r="I210" s="19" t="n"/>
    </row>
    <row r="211">
      <c r="A211" s="30">
        <f>IF(B211="","",COUNTA($B$5:$B211))</f>
        <v/>
      </c>
      <c r="B211" s="18" t="n"/>
      <c r="C211" s="25">
        <f>IFERROR(IF(B211="","",INDEX(직원명부!$B$5:$B$24,MATCH(B211,직원명부!$A$5:$A$24,0))),"사번 확인")</f>
        <v/>
      </c>
      <c r="D211" s="19" t="n"/>
      <c r="E211" s="18" t="n"/>
      <c r="F211" s="28" t="n"/>
      <c r="G211" s="22" t="n"/>
      <c r="H211" s="18" t="n"/>
      <c r="I211" s="19" t="n"/>
    </row>
    <row r="212">
      <c r="A212" s="30">
        <f>IF(B212="","",COUNTA($B$5:$B212))</f>
        <v/>
      </c>
      <c r="B212" s="18" t="n"/>
      <c r="C212" s="25">
        <f>IFERROR(IF(B212="","",INDEX(직원명부!$B$5:$B$24,MATCH(B212,직원명부!$A$5:$A$24,0))),"사번 확인")</f>
        <v/>
      </c>
      <c r="D212" s="19" t="n"/>
      <c r="E212" s="18" t="n"/>
      <c r="F212" s="28" t="n"/>
      <c r="G212" s="22" t="n"/>
      <c r="H212" s="18" t="n"/>
      <c r="I212" s="19" t="n"/>
    </row>
    <row r="213">
      <c r="A213" s="30">
        <f>IF(B213="","",COUNTA($B$5:$B213))</f>
        <v/>
      </c>
      <c r="B213" s="18" t="n"/>
      <c r="C213" s="25">
        <f>IFERROR(IF(B213="","",INDEX(직원명부!$B$5:$B$24,MATCH(B213,직원명부!$A$5:$A$24,0))),"사번 확인")</f>
        <v/>
      </c>
      <c r="D213" s="19" t="n"/>
      <c r="E213" s="18" t="n"/>
      <c r="F213" s="28" t="n"/>
      <c r="G213" s="22" t="n"/>
      <c r="H213" s="18" t="n"/>
      <c r="I213" s="19" t="n"/>
    </row>
    <row r="214">
      <c r="A214" s="30">
        <f>IF(B214="","",COUNTA($B$5:$B214))</f>
        <v/>
      </c>
      <c r="B214" s="18" t="n"/>
      <c r="C214" s="25">
        <f>IFERROR(IF(B214="","",INDEX(직원명부!$B$5:$B$24,MATCH(B214,직원명부!$A$5:$A$24,0))),"사번 확인")</f>
        <v/>
      </c>
      <c r="D214" s="19" t="n"/>
      <c r="E214" s="18" t="n"/>
      <c r="F214" s="28" t="n"/>
      <c r="G214" s="22" t="n"/>
      <c r="H214" s="18" t="n"/>
      <c r="I214" s="19" t="n"/>
    </row>
    <row r="215">
      <c r="A215" s="30">
        <f>IF(B215="","",COUNTA($B$5:$B215))</f>
        <v/>
      </c>
      <c r="B215" s="18" t="n"/>
      <c r="C215" s="25">
        <f>IFERROR(IF(B215="","",INDEX(직원명부!$B$5:$B$24,MATCH(B215,직원명부!$A$5:$A$24,0))),"사번 확인")</f>
        <v/>
      </c>
      <c r="D215" s="19" t="n"/>
      <c r="E215" s="18" t="n"/>
      <c r="F215" s="28" t="n"/>
      <c r="G215" s="22" t="n"/>
      <c r="H215" s="18" t="n"/>
      <c r="I215" s="19" t="n"/>
    </row>
    <row r="216">
      <c r="A216" s="30">
        <f>IF(B216="","",COUNTA($B$5:$B216))</f>
        <v/>
      </c>
      <c r="B216" s="18" t="n"/>
      <c r="C216" s="25">
        <f>IFERROR(IF(B216="","",INDEX(직원명부!$B$5:$B$24,MATCH(B216,직원명부!$A$5:$A$24,0))),"사번 확인")</f>
        <v/>
      </c>
      <c r="D216" s="19" t="n"/>
      <c r="E216" s="18" t="n"/>
      <c r="F216" s="28" t="n"/>
      <c r="G216" s="22" t="n"/>
      <c r="H216" s="18" t="n"/>
      <c r="I216" s="19" t="n"/>
    </row>
    <row r="217">
      <c r="A217" s="30">
        <f>IF(B217="","",COUNTA($B$5:$B217))</f>
        <v/>
      </c>
      <c r="B217" s="18" t="n"/>
      <c r="C217" s="25">
        <f>IFERROR(IF(B217="","",INDEX(직원명부!$B$5:$B$24,MATCH(B217,직원명부!$A$5:$A$24,0))),"사번 확인")</f>
        <v/>
      </c>
      <c r="D217" s="19" t="n"/>
      <c r="E217" s="18" t="n"/>
      <c r="F217" s="28" t="n"/>
      <c r="G217" s="22" t="n"/>
      <c r="H217" s="18" t="n"/>
      <c r="I217" s="19" t="n"/>
    </row>
    <row r="218">
      <c r="A218" s="30">
        <f>IF(B218="","",COUNTA($B$5:$B218))</f>
        <v/>
      </c>
      <c r="B218" s="18" t="n"/>
      <c r="C218" s="25">
        <f>IFERROR(IF(B218="","",INDEX(직원명부!$B$5:$B$24,MATCH(B218,직원명부!$A$5:$A$24,0))),"사번 확인")</f>
        <v/>
      </c>
      <c r="D218" s="19" t="n"/>
      <c r="E218" s="18" t="n"/>
      <c r="F218" s="28" t="n"/>
      <c r="G218" s="22" t="n"/>
      <c r="H218" s="18" t="n"/>
      <c r="I218" s="19" t="n"/>
    </row>
    <row r="219">
      <c r="A219" s="30">
        <f>IF(B219="","",COUNTA($B$5:$B219))</f>
        <v/>
      </c>
      <c r="B219" s="18" t="n"/>
      <c r="C219" s="25">
        <f>IFERROR(IF(B219="","",INDEX(직원명부!$B$5:$B$24,MATCH(B219,직원명부!$A$5:$A$24,0))),"사번 확인")</f>
        <v/>
      </c>
      <c r="D219" s="19" t="n"/>
      <c r="E219" s="18" t="n"/>
      <c r="F219" s="28" t="n"/>
      <c r="G219" s="22" t="n"/>
      <c r="H219" s="18" t="n"/>
      <c r="I219" s="19" t="n"/>
    </row>
    <row r="220">
      <c r="A220" s="30">
        <f>IF(B220="","",COUNTA($B$5:$B220))</f>
        <v/>
      </c>
      <c r="B220" s="18" t="n"/>
      <c r="C220" s="25">
        <f>IFERROR(IF(B220="","",INDEX(직원명부!$B$5:$B$24,MATCH(B220,직원명부!$A$5:$A$24,0))),"사번 확인")</f>
        <v/>
      </c>
      <c r="D220" s="19" t="n"/>
      <c r="E220" s="18" t="n"/>
      <c r="F220" s="28" t="n"/>
      <c r="G220" s="22" t="n"/>
      <c r="H220" s="18" t="n"/>
      <c r="I220" s="19" t="n"/>
    </row>
    <row r="221">
      <c r="A221" s="30">
        <f>IF(B221="","",COUNTA($B$5:$B221))</f>
        <v/>
      </c>
      <c r="B221" s="18" t="n"/>
      <c r="C221" s="25">
        <f>IFERROR(IF(B221="","",INDEX(직원명부!$B$5:$B$24,MATCH(B221,직원명부!$A$5:$A$24,0))),"사번 확인")</f>
        <v/>
      </c>
      <c r="D221" s="19" t="n"/>
      <c r="E221" s="18" t="n"/>
      <c r="F221" s="28" t="n"/>
      <c r="G221" s="22" t="n"/>
      <c r="H221" s="18" t="n"/>
      <c r="I221" s="19" t="n"/>
    </row>
    <row r="222">
      <c r="A222" s="30">
        <f>IF(B222="","",COUNTA($B$5:$B222))</f>
        <v/>
      </c>
      <c r="B222" s="18" t="n"/>
      <c r="C222" s="25">
        <f>IFERROR(IF(B222="","",INDEX(직원명부!$B$5:$B$24,MATCH(B222,직원명부!$A$5:$A$24,0))),"사번 확인")</f>
        <v/>
      </c>
      <c r="D222" s="19" t="n"/>
      <c r="E222" s="18" t="n"/>
      <c r="F222" s="28" t="n"/>
      <c r="G222" s="22" t="n"/>
      <c r="H222" s="18" t="n"/>
      <c r="I222" s="19" t="n"/>
    </row>
    <row r="223">
      <c r="A223" s="30">
        <f>IF(B223="","",COUNTA($B$5:$B223))</f>
        <v/>
      </c>
      <c r="B223" s="18" t="n"/>
      <c r="C223" s="25">
        <f>IFERROR(IF(B223="","",INDEX(직원명부!$B$5:$B$24,MATCH(B223,직원명부!$A$5:$A$24,0))),"사번 확인")</f>
        <v/>
      </c>
      <c r="D223" s="19" t="n"/>
      <c r="E223" s="18" t="n"/>
      <c r="F223" s="28" t="n"/>
      <c r="G223" s="22" t="n"/>
      <c r="H223" s="18" t="n"/>
      <c r="I223" s="19" t="n"/>
    </row>
    <row r="224">
      <c r="A224" s="30">
        <f>IF(B224="","",COUNTA($B$5:$B224))</f>
        <v/>
      </c>
      <c r="B224" s="18" t="n"/>
      <c r="C224" s="25">
        <f>IFERROR(IF(B224="","",INDEX(직원명부!$B$5:$B$24,MATCH(B224,직원명부!$A$5:$A$24,0))),"사번 확인")</f>
        <v/>
      </c>
      <c r="D224" s="19" t="n"/>
      <c r="E224" s="18" t="n"/>
      <c r="F224" s="28" t="n"/>
      <c r="G224" s="22" t="n"/>
      <c r="H224" s="18" t="n"/>
      <c r="I224" s="19" t="n"/>
    </row>
    <row r="225">
      <c r="A225" s="30">
        <f>IF(B225="","",COUNTA($B$5:$B225))</f>
        <v/>
      </c>
      <c r="B225" s="18" t="n"/>
      <c r="C225" s="25">
        <f>IFERROR(IF(B225="","",INDEX(직원명부!$B$5:$B$24,MATCH(B225,직원명부!$A$5:$A$24,0))),"사번 확인")</f>
        <v/>
      </c>
      <c r="D225" s="19" t="n"/>
      <c r="E225" s="18" t="n"/>
      <c r="F225" s="28" t="n"/>
      <c r="G225" s="22" t="n"/>
      <c r="H225" s="18" t="n"/>
      <c r="I225" s="19" t="n"/>
    </row>
    <row r="226">
      <c r="A226" s="30">
        <f>IF(B226="","",COUNTA($B$5:$B226))</f>
        <v/>
      </c>
      <c r="B226" s="18" t="n"/>
      <c r="C226" s="25">
        <f>IFERROR(IF(B226="","",INDEX(직원명부!$B$5:$B$24,MATCH(B226,직원명부!$A$5:$A$24,0))),"사번 확인")</f>
        <v/>
      </c>
      <c r="D226" s="19" t="n"/>
      <c r="E226" s="18" t="n"/>
      <c r="F226" s="28" t="n"/>
      <c r="G226" s="22" t="n"/>
      <c r="H226" s="18" t="n"/>
      <c r="I226" s="19" t="n"/>
    </row>
    <row r="227">
      <c r="A227" s="30">
        <f>IF(B227="","",COUNTA($B$5:$B227))</f>
        <v/>
      </c>
      <c r="B227" s="18" t="n"/>
      <c r="C227" s="25">
        <f>IFERROR(IF(B227="","",INDEX(직원명부!$B$5:$B$24,MATCH(B227,직원명부!$A$5:$A$24,0))),"사번 확인")</f>
        <v/>
      </c>
      <c r="D227" s="19" t="n"/>
      <c r="E227" s="18" t="n"/>
      <c r="F227" s="28" t="n"/>
      <c r="G227" s="22" t="n"/>
      <c r="H227" s="18" t="n"/>
      <c r="I227" s="19" t="n"/>
    </row>
    <row r="228">
      <c r="A228" s="30">
        <f>IF(B228="","",COUNTA($B$5:$B228))</f>
        <v/>
      </c>
      <c r="B228" s="18" t="n"/>
      <c r="C228" s="25">
        <f>IFERROR(IF(B228="","",INDEX(직원명부!$B$5:$B$24,MATCH(B228,직원명부!$A$5:$A$24,0))),"사번 확인")</f>
        <v/>
      </c>
      <c r="D228" s="19" t="n"/>
      <c r="E228" s="18" t="n"/>
      <c r="F228" s="28" t="n"/>
      <c r="G228" s="22" t="n"/>
      <c r="H228" s="18" t="n"/>
      <c r="I228" s="19" t="n"/>
    </row>
    <row r="229">
      <c r="A229" s="30">
        <f>IF(B229="","",COUNTA($B$5:$B229))</f>
        <v/>
      </c>
      <c r="B229" s="18" t="n"/>
      <c r="C229" s="25">
        <f>IFERROR(IF(B229="","",INDEX(직원명부!$B$5:$B$24,MATCH(B229,직원명부!$A$5:$A$24,0))),"사번 확인")</f>
        <v/>
      </c>
      <c r="D229" s="19" t="n"/>
      <c r="E229" s="18" t="n"/>
      <c r="F229" s="28" t="n"/>
      <c r="G229" s="22" t="n"/>
      <c r="H229" s="18" t="n"/>
      <c r="I229" s="19" t="n"/>
    </row>
    <row r="230">
      <c r="A230" s="30">
        <f>IF(B230="","",COUNTA($B$5:$B230))</f>
        <v/>
      </c>
      <c r="B230" s="18" t="n"/>
      <c r="C230" s="25">
        <f>IFERROR(IF(B230="","",INDEX(직원명부!$B$5:$B$24,MATCH(B230,직원명부!$A$5:$A$24,0))),"사번 확인")</f>
        <v/>
      </c>
      <c r="D230" s="19" t="n"/>
      <c r="E230" s="18" t="n"/>
      <c r="F230" s="28" t="n"/>
      <c r="G230" s="22" t="n"/>
      <c r="H230" s="18" t="n"/>
      <c r="I230" s="19" t="n"/>
    </row>
    <row r="231">
      <c r="A231" s="30">
        <f>IF(B231="","",COUNTA($B$5:$B231))</f>
        <v/>
      </c>
      <c r="B231" s="18" t="n"/>
      <c r="C231" s="25">
        <f>IFERROR(IF(B231="","",INDEX(직원명부!$B$5:$B$24,MATCH(B231,직원명부!$A$5:$A$24,0))),"사번 확인")</f>
        <v/>
      </c>
      <c r="D231" s="19" t="n"/>
      <c r="E231" s="18" t="n"/>
      <c r="F231" s="28" t="n"/>
      <c r="G231" s="22" t="n"/>
      <c r="H231" s="18" t="n"/>
      <c r="I231" s="19" t="n"/>
    </row>
    <row r="232">
      <c r="A232" s="30">
        <f>IF(B232="","",COUNTA($B$5:$B232))</f>
        <v/>
      </c>
      <c r="B232" s="18" t="n"/>
      <c r="C232" s="25">
        <f>IFERROR(IF(B232="","",INDEX(직원명부!$B$5:$B$24,MATCH(B232,직원명부!$A$5:$A$24,0))),"사번 확인")</f>
        <v/>
      </c>
      <c r="D232" s="19" t="n"/>
      <c r="E232" s="18" t="n"/>
      <c r="F232" s="28" t="n"/>
      <c r="G232" s="22" t="n"/>
      <c r="H232" s="18" t="n"/>
      <c r="I232" s="19" t="n"/>
    </row>
    <row r="233">
      <c r="A233" s="30">
        <f>IF(B233="","",COUNTA($B$5:$B233))</f>
        <v/>
      </c>
      <c r="B233" s="18" t="n"/>
      <c r="C233" s="25">
        <f>IFERROR(IF(B233="","",INDEX(직원명부!$B$5:$B$24,MATCH(B233,직원명부!$A$5:$A$24,0))),"사번 확인")</f>
        <v/>
      </c>
      <c r="D233" s="19" t="n"/>
      <c r="E233" s="18" t="n"/>
      <c r="F233" s="28" t="n"/>
      <c r="G233" s="22" t="n"/>
      <c r="H233" s="18" t="n"/>
      <c r="I233" s="19" t="n"/>
    </row>
    <row r="234">
      <c r="A234" s="30">
        <f>IF(B234="","",COUNTA($B$5:$B234))</f>
        <v/>
      </c>
      <c r="B234" s="18" t="n"/>
      <c r="C234" s="25">
        <f>IFERROR(IF(B234="","",INDEX(직원명부!$B$5:$B$24,MATCH(B234,직원명부!$A$5:$A$24,0))),"사번 확인")</f>
        <v/>
      </c>
      <c r="D234" s="19" t="n"/>
      <c r="E234" s="18" t="n"/>
      <c r="F234" s="28" t="n"/>
      <c r="G234" s="22" t="n"/>
      <c r="H234" s="18" t="n"/>
      <c r="I234" s="19" t="n"/>
    </row>
    <row r="235">
      <c r="A235" s="30">
        <f>IF(B235="","",COUNTA($B$5:$B235))</f>
        <v/>
      </c>
      <c r="B235" s="18" t="n"/>
      <c r="C235" s="25">
        <f>IFERROR(IF(B235="","",INDEX(직원명부!$B$5:$B$24,MATCH(B235,직원명부!$A$5:$A$24,0))),"사번 확인")</f>
        <v/>
      </c>
      <c r="D235" s="19" t="n"/>
      <c r="E235" s="18" t="n"/>
      <c r="F235" s="28" t="n"/>
      <c r="G235" s="22" t="n"/>
      <c r="H235" s="18" t="n"/>
      <c r="I235" s="19" t="n"/>
    </row>
    <row r="236">
      <c r="A236" s="30">
        <f>IF(B236="","",COUNTA($B$5:$B236))</f>
        <v/>
      </c>
      <c r="B236" s="18" t="n"/>
      <c r="C236" s="25">
        <f>IFERROR(IF(B236="","",INDEX(직원명부!$B$5:$B$24,MATCH(B236,직원명부!$A$5:$A$24,0))),"사번 확인")</f>
        <v/>
      </c>
      <c r="D236" s="19" t="n"/>
      <c r="E236" s="18" t="n"/>
      <c r="F236" s="28" t="n"/>
      <c r="G236" s="22" t="n"/>
      <c r="H236" s="18" t="n"/>
      <c r="I236" s="19" t="n"/>
    </row>
    <row r="237">
      <c r="A237" s="30">
        <f>IF(B237="","",COUNTA($B$5:$B237))</f>
        <v/>
      </c>
      <c r="B237" s="18" t="n"/>
      <c r="C237" s="25">
        <f>IFERROR(IF(B237="","",INDEX(직원명부!$B$5:$B$24,MATCH(B237,직원명부!$A$5:$A$24,0))),"사번 확인")</f>
        <v/>
      </c>
      <c r="D237" s="19" t="n"/>
      <c r="E237" s="18" t="n"/>
      <c r="F237" s="28" t="n"/>
      <c r="G237" s="22" t="n"/>
      <c r="H237" s="18" t="n"/>
      <c r="I237" s="19" t="n"/>
    </row>
    <row r="238">
      <c r="A238" s="30">
        <f>IF(B238="","",COUNTA($B$5:$B238))</f>
        <v/>
      </c>
      <c r="B238" s="18" t="n"/>
      <c r="C238" s="25">
        <f>IFERROR(IF(B238="","",INDEX(직원명부!$B$5:$B$24,MATCH(B238,직원명부!$A$5:$A$24,0))),"사번 확인")</f>
        <v/>
      </c>
      <c r="D238" s="19" t="n"/>
      <c r="E238" s="18" t="n"/>
      <c r="F238" s="28" t="n"/>
      <c r="G238" s="22" t="n"/>
      <c r="H238" s="18" t="n"/>
      <c r="I238" s="19" t="n"/>
    </row>
    <row r="239">
      <c r="A239" s="30">
        <f>IF(B239="","",COUNTA($B$5:$B239))</f>
        <v/>
      </c>
      <c r="B239" s="18" t="n"/>
      <c r="C239" s="25">
        <f>IFERROR(IF(B239="","",INDEX(직원명부!$B$5:$B$24,MATCH(B239,직원명부!$A$5:$A$24,0))),"사번 확인")</f>
        <v/>
      </c>
      <c r="D239" s="19" t="n"/>
      <c r="E239" s="18" t="n"/>
      <c r="F239" s="28" t="n"/>
      <c r="G239" s="22" t="n"/>
      <c r="H239" s="18" t="n"/>
      <c r="I239" s="19" t="n"/>
    </row>
    <row r="240">
      <c r="A240" s="30">
        <f>IF(B240="","",COUNTA($B$5:$B240))</f>
        <v/>
      </c>
      <c r="B240" s="18" t="n"/>
      <c r="C240" s="25">
        <f>IFERROR(IF(B240="","",INDEX(직원명부!$B$5:$B$24,MATCH(B240,직원명부!$A$5:$A$24,0))),"사번 확인")</f>
        <v/>
      </c>
      <c r="D240" s="19" t="n"/>
      <c r="E240" s="18" t="n"/>
      <c r="F240" s="28" t="n"/>
      <c r="G240" s="22" t="n"/>
      <c r="H240" s="18" t="n"/>
      <c r="I240" s="19" t="n"/>
    </row>
    <row r="241">
      <c r="A241" s="30">
        <f>IF(B241="","",COUNTA($B$5:$B241))</f>
        <v/>
      </c>
      <c r="B241" s="18" t="n"/>
      <c r="C241" s="25">
        <f>IFERROR(IF(B241="","",INDEX(직원명부!$B$5:$B$24,MATCH(B241,직원명부!$A$5:$A$24,0))),"사번 확인")</f>
        <v/>
      </c>
      <c r="D241" s="19" t="n"/>
      <c r="E241" s="18" t="n"/>
      <c r="F241" s="28" t="n"/>
      <c r="G241" s="22" t="n"/>
      <c r="H241" s="18" t="n"/>
      <c r="I241" s="19" t="n"/>
    </row>
    <row r="242">
      <c r="A242" s="30">
        <f>IF(B242="","",COUNTA($B$5:$B242))</f>
        <v/>
      </c>
      <c r="B242" s="18" t="n"/>
      <c r="C242" s="25">
        <f>IFERROR(IF(B242="","",INDEX(직원명부!$B$5:$B$24,MATCH(B242,직원명부!$A$5:$A$24,0))),"사번 확인")</f>
        <v/>
      </c>
      <c r="D242" s="19" t="n"/>
      <c r="E242" s="18" t="n"/>
      <c r="F242" s="28" t="n"/>
      <c r="G242" s="22" t="n"/>
      <c r="H242" s="18" t="n"/>
      <c r="I242" s="19" t="n"/>
    </row>
    <row r="243">
      <c r="A243" s="30">
        <f>IF(B243="","",COUNTA($B$5:$B243))</f>
        <v/>
      </c>
      <c r="B243" s="18" t="n"/>
      <c r="C243" s="25">
        <f>IFERROR(IF(B243="","",INDEX(직원명부!$B$5:$B$24,MATCH(B243,직원명부!$A$5:$A$24,0))),"사번 확인")</f>
        <v/>
      </c>
      <c r="D243" s="19" t="n"/>
      <c r="E243" s="18" t="n"/>
      <c r="F243" s="28" t="n"/>
      <c r="G243" s="22" t="n"/>
      <c r="H243" s="18" t="n"/>
      <c r="I243" s="19" t="n"/>
    </row>
    <row r="244">
      <c r="A244" s="30">
        <f>IF(B244="","",COUNTA($B$5:$B244))</f>
        <v/>
      </c>
      <c r="B244" s="18" t="n"/>
      <c r="C244" s="25">
        <f>IFERROR(IF(B244="","",INDEX(직원명부!$B$5:$B$24,MATCH(B244,직원명부!$A$5:$A$24,0))),"사번 확인")</f>
        <v/>
      </c>
      <c r="D244" s="19" t="n"/>
      <c r="E244" s="18" t="n"/>
      <c r="F244" s="28" t="n"/>
      <c r="G244" s="22" t="n"/>
      <c r="H244" s="18" t="n"/>
      <c r="I244" s="19" t="n"/>
    </row>
    <row r="245">
      <c r="A245" s="30">
        <f>IF(B245="","",COUNTA($B$5:$B245))</f>
        <v/>
      </c>
      <c r="B245" s="18" t="n"/>
      <c r="C245" s="25">
        <f>IFERROR(IF(B245="","",INDEX(직원명부!$B$5:$B$24,MATCH(B245,직원명부!$A$5:$A$24,0))),"사번 확인")</f>
        <v/>
      </c>
      <c r="D245" s="19" t="n"/>
      <c r="E245" s="18" t="n"/>
      <c r="F245" s="28" t="n"/>
      <c r="G245" s="22" t="n"/>
      <c r="H245" s="18" t="n"/>
      <c r="I245" s="19" t="n"/>
    </row>
    <row r="246">
      <c r="A246" s="30">
        <f>IF(B246="","",COUNTA($B$5:$B246))</f>
        <v/>
      </c>
      <c r="B246" s="18" t="n"/>
      <c r="C246" s="25">
        <f>IFERROR(IF(B246="","",INDEX(직원명부!$B$5:$B$24,MATCH(B246,직원명부!$A$5:$A$24,0))),"사번 확인")</f>
        <v/>
      </c>
      <c r="D246" s="19" t="n"/>
      <c r="E246" s="18" t="n"/>
      <c r="F246" s="28" t="n"/>
      <c r="G246" s="22" t="n"/>
      <c r="H246" s="18" t="n"/>
      <c r="I246" s="19" t="n"/>
    </row>
    <row r="247">
      <c r="A247" s="30">
        <f>IF(B247="","",COUNTA($B$5:$B247))</f>
        <v/>
      </c>
      <c r="B247" s="18" t="n"/>
      <c r="C247" s="25">
        <f>IFERROR(IF(B247="","",INDEX(직원명부!$B$5:$B$24,MATCH(B247,직원명부!$A$5:$A$24,0))),"사번 확인")</f>
        <v/>
      </c>
      <c r="D247" s="19" t="n"/>
      <c r="E247" s="18" t="n"/>
      <c r="F247" s="28" t="n"/>
      <c r="G247" s="22" t="n"/>
      <c r="H247" s="18" t="n"/>
      <c r="I247" s="19" t="n"/>
    </row>
    <row r="248">
      <c r="A248" s="30">
        <f>IF(B248="","",COUNTA($B$5:$B248))</f>
        <v/>
      </c>
      <c r="B248" s="18" t="n"/>
      <c r="C248" s="25">
        <f>IFERROR(IF(B248="","",INDEX(직원명부!$B$5:$B$24,MATCH(B248,직원명부!$A$5:$A$24,0))),"사번 확인")</f>
        <v/>
      </c>
      <c r="D248" s="19" t="n"/>
      <c r="E248" s="18" t="n"/>
      <c r="F248" s="28" t="n"/>
      <c r="G248" s="22" t="n"/>
      <c r="H248" s="18" t="n"/>
      <c r="I248" s="19" t="n"/>
    </row>
    <row r="249">
      <c r="A249" s="30">
        <f>IF(B249="","",COUNTA($B$5:$B249))</f>
        <v/>
      </c>
      <c r="B249" s="18" t="n"/>
      <c r="C249" s="25">
        <f>IFERROR(IF(B249="","",INDEX(직원명부!$B$5:$B$24,MATCH(B249,직원명부!$A$5:$A$24,0))),"사번 확인")</f>
        <v/>
      </c>
      <c r="D249" s="19" t="n"/>
      <c r="E249" s="18" t="n"/>
      <c r="F249" s="28" t="n"/>
      <c r="G249" s="22" t="n"/>
      <c r="H249" s="18" t="n"/>
      <c r="I249" s="19" t="n"/>
    </row>
    <row r="250">
      <c r="A250" s="30">
        <f>IF(B250="","",COUNTA($B$5:$B250))</f>
        <v/>
      </c>
      <c r="B250" s="18" t="n"/>
      <c r="C250" s="25">
        <f>IFERROR(IF(B250="","",INDEX(직원명부!$B$5:$B$24,MATCH(B250,직원명부!$A$5:$A$24,0))),"사번 확인")</f>
        <v/>
      </c>
      <c r="D250" s="19" t="n"/>
      <c r="E250" s="18" t="n"/>
      <c r="F250" s="28" t="n"/>
      <c r="G250" s="22" t="n"/>
      <c r="H250" s="18" t="n"/>
      <c r="I250" s="19" t="n"/>
    </row>
    <row r="251">
      <c r="A251" s="30">
        <f>IF(B251="","",COUNTA($B$5:$B251))</f>
        <v/>
      </c>
      <c r="B251" s="18" t="n"/>
      <c r="C251" s="25">
        <f>IFERROR(IF(B251="","",INDEX(직원명부!$B$5:$B$24,MATCH(B251,직원명부!$A$5:$A$24,0))),"사번 확인")</f>
        <v/>
      </c>
      <c r="D251" s="19" t="n"/>
      <c r="E251" s="18" t="n"/>
      <c r="F251" s="28" t="n"/>
      <c r="G251" s="22" t="n"/>
      <c r="H251" s="18" t="n"/>
      <c r="I251" s="19" t="n"/>
    </row>
    <row r="252">
      <c r="A252" s="30">
        <f>IF(B252="","",COUNTA($B$5:$B252))</f>
        <v/>
      </c>
      <c r="B252" s="18" t="n"/>
      <c r="C252" s="25">
        <f>IFERROR(IF(B252="","",INDEX(직원명부!$B$5:$B$24,MATCH(B252,직원명부!$A$5:$A$24,0))),"사번 확인")</f>
        <v/>
      </c>
      <c r="D252" s="19" t="n"/>
      <c r="E252" s="18" t="n"/>
      <c r="F252" s="28" t="n"/>
      <c r="G252" s="22" t="n"/>
      <c r="H252" s="18" t="n"/>
      <c r="I252" s="19" t="n"/>
    </row>
    <row r="253">
      <c r="A253" s="30">
        <f>IF(B253="","",COUNTA($B$5:$B253))</f>
        <v/>
      </c>
      <c r="B253" s="18" t="n"/>
      <c r="C253" s="25">
        <f>IFERROR(IF(B253="","",INDEX(직원명부!$B$5:$B$24,MATCH(B253,직원명부!$A$5:$A$24,0))),"사번 확인")</f>
        <v/>
      </c>
      <c r="D253" s="19" t="n"/>
      <c r="E253" s="18" t="n"/>
      <c r="F253" s="28" t="n"/>
      <c r="G253" s="22" t="n"/>
      <c r="H253" s="18" t="n"/>
      <c r="I253" s="19" t="n"/>
    </row>
    <row r="254">
      <c r="A254" s="30">
        <f>IF(B254="","",COUNTA($B$5:$B254))</f>
        <v/>
      </c>
      <c r="B254" s="18" t="n"/>
      <c r="C254" s="25">
        <f>IFERROR(IF(B254="","",INDEX(직원명부!$B$5:$B$24,MATCH(B254,직원명부!$A$5:$A$24,0))),"사번 확인")</f>
        <v/>
      </c>
      <c r="D254" s="19" t="n"/>
      <c r="E254" s="18" t="n"/>
      <c r="F254" s="28" t="n"/>
      <c r="G254" s="22" t="n"/>
      <c r="H254" s="18" t="n"/>
      <c r="I254" s="19" t="n"/>
    </row>
    <row r="255">
      <c r="A255" s="30">
        <f>IF(B255="","",COUNTA($B$5:$B255))</f>
        <v/>
      </c>
      <c r="B255" s="18" t="n"/>
      <c r="C255" s="25">
        <f>IFERROR(IF(B255="","",INDEX(직원명부!$B$5:$B$24,MATCH(B255,직원명부!$A$5:$A$24,0))),"사번 확인")</f>
        <v/>
      </c>
      <c r="D255" s="19" t="n"/>
      <c r="E255" s="18" t="n"/>
      <c r="F255" s="28" t="n"/>
      <c r="G255" s="22" t="n"/>
      <c r="H255" s="18" t="n"/>
      <c r="I255" s="19" t="n"/>
    </row>
    <row r="256">
      <c r="A256" s="30">
        <f>IF(B256="","",COUNTA($B$5:$B256))</f>
        <v/>
      </c>
      <c r="B256" s="18" t="n"/>
      <c r="C256" s="25">
        <f>IFERROR(IF(B256="","",INDEX(직원명부!$B$5:$B$24,MATCH(B256,직원명부!$A$5:$A$24,0))),"사번 확인")</f>
        <v/>
      </c>
      <c r="D256" s="19" t="n"/>
      <c r="E256" s="18" t="n"/>
      <c r="F256" s="28" t="n"/>
      <c r="G256" s="22" t="n"/>
      <c r="H256" s="18" t="n"/>
      <c r="I256" s="19" t="n"/>
    </row>
    <row r="257">
      <c r="A257" s="30">
        <f>IF(B257="","",COUNTA($B$5:$B257))</f>
        <v/>
      </c>
      <c r="B257" s="18" t="n"/>
      <c r="C257" s="25">
        <f>IFERROR(IF(B257="","",INDEX(직원명부!$B$5:$B$24,MATCH(B257,직원명부!$A$5:$A$24,0))),"사번 확인")</f>
        <v/>
      </c>
      <c r="D257" s="19" t="n"/>
      <c r="E257" s="18" t="n"/>
      <c r="F257" s="28" t="n"/>
      <c r="G257" s="22" t="n"/>
      <c r="H257" s="18" t="n"/>
      <c r="I257" s="19" t="n"/>
    </row>
    <row r="258">
      <c r="A258" s="30">
        <f>IF(B258="","",COUNTA($B$5:$B258))</f>
        <v/>
      </c>
      <c r="B258" s="18" t="n"/>
      <c r="C258" s="25">
        <f>IFERROR(IF(B258="","",INDEX(직원명부!$B$5:$B$24,MATCH(B258,직원명부!$A$5:$A$24,0))),"사번 확인")</f>
        <v/>
      </c>
      <c r="D258" s="19" t="n"/>
      <c r="E258" s="18" t="n"/>
      <c r="F258" s="28" t="n"/>
      <c r="G258" s="22" t="n"/>
      <c r="H258" s="18" t="n"/>
      <c r="I258" s="19" t="n"/>
    </row>
    <row r="259">
      <c r="A259" s="30">
        <f>IF(B259="","",COUNTA($B$5:$B259))</f>
        <v/>
      </c>
      <c r="B259" s="18" t="n"/>
      <c r="C259" s="25">
        <f>IFERROR(IF(B259="","",INDEX(직원명부!$B$5:$B$24,MATCH(B259,직원명부!$A$5:$A$24,0))),"사번 확인")</f>
        <v/>
      </c>
      <c r="D259" s="19" t="n"/>
      <c r="E259" s="18" t="n"/>
      <c r="F259" s="28" t="n"/>
      <c r="G259" s="22" t="n"/>
      <c r="H259" s="18" t="n"/>
      <c r="I259" s="19" t="n"/>
    </row>
    <row r="260">
      <c r="A260" s="30">
        <f>IF(B260="","",COUNTA($B$5:$B260))</f>
        <v/>
      </c>
      <c r="B260" s="18" t="n"/>
      <c r="C260" s="25">
        <f>IFERROR(IF(B260="","",INDEX(직원명부!$B$5:$B$24,MATCH(B260,직원명부!$A$5:$A$24,0))),"사번 확인")</f>
        <v/>
      </c>
      <c r="D260" s="19" t="n"/>
      <c r="E260" s="18" t="n"/>
      <c r="F260" s="28" t="n"/>
      <c r="G260" s="22" t="n"/>
      <c r="H260" s="18" t="n"/>
      <c r="I260" s="19" t="n"/>
    </row>
    <row r="261">
      <c r="A261" s="30">
        <f>IF(B261="","",COUNTA($B$5:$B261))</f>
        <v/>
      </c>
      <c r="B261" s="18" t="n"/>
      <c r="C261" s="25">
        <f>IFERROR(IF(B261="","",INDEX(직원명부!$B$5:$B$24,MATCH(B261,직원명부!$A$5:$A$24,0))),"사번 확인")</f>
        <v/>
      </c>
      <c r="D261" s="19" t="n"/>
      <c r="E261" s="18" t="n"/>
      <c r="F261" s="28" t="n"/>
      <c r="G261" s="22" t="n"/>
      <c r="H261" s="18" t="n"/>
      <c r="I261" s="19" t="n"/>
    </row>
    <row r="262">
      <c r="A262" s="30">
        <f>IF(B262="","",COUNTA($B$5:$B262))</f>
        <v/>
      </c>
      <c r="B262" s="18" t="n"/>
      <c r="C262" s="25">
        <f>IFERROR(IF(B262="","",INDEX(직원명부!$B$5:$B$24,MATCH(B262,직원명부!$A$5:$A$24,0))),"사번 확인")</f>
        <v/>
      </c>
      <c r="D262" s="19" t="n"/>
      <c r="E262" s="18" t="n"/>
      <c r="F262" s="28" t="n"/>
      <c r="G262" s="22" t="n"/>
      <c r="H262" s="18" t="n"/>
      <c r="I262" s="19" t="n"/>
    </row>
    <row r="263">
      <c r="A263" s="30">
        <f>IF(B263="","",COUNTA($B$5:$B263))</f>
        <v/>
      </c>
      <c r="B263" s="18" t="n"/>
      <c r="C263" s="25">
        <f>IFERROR(IF(B263="","",INDEX(직원명부!$B$5:$B$24,MATCH(B263,직원명부!$A$5:$A$24,0))),"사번 확인")</f>
        <v/>
      </c>
      <c r="D263" s="19" t="n"/>
      <c r="E263" s="18" t="n"/>
      <c r="F263" s="28" t="n"/>
      <c r="G263" s="22" t="n"/>
      <c r="H263" s="18" t="n"/>
      <c r="I263" s="19" t="n"/>
    </row>
    <row r="264">
      <c r="A264" s="30">
        <f>IF(B264="","",COUNTA($B$5:$B264))</f>
        <v/>
      </c>
      <c r="B264" s="18" t="n"/>
      <c r="C264" s="25">
        <f>IFERROR(IF(B264="","",INDEX(직원명부!$B$5:$B$24,MATCH(B264,직원명부!$A$5:$A$24,0))),"사번 확인")</f>
        <v/>
      </c>
      <c r="D264" s="19" t="n"/>
      <c r="E264" s="18" t="n"/>
      <c r="F264" s="28" t="n"/>
      <c r="G264" s="22" t="n"/>
      <c r="H264" s="18" t="n"/>
      <c r="I264" s="19" t="n"/>
    </row>
    <row r="265">
      <c r="A265" s="30">
        <f>IF(B265="","",COUNTA($B$5:$B265))</f>
        <v/>
      </c>
      <c r="B265" s="18" t="n"/>
      <c r="C265" s="25">
        <f>IFERROR(IF(B265="","",INDEX(직원명부!$B$5:$B$24,MATCH(B265,직원명부!$A$5:$A$24,0))),"사번 확인")</f>
        <v/>
      </c>
      <c r="D265" s="19" t="n"/>
      <c r="E265" s="18" t="n"/>
      <c r="F265" s="28" t="n"/>
      <c r="G265" s="22" t="n"/>
      <c r="H265" s="18" t="n"/>
      <c r="I265" s="19" t="n"/>
    </row>
    <row r="266">
      <c r="A266" s="30">
        <f>IF(B266="","",COUNTA($B$5:$B266))</f>
        <v/>
      </c>
      <c r="B266" s="18" t="n"/>
      <c r="C266" s="25">
        <f>IFERROR(IF(B266="","",INDEX(직원명부!$B$5:$B$24,MATCH(B266,직원명부!$A$5:$A$24,0))),"사번 확인")</f>
        <v/>
      </c>
      <c r="D266" s="19" t="n"/>
      <c r="E266" s="18" t="n"/>
      <c r="F266" s="28" t="n"/>
      <c r="G266" s="22" t="n"/>
      <c r="H266" s="18" t="n"/>
      <c r="I266" s="19" t="n"/>
    </row>
    <row r="267">
      <c r="A267" s="30">
        <f>IF(B267="","",COUNTA($B$5:$B267))</f>
        <v/>
      </c>
      <c r="B267" s="18" t="n"/>
      <c r="C267" s="25">
        <f>IFERROR(IF(B267="","",INDEX(직원명부!$B$5:$B$24,MATCH(B267,직원명부!$A$5:$A$24,0))),"사번 확인")</f>
        <v/>
      </c>
      <c r="D267" s="19" t="n"/>
      <c r="E267" s="18" t="n"/>
      <c r="F267" s="28" t="n"/>
      <c r="G267" s="22" t="n"/>
      <c r="H267" s="18" t="n"/>
      <c r="I267" s="19" t="n"/>
    </row>
    <row r="268">
      <c r="A268" s="30">
        <f>IF(B268="","",COUNTA($B$5:$B268))</f>
        <v/>
      </c>
      <c r="B268" s="18" t="n"/>
      <c r="C268" s="25">
        <f>IFERROR(IF(B268="","",INDEX(직원명부!$B$5:$B$24,MATCH(B268,직원명부!$A$5:$A$24,0))),"사번 확인")</f>
        <v/>
      </c>
      <c r="D268" s="19" t="n"/>
      <c r="E268" s="18" t="n"/>
      <c r="F268" s="28" t="n"/>
      <c r="G268" s="22" t="n"/>
      <c r="H268" s="18" t="n"/>
      <c r="I268" s="19" t="n"/>
    </row>
    <row r="269">
      <c r="A269" s="30">
        <f>IF(B269="","",COUNTA($B$5:$B269))</f>
        <v/>
      </c>
      <c r="B269" s="18" t="n"/>
      <c r="C269" s="25">
        <f>IFERROR(IF(B269="","",INDEX(직원명부!$B$5:$B$24,MATCH(B269,직원명부!$A$5:$A$24,0))),"사번 확인")</f>
        <v/>
      </c>
      <c r="D269" s="19" t="n"/>
      <c r="E269" s="18" t="n"/>
      <c r="F269" s="28" t="n"/>
      <c r="G269" s="22" t="n"/>
      <c r="H269" s="18" t="n"/>
      <c r="I269" s="19" t="n"/>
    </row>
    <row r="270">
      <c r="A270" s="30">
        <f>IF(B270="","",COUNTA($B$5:$B270))</f>
        <v/>
      </c>
      <c r="B270" s="18" t="n"/>
      <c r="C270" s="25">
        <f>IFERROR(IF(B270="","",INDEX(직원명부!$B$5:$B$24,MATCH(B270,직원명부!$A$5:$A$24,0))),"사번 확인")</f>
        <v/>
      </c>
      <c r="D270" s="19" t="n"/>
      <c r="E270" s="18" t="n"/>
      <c r="F270" s="28" t="n"/>
      <c r="G270" s="22" t="n"/>
      <c r="H270" s="18" t="n"/>
      <c r="I270" s="19" t="n"/>
    </row>
    <row r="271">
      <c r="A271" s="30">
        <f>IF(B271="","",COUNTA($B$5:$B271))</f>
        <v/>
      </c>
      <c r="B271" s="18" t="n"/>
      <c r="C271" s="25">
        <f>IFERROR(IF(B271="","",INDEX(직원명부!$B$5:$B$24,MATCH(B271,직원명부!$A$5:$A$24,0))),"사번 확인")</f>
        <v/>
      </c>
      <c r="D271" s="19" t="n"/>
      <c r="E271" s="18" t="n"/>
      <c r="F271" s="28" t="n"/>
      <c r="G271" s="22" t="n"/>
      <c r="H271" s="18" t="n"/>
      <c r="I271" s="19" t="n"/>
    </row>
    <row r="272">
      <c r="A272" s="30">
        <f>IF(B272="","",COUNTA($B$5:$B272))</f>
        <v/>
      </c>
      <c r="B272" s="18" t="n"/>
      <c r="C272" s="25">
        <f>IFERROR(IF(B272="","",INDEX(직원명부!$B$5:$B$24,MATCH(B272,직원명부!$A$5:$A$24,0))),"사번 확인")</f>
        <v/>
      </c>
      <c r="D272" s="19" t="n"/>
      <c r="E272" s="18" t="n"/>
      <c r="F272" s="28" t="n"/>
      <c r="G272" s="22" t="n"/>
      <c r="H272" s="18" t="n"/>
      <c r="I272" s="19" t="n"/>
    </row>
    <row r="273">
      <c r="A273" s="30">
        <f>IF(B273="","",COUNTA($B$5:$B273))</f>
        <v/>
      </c>
      <c r="B273" s="18" t="n"/>
      <c r="C273" s="25">
        <f>IFERROR(IF(B273="","",INDEX(직원명부!$B$5:$B$24,MATCH(B273,직원명부!$A$5:$A$24,0))),"사번 확인")</f>
        <v/>
      </c>
      <c r="D273" s="19" t="n"/>
      <c r="E273" s="18" t="n"/>
      <c r="F273" s="28" t="n"/>
      <c r="G273" s="22" t="n"/>
      <c r="H273" s="18" t="n"/>
      <c r="I273" s="19" t="n"/>
    </row>
    <row r="274">
      <c r="A274" s="30">
        <f>IF(B274="","",COUNTA($B$5:$B274))</f>
        <v/>
      </c>
      <c r="B274" s="18" t="n"/>
      <c r="C274" s="25">
        <f>IFERROR(IF(B274="","",INDEX(직원명부!$B$5:$B$24,MATCH(B274,직원명부!$A$5:$A$24,0))),"사번 확인")</f>
        <v/>
      </c>
      <c r="D274" s="19" t="n"/>
      <c r="E274" s="18" t="n"/>
      <c r="F274" s="28" t="n"/>
      <c r="G274" s="22" t="n"/>
      <c r="H274" s="18" t="n"/>
      <c r="I274" s="19" t="n"/>
    </row>
    <row r="275">
      <c r="A275" s="30">
        <f>IF(B275="","",COUNTA($B$5:$B275))</f>
        <v/>
      </c>
      <c r="B275" s="18" t="n"/>
      <c r="C275" s="25">
        <f>IFERROR(IF(B275="","",INDEX(직원명부!$B$5:$B$24,MATCH(B275,직원명부!$A$5:$A$24,0))),"사번 확인")</f>
        <v/>
      </c>
      <c r="D275" s="19" t="n"/>
      <c r="E275" s="18" t="n"/>
      <c r="F275" s="28" t="n"/>
      <c r="G275" s="22" t="n"/>
      <c r="H275" s="18" t="n"/>
      <c r="I275" s="19" t="n"/>
    </row>
    <row r="276">
      <c r="A276" s="30">
        <f>IF(B276="","",COUNTA($B$5:$B276))</f>
        <v/>
      </c>
      <c r="B276" s="18" t="n"/>
      <c r="C276" s="25">
        <f>IFERROR(IF(B276="","",INDEX(직원명부!$B$5:$B$24,MATCH(B276,직원명부!$A$5:$A$24,0))),"사번 확인")</f>
        <v/>
      </c>
      <c r="D276" s="19" t="n"/>
      <c r="E276" s="18" t="n"/>
      <c r="F276" s="28" t="n"/>
      <c r="G276" s="22" t="n"/>
      <c r="H276" s="18" t="n"/>
      <c r="I276" s="19" t="n"/>
    </row>
    <row r="277">
      <c r="A277" s="30">
        <f>IF(B277="","",COUNTA($B$5:$B277))</f>
        <v/>
      </c>
      <c r="B277" s="18" t="n"/>
      <c r="C277" s="25">
        <f>IFERROR(IF(B277="","",INDEX(직원명부!$B$5:$B$24,MATCH(B277,직원명부!$A$5:$A$24,0))),"사번 확인")</f>
        <v/>
      </c>
      <c r="D277" s="19" t="n"/>
      <c r="E277" s="18" t="n"/>
      <c r="F277" s="28" t="n"/>
      <c r="G277" s="22" t="n"/>
      <c r="H277" s="18" t="n"/>
      <c r="I277" s="19" t="n"/>
    </row>
    <row r="278">
      <c r="A278" s="30">
        <f>IF(B278="","",COUNTA($B$5:$B278))</f>
        <v/>
      </c>
      <c r="B278" s="18" t="n"/>
      <c r="C278" s="25">
        <f>IFERROR(IF(B278="","",INDEX(직원명부!$B$5:$B$24,MATCH(B278,직원명부!$A$5:$A$24,0))),"사번 확인")</f>
        <v/>
      </c>
      <c r="D278" s="19" t="n"/>
      <c r="E278" s="18" t="n"/>
      <c r="F278" s="28" t="n"/>
      <c r="G278" s="22" t="n"/>
      <c r="H278" s="18" t="n"/>
      <c r="I278" s="19" t="n"/>
    </row>
    <row r="279">
      <c r="A279" s="30">
        <f>IF(B279="","",COUNTA($B$5:$B279))</f>
        <v/>
      </c>
      <c r="B279" s="18" t="n"/>
      <c r="C279" s="25">
        <f>IFERROR(IF(B279="","",INDEX(직원명부!$B$5:$B$24,MATCH(B279,직원명부!$A$5:$A$24,0))),"사번 확인")</f>
        <v/>
      </c>
      <c r="D279" s="19" t="n"/>
      <c r="E279" s="18" t="n"/>
      <c r="F279" s="28" t="n"/>
      <c r="G279" s="22" t="n"/>
      <c r="H279" s="18" t="n"/>
      <c r="I279" s="19" t="n"/>
    </row>
    <row r="280">
      <c r="A280" s="30">
        <f>IF(B280="","",COUNTA($B$5:$B280))</f>
        <v/>
      </c>
      <c r="B280" s="18" t="n"/>
      <c r="C280" s="25">
        <f>IFERROR(IF(B280="","",INDEX(직원명부!$B$5:$B$24,MATCH(B280,직원명부!$A$5:$A$24,0))),"사번 확인")</f>
        <v/>
      </c>
      <c r="D280" s="19" t="n"/>
      <c r="E280" s="18" t="n"/>
      <c r="F280" s="28" t="n"/>
      <c r="G280" s="22" t="n"/>
      <c r="H280" s="18" t="n"/>
      <c r="I280" s="19" t="n"/>
    </row>
    <row r="281">
      <c r="A281" s="30">
        <f>IF(B281="","",COUNTA($B$5:$B281))</f>
        <v/>
      </c>
      <c r="B281" s="18" t="n"/>
      <c r="C281" s="25">
        <f>IFERROR(IF(B281="","",INDEX(직원명부!$B$5:$B$24,MATCH(B281,직원명부!$A$5:$A$24,0))),"사번 확인")</f>
        <v/>
      </c>
      <c r="D281" s="19" t="n"/>
      <c r="E281" s="18" t="n"/>
      <c r="F281" s="28" t="n"/>
      <c r="G281" s="22" t="n"/>
      <c r="H281" s="18" t="n"/>
      <c r="I281" s="19" t="n"/>
    </row>
    <row r="282">
      <c r="A282" s="30">
        <f>IF(B282="","",COUNTA($B$5:$B282))</f>
        <v/>
      </c>
      <c r="B282" s="18" t="n"/>
      <c r="C282" s="25">
        <f>IFERROR(IF(B282="","",INDEX(직원명부!$B$5:$B$24,MATCH(B282,직원명부!$A$5:$A$24,0))),"사번 확인")</f>
        <v/>
      </c>
      <c r="D282" s="19" t="n"/>
      <c r="E282" s="18" t="n"/>
      <c r="F282" s="28" t="n"/>
      <c r="G282" s="22" t="n"/>
      <c r="H282" s="18" t="n"/>
      <c r="I282" s="19" t="n"/>
    </row>
    <row r="283">
      <c r="A283" s="30">
        <f>IF(B283="","",COUNTA($B$5:$B283))</f>
        <v/>
      </c>
      <c r="B283" s="18" t="n"/>
      <c r="C283" s="25">
        <f>IFERROR(IF(B283="","",INDEX(직원명부!$B$5:$B$24,MATCH(B283,직원명부!$A$5:$A$24,0))),"사번 확인")</f>
        <v/>
      </c>
      <c r="D283" s="19" t="n"/>
      <c r="E283" s="18" t="n"/>
      <c r="F283" s="28" t="n"/>
      <c r="G283" s="22" t="n"/>
      <c r="H283" s="18" t="n"/>
      <c r="I283" s="19" t="n"/>
    </row>
    <row r="284">
      <c r="A284" s="30">
        <f>IF(B284="","",COUNTA($B$5:$B284))</f>
        <v/>
      </c>
      <c r="B284" s="18" t="n"/>
      <c r="C284" s="25">
        <f>IFERROR(IF(B284="","",INDEX(직원명부!$B$5:$B$24,MATCH(B284,직원명부!$A$5:$A$24,0))),"사번 확인")</f>
        <v/>
      </c>
      <c r="D284" s="19" t="n"/>
      <c r="E284" s="18" t="n"/>
      <c r="F284" s="28" t="n"/>
      <c r="G284" s="22" t="n"/>
      <c r="H284" s="18" t="n"/>
      <c r="I284" s="19" t="n"/>
    </row>
    <row r="285">
      <c r="A285" s="30">
        <f>IF(B285="","",COUNTA($B$5:$B285))</f>
        <v/>
      </c>
      <c r="B285" s="18" t="n"/>
      <c r="C285" s="25">
        <f>IFERROR(IF(B285="","",INDEX(직원명부!$B$5:$B$24,MATCH(B285,직원명부!$A$5:$A$24,0))),"사번 확인")</f>
        <v/>
      </c>
      <c r="D285" s="19" t="n"/>
      <c r="E285" s="18" t="n"/>
      <c r="F285" s="28" t="n"/>
      <c r="G285" s="22" t="n"/>
      <c r="H285" s="18" t="n"/>
      <c r="I285" s="19" t="n"/>
    </row>
    <row r="286">
      <c r="A286" s="30">
        <f>IF(B286="","",COUNTA($B$5:$B286))</f>
        <v/>
      </c>
      <c r="B286" s="18" t="n"/>
      <c r="C286" s="25">
        <f>IFERROR(IF(B286="","",INDEX(직원명부!$B$5:$B$24,MATCH(B286,직원명부!$A$5:$A$24,0))),"사번 확인")</f>
        <v/>
      </c>
      <c r="D286" s="19" t="n"/>
      <c r="E286" s="18" t="n"/>
      <c r="F286" s="28" t="n"/>
      <c r="G286" s="22" t="n"/>
      <c r="H286" s="18" t="n"/>
      <c r="I286" s="19" t="n"/>
    </row>
    <row r="287">
      <c r="A287" s="30">
        <f>IF(B287="","",COUNTA($B$5:$B287))</f>
        <v/>
      </c>
      <c r="B287" s="18" t="n"/>
      <c r="C287" s="25">
        <f>IFERROR(IF(B287="","",INDEX(직원명부!$B$5:$B$24,MATCH(B287,직원명부!$A$5:$A$24,0))),"사번 확인")</f>
        <v/>
      </c>
      <c r="D287" s="19" t="n"/>
      <c r="E287" s="18" t="n"/>
      <c r="F287" s="28" t="n"/>
      <c r="G287" s="22" t="n"/>
      <c r="H287" s="18" t="n"/>
      <c r="I287" s="19" t="n"/>
    </row>
    <row r="288">
      <c r="A288" s="30">
        <f>IF(B288="","",COUNTA($B$5:$B288))</f>
        <v/>
      </c>
      <c r="B288" s="18" t="n"/>
      <c r="C288" s="25">
        <f>IFERROR(IF(B288="","",INDEX(직원명부!$B$5:$B$24,MATCH(B288,직원명부!$A$5:$A$24,0))),"사번 확인")</f>
        <v/>
      </c>
      <c r="D288" s="19" t="n"/>
      <c r="E288" s="18" t="n"/>
      <c r="F288" s="28" t="n"/>
      <c r="G288" s="22" t="n"/>
      <c r="H288" s="18" t="n"/>
      <c r="I288" s="19" t="n"/>
    </row>
    <row r="289">
      <c r="A289" s="30">
        <f>IF(B289="","",COUNTA($B$5:$B289))</f>
        <v/>
      </c>
      <c r="B289" s="18" t="n"/>
      <c r="C289" s="25">
        <f>IFERROR(IF(B289="","",INDEX(직원명부!$B$5:$B$24,MATCH(B289,직원명부!$A$5:$A$24,0))),"사번 확인")</f>
        <v/>
      </c>
      <c r="D289" s="19" t="n"/>
      <c r="E289" s="18" t="n"/>
      <c r="F289" s="28" t="n"/>
      <c r="G289" s="22" t="n"/>
      <c r="H289" s="18" t="n"/>
      <c r="I289" s="19" t="n"/>
    </row>
    <row r="290">
      <c r="A290" s="30">
        <f>IF(B290="","",COUNTA($B$5:$B290))</f>
        <v/>
      </c>
      <c r="B290" s="18" t="n"/>
      <c r="C290" s="25">
        <f>IFERROR(IF(B290="","",INDEX(직원명부!$B$5:$B$24,MATCH(B290,직원명부!$A$5:$A$24,0))),"사번 확인")</f>
        <v/>
      </c>
      <c r="D290" s="19" t="n"/>
      <c r="E290" s="18" t="n"/>
      <c r="F290" s="28" t="n"/>
      <c r="G290" s="22" t="n"/>
      <c r="H290" s="18" t="n"/>
      <c r="I290" s="19" t="n"/>
    </row>
    <row r="291">
      <c r="A291" s="30">
        <f>IF(B291="","",COUNTA($B$5:$B291))</f>
        <v/>
      </c>
      <c r="B291" s="18" t="n"/>
      <c r="C291" s="25">
        <f>IFERROR(IF(B291="","",INDEX(직원명부!$B$5:$B$24,MATCH(B291,직원명부!$A$5:$A$24,0))),"사번 확인")</f>
        <v/>
      </c>
      <c r="D291" s="19" t="n"/>
      <c r="E291" s="18" t="n"/>
      <c r="F291" s="28" t="n"/>
      <c r="G291" s="22" t="n"/>
      <c r="H291" s="18" t="n"/>
      <c r="I291" s="19" t="n"/>
    </row>
    <row r="292">
      <c r="A292" s="30">
        <f>IF(B292="","",COUNTA($B$5:$B292))</f>
        <v/>
      </c>
      <c r="B292" s="18" t="n"/>
      <c r="C292" s="25">
        <f>IFERROR(IF(B292="","",INDEX(직원명부!$B$5:$B$24,MATCH(B292,직원명부!$A$5:$A$24,0))),"사번 확인")</f>
        <v/>
      </c>
      <c r="D292" s="19" t="n"/>
      <c r="E292" s="18" t="n"/>
      <c r="F292" s="28" t="n"/>
      <c r="G292" s="22" t="n"/>
      <c r="H292" s="18" t="n"/>
      <c r="I292" s="19" t="n"/>
    </row>
    <row r="293">
      <c r="A293" s="30">
        <f>IF(B293="","",COUNTA($B$5:$B293))</f>
        <v/>
      </c>
      <c r="B293" s="18" t="n"/>
      <c r="C293" s="25">
        <f>IFERROR(IF(B293="","",INDEX(직원명부!$B$5:$B$24,MATCH(B293,직원명부!$A$5:$A$24,0))),"사번 확인")</f>
        <v/>
      </c>
      <c r="D293" s="19" t="n"/>
      <c r="E293" s="18" t="n"/>
      <c r="F293" s="28" t="n"/>
      <c r="G293" s="22" t="n"/>
      <c r="H293" s="18" t="n"/>
      <c r="I293" s="19" t="n"/>
    </row>
    <row r="294">
      <c r="A294" s="30">
        <f>IF(B294="","",COUNTA($B$5:$B294))</f>
        <v/>
      </c>
      <c r="B294" s="18" t="n"/>
      <c r="C294" s="25">
        <f>IFERROR(IF(B294="","",INDEX(직원명부!$B$5:$B$24,MATCH(B294,직원명부!$A$5:$A$24,0))),"사번 확인")</f>
        <v/>
      </c>
      <c r="D294" s="19" t="n"/>
      <c r="E294" s="18" t="n"/>
      <c r="F294" s="28" t="n"/>
      <c r="G294" s="22" t="n"/>
      <c r="H294" s="18" t="n"/>
      <c r="I294" s="19" t="n"/>
    </row>
    <row r="295">
      <c r="A295" s="30">
        <f>IF(B295="","",COUNTA($B$5:$B295))</f>
        <v/>
      </c>
      <c r="B295" s="18" t="n"/>
      <c r="C295" s="25">
        <f>IFERROR(IF(B295="","",INDEX(직원명부!$B$5:$B$24,MATCH(B295,직원명부!$A$5:$A$24,0))),"사번 확인")</f>
        <v/>
      </c>
      <c r="D295" s="19" t="n"/>
      <c r="E295" s="18" t="n"/>
      <c r="F295" s="28" t="n"/>
      <c r="G295" s="22" t="n"/>
      <c r="H295" s="18" t="n"/>
      <c r="I295" s="19" t="n"/>
    </row>
    <row r="296">
      <c r="A296" s="30">
        <f>IF(B296="","",COUNTA($B$5:$B296))</f>
        <v/>
      </c>
      <c r="B296" s="18" t="n"/>
      <c r="C296" s="25">
        <f>IFERROR(IF(B296="","",INDEX(직원명부!$B$5:$B$24,MATCH(B296,직원명부!$A$5:$A$24,0))),"사번 확인")</f>
        <v/>
      </c>
      <c r="D296" s="19" t="n"/>
      <c r="E296" s="18" t="n"/>
      <c r="F296" s="28" t="n"/>
      <c r="G296" s="22" t="n"/>
      <c r="H296" s="18" t="n"/>
      <c r="I296" s="19" t="n"/>
    </row>
    <row r="297">
      <c r="A297" s="30">
        <f>IF(B297="","",COUNTA($B$5:$B297))</f>
        <v/>
      </c>
      <c r="B297" s="18" t="n"/>
      <c r="C297" s="25">
        <f>IFERROR(IF(B297="","",INDEX(직원명부!$B$5:$B$24,MATCH(B297,직원명부!$A$5:$A$24,0))),"사번 확인")</f>
        <v/>
      </c>
      <c r="D297" s="19" t="n"/>
      <c r="E297" s="18" t="n"/>
      <c r="F297" s="28" t="n"/>
      <c r="G297" s="22" t="n"/>
      <c r="H297" s="18" t="n"/>
      <c r="I297" s="19" t="n"/>
    </row>
    <row r="298">
      <c r="A298" s="30">
        <f>IF(B298="","",COUNTA($B$5:$B298))</f>
        <v/>
      </c>
      <c r="B298" s="18" t="n"/>
      <c r="C298" s="25">
        <f>IFERROR(IF(B298="","",INDEX(직원명부!$B$5:$B$24,MATCH(B298,직원명부!$A$5:$A$24,0))),"사번 확인")</f>
        <v/>
      </c>
      <c r="D298" s="19" t="n"/>
      <c r="E298" s="18" t="n"/>
      <c r="F298" s="28" t="n"/>
      <c r="G298" s="22" t="n"/>
      <c r="H298" s="18" t="n"/>
      <c r="I298" s="19" t="n"/>
    </row>
    <row r="299">
      <c r="A299" s="30">
        <f>IF(B299="","",COUNTA($B$5:$B299))</f>
        <v/>
      </c>
      <c r="B299" s="18" t="n"/>
      <c r="C299" s="25">
        <f>IFERROR(IF(B299="","",INDEX(직원명부!$B$5:$B$24,MATCH(B299,직원명부!$A$5:$A$24,0))),"사번 확인")</f>
        <v/>
      </c>
      <c r="D299" s="19" t="n"/>
      <c r="E299" s="18" t="n"/>
      <c r="F299" s="28" t="n"/>
      <c r="G299" s="22" t="n"/>
      <c r="H299" s="18" t="n"/>
      <c r="I299" s="19" t="n"/>
    </row>
    <row r="300">
      <c r="A300" s="30">
        <f>IF(B300="","",COUNTA($B$5:$B300))</f>
        <v/>
      </c>
      <c r="B300" s="18" t="n"/>
      <c r="C300" s="25">
        <f>IFERROR(IF(B300="","",INDEX(직원명부!$B$5:$B$24,MATCH(B300,직원명부!$A$5:$A$24,0))),"사번 확인")</f>
        <v/>
      </c>
      <c r="D300" s="19" t="n"/>
      <c r="E300" s="18" t="n"/>
      <c r="F300" s="28" t="n"/>
      <c r="G300" s="22" t="n"/>
      <c r="H300" s="18" t="n"/>
      <c r="I300" s="19" t="n"/>
    </row>
    <row r="301">
      <c r="A301" s="30">
        <f>IF(B301="","",COUNTA($B$5:$B301))</f>
        <v/>
      </c>
      <c r="B301" s="18" t="n"/>
      <c r="C301" s="25">
        <f>IFERROR(IF(B301="","",INDEX(직원명부!$B$5:$B$24,MATCH(B301,직원명부!$A$5:$A$24,0))),"사번 확인")</f>
        <v/>
      </c>
      <c r="D301" s="19" t="n"/>
      <c r="E301" s="18" t="n"/>
      <c r="F301" s="28" t="n"/>
      <c r="G301" s="22" t="n"/>
      <c r="H301" s="18" t="n"/>
      <c r="I301" s="19" t="n"/>
    </row>
    <row r="302">
      <c r="A302" s="30">
        <f>IF(B302="","",COUNTA($B$5:$B302))</f>
        <v/>
      </c>
      <c r="B302" s="18" t="n"/>
      <c r="C302" s="25">
        <f>IFERROR(IF(B302="","",INDEX(직원명부!$B$5:$B$24,MATCH(B302,직원명부!$A$5:$A$24,0))),"사번 확인")</f>
        <v/>
      </c>
      <c r="D302" s="19" t="n"/>
      <c r="E302" s="18" t="n"/>
      <c r="F302" s="28" t="n"/>
      <c r="G302" s="22" t="n"/>
      <c r="H302" s="18" t="n"/>
      <c r="I302" s="19" t="n"/>
    </row>
    <row r="303">
      <c r="A303" s="30">
        <f>IF(B303="","",COUNTA($B$5:$B303))</f>
        <v/>
      </c>
      <c r="B303" s="18" t="n"/>
      <c r="C303" s="25">
        <f>IFERROR(IF(B303="","",INDEX(직원명부!$B$5:$B$24,MATCH(B303,직원명부!$A$5:$A$24,0))),"사번 확인")</f>
        <v/>
      </c>
      <c r="D303" s="19" t="n"/>
      <c r="E303" s="18" t="n"/>
      <c r="F303" s="28" t="n"/>
      <c r="G303" s="22" t="n"/>
      <c r="H303" s="18" t="n"/>
      <c r="I303" s="19" t="n"/>
    </row>
    <row r="304">
      <c r="A304" s="30">
        <f>IF(B304="","",COUNTA($B$5:$B304))</f>
        <v/>
      </c>
      <c r="B304" s="18" t="n"/>
      <c r="C304" s="25">
        <f>IFERROR(IF(B304="","",INDEX(직원명부!$B$5:$B$24,MATCH(B304,직원명부!$A$5:$A$24,0))),"사번 확인")</f>
        <v/>
      </c>
      <c r="D304" s="19" t="n"/>
      <c r="E304" s="18" t="n"/>
      <c r="F304" s="28" t="n"/>
      <c r="G304" s="22" t="n"/>
      <c r="H304" s="18" t="n"/>
      <c r="I304" s="19" t="n"/>
    </row>
    <row r="305">
      <c r="A305" s="30">
        <f>IF(B305="","",COUNTA($B$5:$B305))</f>
        <v/>
      </c>
      <c r="B305" s="18" t="n"/>
      <c r="C305" s="25">
        <f>IFERROR(IF(B305="","",INDEX(직원명부!$B$5:$B$24,MATCH(B305,직원명부!$A$5:$A$24,0))),"사번 확인")</f>
        <v/>
      </c>
      <c r="D305" s="19" t="n"/>
      <c r="E305" s="18" t="n"/>
      <c r="F305" s="28" t="n"/>
      <c r="G305" s="22" t="n"/>
      <c r="H305" s="18" t="n"/>
      <c r="I305" s="19" t="n"/>
    </row>
    <row r="306">
      <c r="A306" s="30">
        <f>IF(B306="","",COUNTA($B$5:$B306))</f>
        <v/>
      </c>
      <c r="B306" s="18" t="n"/>
      <c r="C306" s="25">
        <f>IFERROR(IF(B306="","",INDEX(직원명부!$B$5:$B$24,MATCH(B306,직원명부!$A$5:$A$24,0))),"사번 확인")</f>
        <v/>
      </c>
      <c r="D306" s="19" t="n"/>
      <c r="E306" s="18" t="n"/>
      <c r="F306" s="28" t="n"/>
      <c r="G306" s="22" t="n"/>
      <c r="H306" s="18" t="n"/>
      <c r="I306" s="19" t="n"/>
    </row>
    <row r="307">
      <c r="A307" s="30">
        <f>IF(B307="","",COUNTA($B$5:$B307))</f>
        <v/>
      </c>
      <c r="B307" s="18" t="n"/>
      <c r="C307" s="25">
        <f>IFERROR(IF(B307="","",INDEX(직원명부!$B$5:$B$24,MATCH(B307,직원명부!$A$5:$A$24,0))),"사번 확인")</f>
        <v/>
      </c>
      <c r="D307" s="19" t="n"/>
      <c r="E307" s="18" t="n"/>
      <c r="F307" s="28" t="n"/>
      <c r="G307" s="22" t="n"/>
      <c r="H307" s="18" t="n"/>
      <c r="I307" s="19" t="n"/>
    </row>
    <row r="308">
      <c r="A308" s="30">
        <f>IF(B308="","",COUNTA($B$5:$B308))</f>
        <v/>
      </c>
      <c r="B308" s="18" t="n"/>
      <c r="C308" s="25">
        <f>IFERROR(IF(B308="","",INDEX(직원명부!$B$5:$B$24,MATCH(B308,직원명부!$A$5:$A$24,0))),"사번 확인")</f>
        <v/>
      </c>
      <c r="D308" s="19" t="n"/>
      <c r="E308" s="18" t="n"/>
      <c r="F308" s="28" t="n"/>
      <c r="G308" s="22" t="n"/>
      <c r="H308" s="18" t="n"/>
      <c r="I308" s="19" t="n"/>
    </row>
    <row r="309">
      <c r="A309" s="30">
        <f>IF(B309="","",COUNTA($B$5:$B309))</f>
        <v/>
      </c>
      <c r="B309" s="18" t="n"/>
      <c r="C309" s="25">
        <f>IFERROR(IF(B309="","",INDEX(직원명부!$B$5:$B$24,MATCH(B309,직원명부!$A$5:$A$24,0))),"사번 확인")</f>
        <v/>
      </c>
      <c r="D309" s="19" t="n"/>
      <c r="E309" s="18" t="n"/>
      <c r="F309" s="28" t="n"/>
      <c r="G309" s="22" t="n"/>
      <c r="H309" s="18" t="n"/>
      <c r="I309" s="19" t="n"/>
    </row>
    <row r="310">
      <c r="A310" s="30">
        <f>IF(B310="","",COUNTA($B$5:$B310))</f>
        <v/>
      </c>
      <c r="B310" s="18" t="n"/>
      <c r="C310" s="25">
        <f>IFERROR(IF(B310="","",INDEX(직원명부!$B$5:$B$24,MATCH(B310,직원명부!$A$5:$A$24,0))),"사번 확인")</f>
        <v/>
      </c>
      <c r="D310" s="19" t="n"/>
      <c r="E310" s="18" t="n"/>
      <c r="F310" s="28" t="n"/>
      <c r="G310" s="22" t="n"/>
      <c r="H310" s="18" t="n"/>
      <c r="I310" s="19" t="n"/>
    </row>
    <row r="311">
      <c r="A311" s="30">
        <f>IF(B311="","",COUNTA($B$5:$B311))</f>
        <v/>
      </c>
      <c r="B311" s="18" t="n"/>
      <c r="C311" s="25">
        <f>IFERROR(IF(B311="","",INDEX(직원명부!$B$5:$B$24,MATCH(B311,직원명부!$A$5:$A$24,0))),"사번 확인")</f>
        <v/>
      </c>
      <c r="D311" s="19" t="n"/>
      <c r="E311" s="18" t="n"/>
      <c r="F311" s="28" t="n"/>
      <c r="G311" s="22" t="n"/>
      <c r="H311" s="18" t="n"/>
      <c r="I311" s="19" t="n"/>
    </row>
    <row r="312">
      <c r="A312" s="30">
        <f>IF(B312="","",COUNTA($B$5:$B312))</f>
        <v/>
      </c>
      <c r="B312" s="18" t="n"/>
      <c r="C312" s="25">
        <f>IFERROR(IF(B312="","",INDEX(직원명부!$B$5:$B$24,MATCH(B312,직원명부!$A$5:$A$24,0))),"사번 확인")</f>
        <v/>
      </c>
      <c r="D312" s="19" t="n"/>
      <c r="E312" s="18" t="n"/>
      <c r="F312" s="28" t="n"/>
      <c r="G312" s="22" t="n"/>
      <c r="H312" s="18" t="n"/>
      <c r="I312" s="19" t="n"/>
    </row>
    <row r="313">
      <c r="A313" s="30">
        <f>IF(B313="","",COUNTA($B$5:$B313))</f>
        <v/>
      </c>
      <c r="B313" s="18" t="n"/>
      <c r="C313" s="25">
        <f>IFERROR(IF(B313="","",INDEX(직원명부!$B$5:$B$24,MATCH(B313,직원명부!$A$5:$A$24,0))),"사번 확인")</f>
        <v/>
      </c>
      <c r="D313" s="19" t="n"/>
      <c r="E313" s="18" t="n"/>
      <c r="F313" s="28" t="n"/>
      <c r="G313" s="22" t="n"/>
      <c r="H313" s="18" t="n"/>
      <c r="I313" s="19" t="n"/>
    </row>
    <row r="314">
      <c r="A314" s="30">
        <f>IF(B314="","",COUNTA($B$5:$B314))</f>
        <v/>
      </c>
      <c r="B314" s="18" t="n"/>
      <c r="C314" s="25">
        <f>IFERROR(IF(B314="","",INDEX(직원명부!$B$5:$B$24,MATCH(B314,직원명부!$A$5:$A$24,0))),"사번 확인")</f>
        <v/>
      </c>
      <c r="D314" s="19" t="n"/>
      <c r="E314" s="18" t="n"/>
      <c r="F314" s="28" t="n"/>
      <c r="G314" s="22" t="n"/>
      <c r="H314" s="18" t="n"/>
      <c r="I314" s="19" t="n"/>
    </row>
    <row r="315">
      <c r="A315" s="30">
        <f>IF(B315="","",COUNTA($B$5:$B315))</f>
        <v/>
      </c>
      <c r="B315" s="18" t="n"/>
      <c r="C315" s="25">
        <f>IFERROR(IF(B315="","",INDEX(직원명부!$B$5:$B$24,MATCH(B315,직원명부!$A$5:$A$24,0))),"사번 확인")</f>
        <v/>
      </c>
      <c r="D315" s="19" t="n"/>
      <c r="E315" s="18" t="n"/>
      <c r="F315" s="28" t="n"/>
      <c r="G315" s="22" t="n"/>
      <c r="H315" s="18" t="n"/>
      <c r="I315" s="19" t="n"/>
    </row>
    <row r="316">
      <c r="A316" s="30">
        <f>IF(B316="","",COUNTA($B$5:$B316))</f>
        <v/>
      </c>
      <c r="B316" s="18" t="n"/>
      <c r="C316" s="25">
        <f>IFERROR(IF(B316="","",INDEX(직원명부!$B$5:$B$24,MATCH(B316,직원명부!$A$5:$A$24,0))),"사번 확인")</f>
        <v/>
      </c>
      <c r="D316" s="19" t="n"/>
      <c r="E316" s="18" t="n"/>
      <c r="F316" s="28" t="n"/>
      <c r="G316" s="22" t="n"/>
      <c r="H316" s="18" t="n"/>
      <c r="I316" s="19" t="n"/>
    </row>
    <row r="317">
      <c r="A317" s="30">
        <f>IF(B317="","",COUNTA($B$5:$B317))</f>
        <v/>
      </c>
      <c r="B317" s="18" t="n"/>
      <c r="C317" s="25">
        <f>IFERROR(IF(B317="","",INDEX(직원명부!$B$5:$B$24,MATCH(B317,직원명부!$A$5:$A$24,0))),"사번 확인")</f>
        <v/>
      </c>
      <c r="D317" s="19" t="n"/>
      <c r="E317" s="18" t="n"/>
      <c r="F317" s="28" t="n"/>
      <c r="G317" s="22" t="n"/>
      <c r="H317" s="18" t="n"/>
      <c r="I317" s="19" t="n"/>
    </row>
    <row r="318">
      <c r="A318" s="30">
        <f>IF(B318="","",COUNTA($B$5:$B318))</f>
        <v/>
      </c>
      <c r="B318" s="18" t="n"/>
      <c r="C318" s="25">
        <f>IFERROR(IF(B318="","",INDEX(직원명부!$B$5:$B$24,MATCH(B318,직원명부!$A$5:$A$24,0))),"사번 확인")</f>
        <v/>
      </c>
      <c r="D318" s="19" t="n"/>
      <c r="E318" s="18" t="n"/>
      <c r="F318" s="28" t="n"/>
      <c r="G318" s="22" t="n"/>
      <c r="H318" s="18" t="n"/>
      <c r="I318" s="19" t="n"/>
    </row>
    <row r="319">
      <c r="A319" s="30">
        <f>IF(B319="","",COUNTA($B$5:$B319))</f>
        <v/>
      </c>
      <c r="B319" s="18" t="n"/>
      <c r="C319" s="25">
        <f>IFERROR(IF(B319="","",INDEX(직원명부!$B$5:$B$24,MATCH(B319,직원명부!$A$5:$A$24,0))),"사번 확인")</f>
        <v/>
      </c>
      <c r="D319" s="19" t="n"/>
      <c r="E319" s="18" t="n"/>
      <c r="F319" s="28" t="n"/>
      <c r="G319" s="22" t="n"/>
      <c r="H319" s="18" t="n"/>
      <c r="I319" s="19" t="n"/>
    </row>
    <row r="320">
      <c r="A320" s="30">
        <f>IF(B320="","",COUNTA($B$5:$B320))</f>
        <v/>
      </c>
      <c r="B320" s="18" t="n"/>
      <c r="C320" s="25">
        <f>IFERROR(IF(B320="","",INDEX(직원명부!$B$5:$B$24,MATCH(B320,직원명부!$A$5:$A$24,0))),"사번 확인")</f>
        <v/>
      </c>
      <c r="D320" s="19" t="n"/>
      <c r="E320" s="18" t="n"/>
      <c r="F320" s="28" t="n"/>
      <c r="G320" s="22" t="n"/>
      <c r="H320" s="18" t="n"/>
      <c r="I320" s="19" t="n"/>
    </row>
    <row r="321">
      <c r="A321" s="30">
        <f>IF(B321="","",COUNTA($B$5:$B321))</f>
        <v/>
      </c>
      <c r="B321" s="18" t="n"/>
      <c r="C321" s="25">
        <f>IFERROR(IF(B321="","",INDEX(직원명부!$B$5:$B$24,MATCH(B321,직원명부!$A$5:$A$24,0))),"사번 확인")</f>
        <v/>
      </c>
      <c r="D321" s="19" t="n"/>
      <c r="E321" s="18" t="n"/>
      <c r="F321" s="28" t="n"/>
      <c r="G321" s="22" t="n"/>
      <c r="H321" s="18" t="n"/>
      <c r="I321" s="19" t="n"/>
    </row>
    <row r="322">
      <c r="A322" s="30">
        <f>IF(B322="","",COUNTA($B$5:$B322))</f>
        <v/>
      </c>
      <c r="B322" s="18" t="n"/>
      <c r="C322" s="25">
        <f>IFERROR(IF(B322="","",INDEX(직원명부!$B$5:$B$24,MATCH(B322,직원명부!$A$5:$A$24,0))),"사번 확인")</f>
        <v/>
      </c>
      <c r="D322" s="19" t="n"/>
      <c r="E322" s="18" t="n"/>
      <c r="F322" s="28" t="n"/>
      <c r="G322" s="22" t="n"/>
      <c r="H322" s="18" t="n"/>
      <c r="I322" s="19" t="n"/>
    </row>
    <row r="323">
      <c r="A323" s="30">
        <f>IF(B323="","",COUNTA($B$5:$B323))</f>
        <v/>
      </c>
      <c r="B323" s="18" t="n"/>
      <c r="C323" s="25">
        <f>IFERROR(IF(B323="","",INDEX(직원명부!$B$5:$B$24,MATCH(B323,직원명부!$A$5:$A$24,0))),"사번 확인")</f>
        <v/>
      </c>
      <c r="D323" s="19" t="n"/>
      <c r="E323" s="18" t="n"/>
      <c r="F323" s="28" t="n"/>
      <c r="G323" s="22" t="n"/>
      <c r="H323" s="18" t="n"/>
      <c r="I323" s="19" t="n"/>
    </row>
    <row r="324">
      <c r="A324" s="30">
        <f>IF(B324="","",COUNTA($B$5:$B324))</f>
        <v/>
      </c>
      <c r="B324" s="18" t="n"/>
      <c r="C324" s="25">
        <f>IFERROR(IF(B324="","",INDEX(직원명부!$B$5:$B$24,MATCH(B324,직원명부!$A$5:$A$24,0))),"사번 확인")</f>
        <v/>
      </c>
      <c r="D324" s="19" t="n"/>
      <c r="E324" s="18" t="n"/>
      <c r="F324" s="28" t="n"/>
      <c r="G324" s="22" t="n"/>
      <c r="H324" s="18" t="n"/>
      <c r="I324" s="19" t="n"/>
    </row>
    <row r="325">
      <c r="A325" s="30">
        <f>IF(B325="","",COUNTA($B$5:$B325))</f>
        <v/>
      </c>
      <c r="B325" s="18" t="n"/>
      <c r="C325" s="25">
        <f>IFERROR(IF(B325="","",INDEX(직원명부!$B$5:$B$24,MATCH(B325,직원명부!$A$5:$A$24,0))),"사번 확인")</f>
        <v/>
      </c>
      <c r="D325" s="19" t="n"/>
      <c r="E325" s="18" t="n"/>
      <c r="F325" s="28" t="n"/>
      <c r="G325" s="22" t="n"/>
      <c r="H325" s="18" t="n"/>
      <c r="I325" s="19" t="n"/>
    </row>
    <row r="326">
      <c r="A326" s="30">
        <f>IF(B326="","",COUNTA($B$5:$B326))</f>
        <v/>
      </c>
      <c r="B326" s="18" t="n"/>
      <c r="C326" s="25">
        <f>IFERROR(IF(B326="","",INDEX(직원명부!$B$5:$B$24,MATCH(B326,직원명부!$A$5:$A$24,0))),"사번 확인")</f>
        <v/>
      </c>
      <c r="D326" s="19" t="n"/>
      <c r="E326" s="18" t="n"/>
      <c r="F326" s="28" t="n"/>
      <c r="G326" s="22" t="n"/>
      <c r="H326" s="18" t="n"/>
      <c r="I326" s="19" t="n"/>
    </row>
    <row r="327">
      <c r="A327" s="30">
        <f>IF(B327="","",COUNTA($B$5:$B327))</f>
        <v/>
      </c>
      <c r="B327" s="18" t="n"/>
      <c r="C327" s="25">
        <f>IFERROR(IF(B327="","",INDEX(직원명부!$B$5:$B$24,MATCH(B327,직원명부!$A$5:$A$24,0))),"사번 확인")</f>
        <v/>
      </c>
      <c r="D327" s="19" t="n"/>
      <c r="E327" s="18" t="n"/>
      <c r="F327" s="28" t="n"/>
      <c r="G327" s="22" t="n"/>
      <c r="H327" s="18" t="n"/>
      <c r="I327" s="19" t="n"/>
    </row>
    <row r="328">
      <c r="A328" s="30">
        <f>IF(B328="","",COUNTA($B$5:$B328))</f>
        <v/>
      </c>
      <c r="B328" s="18" t="n"/>
      <c r="C328" s="25">
        <f>IFERROR(IF(B328="","",INDEX(직원명부!$B$5:$B$24,MATCH(B328,직원명부!$A$5:$A$24,0))),"사번 확인")</f>
        <v/>
      </c>
      <c r="D328" s="19" t="n"/>
      <c r="E328" s="18" t="n"/>
      <c r="F328" s="28" t="n"/>
      <c r="G328" s="22" t="n"/>
      <c r="H328" s="18" t="n"/>
      <c r="I328" s="19" t="n"/>
    </row>
    <row r="329">
      <c r="A329" s="30">
        <f>IF(B329="","",COUNTA($B$5:$B329))</f>
        <v/>
      </c>
      <c r="B329" s="18" t="n"/>
      <c r="C329" s="25">
        <f>IFERROR(IF(B329="","",INDEX(직원명부!$B$5:$B$24,MATCH(B329,직원명부!$A$5:$A$24,0))),"사번 확인")</f>
        <v/>
      </c>
      <c r="D329" s="19" t="n"/>
      <c r="E329" s="18" t="n"/>
      <c r="F329" s="28" t="n"/>
      <c r="G329" s="22" t="n"/>
      <c r="H329" s="18" t="n"/>
      <c r="I329" s="19" t="n"/>
    </row>
    <row r="330">
      <c r="A330" s="30">
        <f>IF(B330="","",COUNTA($B$5:$B330))</f>
        <v/>
      </c>
      <c r="B330" s="18" t="n"/>
      <c r="C330" s="25">
        <f>IFERROR(IF(B330="","",INDEX(직원명부!$B$5:$B$24,MATCH(B330,직원명부!$A$5:$A$24,0))),"사번 확인")</f>
        <v/>
      </c>
      <c r="D330" s="19" t="n"/>
      <c r="E330" s="18" t="n"/>
      <c r="F330" s="28" t="n"/>
      <c r="G330" s="22" t="n"/>
      <c r="H330" s="18" t="n"/>
      <c r="I330" s="19" t="n"/>
    </row>
    <row r="331">
      <c r="A331" s="30">
        <f>IF(B331="","",COUNTA($B$5:$B331))</f>
        <v/>
      </c>
      <c r="B331" s="18" t="n"/>
      <c r="C331" s="25">
        <f>IFERROR(IF(B331="","",INDEX(직원명부!$B$5:$B$24,MATCH(B331,직원명부!$A$5:$A$24,0))),"사번 확인")</f>
        <v/>
      </c>
      <c r="D331" s="19" t="n"/>
      <c r="E331" s="18" t="n"/>
      <c r="F331" s="28" t="n"/>
      <c r="G331" s="22" t="n"/>
      <c r="H331" s="18" t="n"/>
      <c r="I331" s="19" t="n"/>
    </row>
    <row r="332">
      <c r="A332" s="30">
        <f>IF(B332="","",COUNTA($B$5:$B332))</f>
        <v/>
      </c>
      <c r="B332" s="18" t="n"/>
      <c r="C332" s="25">
        <f>IFERROR(IF(B332="","",INDEX(직원명부!$B$5:$B$24,MATCH(B332,직원명부!$A$5:$A$24,0))),"사번 확인")</f>
        <v/>
      </c>
      <c r="D332" s="19" t="n"/>
      <c r="E332" s="18" t="n"/>
      <c r="F332" s="28" t="n"/>
      <c r="G332" s="22" t="n"/>
      <c r="H332" s="18" t="n"/>
      <c r="I332" s="19" t="n"/>
    </row>
    <row r="333">
      <c r="A333" s="30">
        <f>IF(B333="","",COUNTA($B$5:$B333))</f>
        <v/>
      </c>
      <c r="B333" s="18" t="n"/>
      <c r="C333" s="25">
        <f>IFERROR(IF(B333="","",INDEX(직원명부!$B$5:$B$24,MATCH(B333,직원명부!$A$5:$A$24,0))),"사번 확인")</f>
        <v/>
      </c>
      <c r="D333" s="19" t="n"/>
      <c r="E333" s="18" t="n"/>
      <c r="F333" s="28" t="n"/>
      <c r="G333" s="22" t="n"/>
      <c r="H333" s="18" t="n"/>
      <c r="I333" s="19" t="n"/>
    </row>
    <row r="334">
      <c r="A334" s="30">
        <f>IF(B334="","",COUNTA($B$5:$B334))</f>
        <v/>
      </c>
      <c r="B334" s="18" t="n"/>
      <c r="C334" s="25">
        <f>IFERROR(IF(B334="","",INDEX(직원명부!$B$5:$B$24,MATCH(B334,직원명부!$A$5:$A$24,0))),"사번 확인")</f>
        <v/>
      </c>
      <c r="D334" s="19" t="n"/>
      <c r="E334" s="18" t="n"/>
      <c r="F334" s="28" t="n"/>
      <c r="G334" s="22" t="n"/>
      <c r="H334" s="18" t="n"/>
      <c r="I334" s="19" t="n"/>
    </row>
    <row r="335">
      <c r="A335" s="30">
        <f>IF(B335="","",COUNTA($B$5:$B335))</f>
        <v/>
      </c>
      <c r="B335" s="18" t="n"/>
      <c r="C335" s="25">
        <f>IFERROR(IF(B335="","",INDEX(직원명부!$B$5:$B$24,MATCH(B335,직원명부!$A$5:$A$24,0))),"사번 확인")</f>
        <v/>
      </c>
      <c r="D335" s="19" t="n"/>
      <c r="E335" s="18" t="n"/>
      <c r="F335" s="28" t="n"/>
      <c r="G335" s="22" t="n"/>
      <c r="H335" s="18" t="n"/>
      <c r="I335" s="19" t="n"/>
    </row>
    <row r="336">
      <c r="A336" s="30">
        <f>IF(B336="","",COUNTA($B$5:$B336))</f>
        <v/>
      </c>
      <c r="B336" s="18" t="n"/>
      <c r="C336" s="25">
        <f>IFERROR(IF(B336="","",INDEX(직원명부!$B$5:$B$24,MATCH(B336,직원명부!$A$5:$A$24,0))),"사번 확인")</f>
        <v/>
      </c>
      <c r="D336" s="19" t="n"/>
      <c r="E336" s="18" t="n"/>
      <c r="F336" s="28" t="n"/>
      <c r="G336" s="22" t="n"/>
      <c r="H336" s="18" t="n"/>
      <c r="I336" s="19" t="n"/>
    </row>
    <row r="337">
      <c r="A337" s="30">
        <f>IF(B337="","",COUNTA($B$5:$B337))</f>
        <v/>
      </c>
      <c r="B337" s="18" t="n"/>
      <c r="C337" s="25">
        <f>IFERROR(IF(B337="","",INDEX(직원명부!$B$5:$B$24,MATCH(B337,직원명부!$A$5:$A$24,0))),"사번 확인")</f>
        <v/>
      </c>
      <c r="D337" s="19" t="n"/>
      <c r="E337" s="18" t="n"/>
      <c r="F337" s="28" t="n"/>
      <c r="G337" s="22" t="n"/>
      <c r="H337" s="18" t="n"/>
      <c r="I337" s="19" t="n"/>
    </row>
    <row r="338">
      <c r="A338" s="30">
        <f>IF(B338="","",COUNTA($B$5:$B338))</f>
        <v/>
      </c>
      <c r="B338" s="18" t="n"/>
      <c r="C338" s="25">
        <f>IFERROR(IF(B338="","",INDEX(직원명부!$B$5:$B$24,MATCH(B338,직원명부!$A$5:$A$24,0))),"사번 확인")</f>
        <v/>
      </c>
      <c r="D338" s="19" t="n"/>
      <c r="E338" s="18" t="n"/>
      <c r="F338" s="28" t="n"/>
      <c r="G338" s="22" t="n"/>
      <c r="H338" s="18" t="n"/>
      <c r="I338" s="19" t="n"/>
    </row>
    <row r="339">
      <c r="A339" s="30">
        <f>IF(B339="","",COUNTA($B$5:$B339))</f>
        <v/>
      </c>
      <c r="B339" s="18" t="n"/>
      <c r="C339" s="25">
        <f>IFERROR(IF(B339="","",INDEX(직원명부!$B$5:$B$24,MATCH(B339,직원명부!$A$5:$A$24,0))),"사번 확인")</f>
        <v/>
      </c>
      <c r="D339" s="19" t="n"/>
      <c r="E339" s="18" t="n"/>
      <c r="F339" s="28" t="n"/>
      <c r="G339" s="22" t="n"/>
      <c r="H339" s="18" t="n"/>
      <c r="I339" s="19" t="n"/>
    </row>
    <row r="340">
      <c r="A340" s="30">
        <f>IF(B340="","",COUNTA($B$5:$B340))</f>
        <v/>
      </c>
      <c r="B340" s="18" t="n"/>
      <c r="C340" s="25">
        <f>IFERROR(IF(B340="","",INDEX(직원명부!$B$5:$B$24,MATCH(B340,직원명부!$A$5:$A$24,0))),"사번 확인")</f>
        <v/>
      </c>
      <c r="D340" s="19" t="n"/>
      <c r="E340" s="18" t="n"/>
      <c r="F340" s="28" t="n"/>
      <c r="G340" s="22" t="n"/>
      <c r="H340" s="18" t="n"/>
      <c r="I340" s="19" t="n"/>
    </row>
    <row r="341">
      <c r="A341" s="30">
        <f>IF(B341="","",COUNTA($B$5:$B341))</f>
        <v/>
      </c>
      <c r="B341" s="18" t="n"/>
      <c r="C341" s="25">
        <f>IFERROR(IF(B341="","",INDEX(직원명부!$B$5:$B$24,MATCH(B341,직원명부!$A$5:$A$24,0))),"사번 확인")</f>
        <v/>
      </c>
      <c r="D341" s="19" t="n"/>
      <c r="E341" s="18" t="n"/>
      <c r="F341" s="28" t="n"/>
      <c r="G341" s="22" t="n"/>
      <c r="H341" s="18" t="n"/>
      <c r="I341" s="19" t="n"/>
    </row>
    <row r="342">
      <c r="A342" s="30">
        <f>IF(B342="","",COUNTA($B$5:$B342))</f>
        <v/>
      </c>
      <c r="B342" s="18" t="n"/>
      <c r="C342" s="25">
        <f>IFERROR(IF(B342="","",INDEX(직원명부!$B$5:$B$24,MATCH(B342,직원명부!$A$5:$A$24,0))),"사번 확인")</f>
        <v/>
      </c>
      <c r="D342" s="19" t="n"/>
      <c r="E342" s="18" t="n"/>
      <c r="F342" s="28" t="n"/>
      <c r="G342" s="22" t="n"/>
      <c r="H342" s="18" t="n"/>
      <c r="I342" s="19" t="n"/>
    </row>
    <row r="343">
      <c r="A343" s="30">
        <f>IF(B343="","",COUNTA($B$5:$B343))</f>
        <v/>
      </c>
      <c r="B343" s="18" t="n"/>
      <c r="C343" s="25">
        <f>IFERROR(IF(B343="","",INDEX(직원명부!$B$5:$B$24,MATCH(B343,직원명부!$A$5:$A$24,0))),"사번 확인")</f>
        <v/>
      </c>
      <c r="D343" s="19" t="n"/>
      <c r="E343" s="18" t="n"/>
      <c r="F343" s="28" t="n"/>
      <c r="G343" s="22" t="n"/>
      <c r="H343" s="18" t="n"/>
      <c r="I343" s="19" t="n"/>
    </row>
    <row r="344">
      <c r="A344" s="30">
        <f>IF(B344="","",COUNTA($B$5:$B344))</f>
        <v/>
      </c>
      <c r="B344" s="18" t="n"/>
      <c r="C344" s="25">
        <f>IFERROR(IF(B344="","",INDEX(직원명부!$B$5:$B$24,MATCH(B344,직원명부!$A$5:$A$24,0))),"사번 확인")</f>
        <v/>
      </c>
      <c r="D344" s="19" t="n"/>
      <c r="E344" s="18" t="n"/>
      <c r="F344" s="28" t="n"/>
      <c r="G344" s="22" t="n"/>
      <c r="H344" s="18" t="n"/>
      <c r="I344" s="19" t="n"/>
    </row>
    <row r="345">
      <c r="A345" s="30">
        <f>IF(B345="","",COUNTA($B$5:$B345))</f>
        <v/>
      </c>
      <c r="B345" s="18" t="n"/>
      <c r="C345" s="25">
        <f>IFERROR(IF(B345="","",INDEX(직원명부!$B$5:$B$24,MATCH(B345,직원명부!$A$5:$A$24,0))),"사번 확인")</f>
        <v/>
      </c>
      <c r="D345" s="19" t="n"/>
      <c r="E345" s="18" t="n"/>
      <c r="F345" s="28" t="n"/>
      <c r="G345" s="22" t="n"/>
      <c r="H345" s="18" t="n"/>
      <c r="I345" s="19" t="n"/>
    </row>
    <row r="346">
      <c r="A346" s="30">
        <f>IF(B346="","",COUNTA($B$5:$B346))</f>
        <v/>
      </c>
      <c r="B346" s="18" t="n"/>
      <c r="C346" s="25">
        <f>IFERROR(IF(B346="","",INDEX(직원명부!$B$5:$B$24,MATCH(B346,직원명부!$A$5:$A$24,0))),"사번 확인")</f>
        <v/>
      </c>
      <c r="D346" s="19" t="n"/>
      <c r="E346" s="18" t="n"/>
      <c r="F346" s="28" t="n"/>
      <c r="G346" s="22" t="n"/>
      <c r="H346" s="18" t="n"/>
      <c r="I346" s="19" t="n"/>
    </row>
    <row r="347">
      <c r="A347" s="30">
        <f>IF(B347="","",COUNTA($B$5:$B347))</f>
        <v/>
      </c>
      <c r="B347" s="18" t="n"/>
      <c r="C347" s="25">
        <f>IFERROR(IF(B347="","",INDEX(직원명부!$B$5:$B$24,MATCH(B347,직원명부!$A$5:$A$24,0))),"사번 확인")</f>
        <v/>
      </c>
      <c r="D347" s="19" t="n"/>
      <c r="E347" s="18" t="n"/>
      <c r="F347" s="28" t="n"/>
      <c r="G347" s="22" t="n"/>
      <c r="H347" s="18" t="n"/>
      <c r="I347" s="19" t="n"/>
    </row>
    <row r="348">
      <c r="A348" s="30">
        <f>IF(B348="","",COUNTA($B$5:$B348))</f>
        <v/>
      </c>
      <c r="B348" s="18" t="n"/>
      <c r="C348" s="25">
        <f>IFERROR(IF(B348="","",INDEX(직원명부!$B$5:$B$24,MATCH(B348,직원명부!$A$5:$A$24,0))),"사번 확인")</f>
        <v/>
      </c>
      <c r="D348" s="19" t="n"/>
      <c r="E348" s="18" t="n"/>
      <c r="F348" s="28" t="n"/>
      <c r="G348" s="22" t="n"/>
      <c r="H348" s="18" t="n"/>
      <c r="I348" s="19" t="n"/>
    </row>
    <row r="349">
      <c r="A349" s="30">
        <f>IF(B349="","",COUNTA($B$5:$B349))</f>
        <v/>
      </c>
      <c r="B349" s="18" t="n"/>
      <c r="C349" s="25">
        <f>IFERROR(IF(B349="","",INDEX(직원명부!$B$5:$B$24,MATCH(B349,직원명부!$A$5:$A$24,0))),"사번 확인")</f>
        <v/>
      </c>
      <c r="D349" s="19" t="n"/>
      <c r="E349" s="18" t="n"/>
      <c r="F349" s="28" t="n"/>
      <c r="G349" s="22" t="n"/>
      <c r="H349" s="18" t="n"/>
      <c r="I349" s="19" t="n"/>
    </row>
    <row r="350">
      <c r="A350" s="30">
        <f>IF(B350="","",COUNTA($B$5:$B350))</f>
        <v/>
      </c>
      <c r="B350" s="18" t="n"/>
      <c r="C350" s="25">
        <f>IFERROR(IF(B350="","",INDEX(직원명부!$B$5:$B$24,MATCH(B350,직원명부!$A$5:$A$24,0))),"사번 확인")</f>
        <v/>
      </c>
      <c r="D350" s="19" t="n"/>
      <c r="E350" s="18" t="n"/>
      <c r="F350" s="28" t="n"/>
      <c r="G350" s="22" t="n"/>
      <c r="H350" s="18" t="n"/>
      <c r="I350" s="19" t="n"/>
    </row>
    <row r="351">
      <c r="A351" s="30">
        <f>IF(B351="","",COUNTA($B$5:$B351))</f>
        <v/>
      </c>
      <c r="B351" s="18" t="n"/>
      <c r="C351" s="25">
        <f>IFERROR(IF(B351="","",INDEX(직원명부!$B$5:$B$24,MATCH(B351,직원명부!$A$5:$A$24,0))),"사번 확인")</f>
        <v/>
      </c>
      <c r="D351" s="19" t="n"/>
      <c r="E351" s="18" t="n"/>
      <c r="F351" s="28" t="n"/>
      <c r="G351" s="22" t="n"/>
      <c r="H351" s="18" t="n"/>
      <c r="I351" s="19" t="n"/>
    </row>
    <row r="352">
      <c r="A352" s="30">
        <f>IF(B352="","",COUNTA($B$5:$B352))</f>
        <v/>
      </c>
      <c r="B352" s="18" t="n"/>
      <c r="C352" s="25">
        <f>IFERROR(IF(B352="","",INDEX(직원명부!$B$5:$B$24,MATCH(B352,직원명부!$A$5:$A$24,0))),"사번 확인")</f>
        <v/>
      </c>
      <c r="D352" s="19" t="n"/>
      <c r="E352" s="18" t="n"/>
      <c r="F352" s="28" t="n"/>
      <c r="G352" s="22" t="n"/>
      <c r="H352" s="18" t="n"/>
      <c r="I352" s="19" t="n"/>
    </row>
    <row r="353">
      <c r="A353" s="30">
        <f>IF(B353="","",COUNTA($B$5:$B353))</f>
        <v/>
      </c>
      <c r="B353" s="18" t="n"/>
      <c r="C353" s="25">
        <f>IFERROR(IF(B353="","",INDEX(직원명부!$B$5:$B$24,MATCH(B353,직원명부!$A$5:$A$24,0))),"사번 확인")</f>
        <v/>
      </c>
      <c r="D353" s="19" t="n"/>
      <c r="E353" s="18" t="n"/>
      <c r="F353" s="28" t="n"/>
      <c r="G353" s="22" t="n"/>
      <c r="H353" s="18" t="n"/>
      <c r="I353" s="19" t="n"/>
    </row>
    <row r="354">
      <c r="A354" s="30">
        <f>IF(B354="","",COUNTA($B$5:$B354))</f>
        <v/>
      </c>
      <c r="B354" s="18" t="n"/>
      <c r="C354" s="25">
        <f>IFERROR(IF(B354="","",INDEX(직원명부!$B$5:$B$24,MATCH(B354,직원명부!$A$5:$A$24,0))),"사번 확인")</f>
        <v/>
      </c>
      <c r="D354" s="19" t="n"/>
      <c r="E354" s="18" t="n"/>
      <c r="F354" s="28" t="n"/>
      <c r="G354" s="22" t="n"/>
      <c r="H354" s="18" t="n"/>
      <c r="I354" s="19" t="n"/>
    </row>
    <row r="355">
      <c r="A355" s="30">
        <f>IF(B355="","",COUNTA($B$5:$B355))</f>
        <v/>
      </c>
      <c r="B355" s="18" t="n"/>
      <c r="C355" s="25">
        <f>IFERROR(IF(B355="","",INDEX(직원명부!$B$5:$B$24,MATCH(B355,직원명부!$A$5:$A$24,0))),"사번 확인")</f>
        <v/>
      </c>
      <c r="D355" s="19" t="n"/>
      <c r="E355" s="18" t="n"/>
      <c r="F355" s="28" t="n"/>
      <c r="G355" s="22" t="n"/>
      <c r="H355" s="18" t="n"/>
      <c r="I355" s="19" t="n"/>
    </row>
    <row r="356">
      <c r="A356" s="30">
        <f>IF(B356="","",COUNTA($B$5:$B356))</f>
        <v/>
      </c>
      <c r="B356" s="18" t="n"/>
      <c r="C356" s="25">
        <f>IFERROR(IF(B356="","",INDEX(직원명부!$B$5:$B$24,MATCH(B356,직원명부!$A$5:$A$24,0))),"사번 확인")</f>
        <v/>
      </c>
      <c r="D356" s="19" t="n"/>
      <c r="E356" s="18" t="n"/>
      <c r="F356" s="28" t="n"/>
      <c r="G356" s="22" t="n"/>
      <c r="H356" s="18" t="n"/>
      <c r="I356" s="19" t="n"/>
    </row>
    <row r="357">
      <c r="A357" s="30">
        <f>IF(B357="","",COUNTA($B$5:$B357))</f>
        <v/>
      </c>
      <c r="B357" s="18" t="n"/>
      <c r="C357" s="25">
        <f>IFERROR(IF(B357="","",INDEX(직원명부!$B$5:$B$24,MATCH(B357,직원명부!$A$5:$A$24,0))),"사번 확인")</f>
        <v/>
      </c>
      <c r="D357" s="19" t="n"/>
      <c r="E357" s="18" t="n"/>
      <c r="F357" s="28" t="n"/>
      <c r="G357" s="22" t="n"/>
      <c r="H357" s="18" t="n"/>
      <c r="I357" s="19" t="n"/>
    </row>
    <row r="358">
      <c r="A358" s="30">
        <f>IF(B358="","",COUNTA($B$5:$B358))</f>
        <v/>
      </c>
      <c r="B358" s="18" t="n"/>
      <c r="C358" s="25">
        <f>IFERROR(IF(B358="","",INDEX(직원명부!$B$5:$B$24,MATCH(B358,직원명부!$A$5:$A$24,0))),"사번 확인")</f>
        <v/>
      </c>
      <c r="D358" s="19" t="n"/>
      <c r="E358" s="18" t="n"/>
      <c r="F358" s="28" t="n"/>
      <c r="G358" s="22" t="n"/>
      <c r="H358" s="18" t="n"/>
      <c r="I358" s="19" t="n"/>
    </row>
    <row r="359">
      <c r="A359" s="30">
        <f>IF(B359="","",COUNTA($B$5:$B359))</f>
        <v/>
      </c>
      <c r="B359" s="18" t="n"/>
      <c r="C359" s="25">
        <f>IFERROR(IF(B359="","",INDEX(직원명부!$B$5:$B$24,MATCH(B359,직원명부!$A$5:$A$24,0))),"사번 확인")</f>
        <v/>
      </c>
      <c r="D359" s="19" t="n"/>
      <c r="E359" s="18" t="n"/>
      <c r="F359" s="28" t="n"/>
      <c r="G359" s="22" t="n"/>
      <c r="H359" s="18" t="n"/>
      <c r="I359" s="19" t="n"/>
    </row>
    <row r="360">
      <c r="A360" s="30">
        <f>IF(B360="","",COUNTA($B$5:$B360))</f>
        <v/>
      </c>
      <c r="B360" s="18" t="n"/>
      <c r="C360" s="25">
        <f>IFERROR(IF(B360="","",INDEX(직원명부!$B$5:$B$24,MATCH(B360,직원명부!$A$5:$A$24,0))),"사번 확인")</f>
        <v/>
      </c>
      <c r="D360" s="19" t="n"/>
      <c r="E360" s="18" t="n"/>
      <c r="F360" s="28" t="n"/>
      <c r="G360" s="22" t="n"/>
      <c r="H360" s="18" t="n"/>
      <c r="I360" s="19" t="n"/>
    </row>
    <row r="361">
      <c r="A361" s="30">
        <f>IF(B361="","",COUNTA($B$5:$B361))</f>
        <v/>
      </c>
      <c r="B361" s="18" t="n"/>
      <c r="C361" s="25">
        <f>IFERROR(IF(B361="","",INDEX(직원명부!$B$5:$B$24,MATCH(B361,직원명부!$A$5:$A$24,0))),"사번 확인")</f>
        <v/>
      </c>
      <c r="D361" s="19" t="n"/>
      <c r="E361" s="18" t="n"/>
      <c r="F361" s="28" t="n"/>
      <c r="G361" s="22" t="n"/>
      <c r="H361" s="18" t="n"/>
      <c r="I361" s="19" t="n"/>
    </row>
    <row r="362">
      <c r="A362" s="30">
        <f>IF(B362="","",COUNTA($B$5:$B362))</f>
        <v/>
      </c>
      <c r="B362" s="18" t="n"/>
      <c r="C362" s="25">
        <f>IFERROR(IF(B362="","",INDEX(직원명부!$B$5:$B$24,MATCH(B362,직원명부!$A$5:$A$24,0))),"사번 확인")</f>
        <v/>
      </c>
      <c r="D362" s="19" t="n"/>
      <c r="E362" s="18" t="n"/>
      <c r="F362" s="28" t="n"/>
      <c r="G362" s="22" t="n"/>
      <c r="H362" s="18" t="n"/>
      <c r="I362" s="19" t="n"/>
    </row>
    <row r="363">
      <c r="A363" s="30">
        <f>IF(B363="","",COUNTA($B$5:$B363))</f>
        <v/>
      </c>
      <c r="B363" s="18" t="n"/>
      <c r="C363" s="25">
        <f>IFERROR(IF(B363="","",INDEX(직원명부!$B$5:$B$24,MATCH(B363,직원명부!$A$5:$A$24,0))),"사번 확인")</f>
        <v/>
      </c>
      <c r="D363" s="19" t="n"/>
      <c r="E363" s="18" t="n"/>
      <c r="F363" s="28" t="n"/>
      <c r="G363" s="22" t="n"/>
      <c r="H363" s="18" t="n"/>
      <c r="I363" s="19" t="n"/>
    </row>
    <row r="364">
      <c r="A364" s="30">
        <f>IF(B364="","",COUNTA($B$5:$B364))</f>
        <v/>
      </c>
      <c r="B364" s="18" t="n"/>
      <c r="C364" s="25">
        <f>IFERROR(IF(B364="","",INDEX(직원명부!$B$5:$B$24,MATCH(B364,직원명부!$A$5:$A$24,0))),"사번 확인")</f>
        <v/>
      </c>
      <c r="D364" s="19" t="n"/>
      <c r="E364" s="18" t="n"/>
      <c r="F364" s="28" t="n"/>
      <c r="G364" s="22" t="n"/>
      <c r="H364" s="18" t="n"/>
      <c r="I364" s="19" t="n"/>
    </row>
    <row r="365">
      <c r="A365" s="30">
        <f>IF(B365="","",COUNTA($B$5:$B365))</f>
        <v/>
      </c>
      <c r="B365" s="18" t="n"/>
      <c r="C365" s="25">
        <f>IFERROR(IF(B365="","",INDEX(직원명부!$B$5:$B$24,MATCH(B365,직원명부!$A$5:$A$24,0))),"사번 확인")</f>
        <v/>
      </c>
      <c r="D365" s="19" t="n"/>
      <c r="E365" s="18" t="n"/>
      <c r="F365" s="28" t="n"/>
      <c r="G365" s="22" t="n"/>
      <c r="H365" s="18" t="n"/>
      <c r="I365" s="19" t="n"/>
    </row>
    <row r="366">
      <c r="A366" s="30">
        <f>IF(B366="","",COUNTA($B$5:$B366))</f>
        <v/>
      </c>
      <c r="B366" s="18" t="n"/>
      <c r="C366" s="25">
        <f>IFERROR(IF(B366="","",INDEX(직원명부!$B$5:$B$24,MATCH(B366,직원명부!$A$5:$A$24,0))),"사번 확인")</f>
        <v/>
      </c>
      <c r="D366" s="19" t="n"/>
      <c r="E366" s="18" t="n"/>
      <c r="F366" s="28" t="n"/>
      <c r="G366" s="22" t="n"/>
      <c r="H366" s="18" t="n"/>
      <c r="I366" s="19" t="n"/>
    </row>
    <row r="367">
      <c r="A367" s="30">
        <f>IF(B367="","",COUNTA($B$5:$B367))</f>
        <v/>
      </c>
      <c r="B367" s="18" t="n"/>
      <c r="C367" s="25">
        <f>IFERROR(IF(B367="","",INDEX(직원명부!$B$5:$B$24,MATCH(B367,직원명부!$A$5:$A$24,0))),"사번 확인")</f>
        <v/>
      </c>
      <c r="D367" s="19" t="n"/>
      <c r="E367" s="18" t="n"/>
      <c r="F367" s="28" t="n"/>
      <c r="G367" s="22" t="n"/>
      <c r="H367" s="18" t="n"/>
      <c r="I367" s="19" t="n"/>
    </row>
    <row r="368">
      <c r="A368" s="30">
        <f>IF(B368="","",COUNTA($B$5:$B368))</f>
        <v/>
      </c>
      <c r="B368" s="18" t="n"/>
      <c r="C368" s="25">
        <f>IFERROR(IF(B368="","",INDEX(직원명부!$B$5:$B$24,MATCH(B368,직원명부!$A$5:$A$24,0))),"사번 확인")</f>
        <v/>
      </c>
      <c r="D368" s="19" t="n"/>
      <c r="E368" s="18" t="n"/>
      <c r="F368" s="28" t="n"/>
      <c r="G368" s="22" t="n"/>
      <c r="H368" s="18" t="n"/>
      <c r="I368" s="19" t="n"/>
    </row>
    <row r="369">
      <c r="A369" s="30">
        <f>IF(B369="","",COUNTA($B$5:$B369))</f>
        <v/>
      </c>
      <c r="B369" s="18" t="n"/>
      <c r="C369" s="25">
        <f>IFERROR(IF(B369="","",INDEX(직원명부!$B$5:$B$24,MATCH(B369,직원명부!$A$5:$A$24,0))),"사번 확인")</f>
        <v/>
      </c>
      <c r="D369" s="19" t="n"/>
      <c r="E369" s="18" t="n"/>
      <c r="F369" s="28" t="n"/>
      <c r="G369" s="22" t="n"/>
      <c r="H369" s="18" t="n"/>
      <c r="I369" s="19" t="n"/>
    </row>
    <row r="370">
      <c r="A370" s="30">
        <f>IF(B370="","",COUNTA($B$5:$B370))</f>
        <v/>
      </c>
      <c r="B370" s="18" t="n"/>
      <c r="C370" s="25">
        <f>IFERROR(IF(B370="","",INDEX(직원명부!$B$5:$B$24,MATCH(B370,직원명부!$A$5:$A$24,0))),"사번 확인")</f>
        <v/>
      </c>
      <c r="D370" s="19" t="n"/>
      <c r="E370" s="18" t="n"/>
      <c r="F370" s="28" t="n"/>
      <c r="G370" s="22" t="n"/>
      <c r="H370" s="18" t="n"/>
      <c r="I370" s="19" t="n"/>
    </row>
    <row r="371">
      <c r="A371" s="30">
        <f>IF(B371="","",COUNTA($B$5:$B371))</f>
        <v/>
      </c>
      <c r="B371" s="18" t="n"/>
      <c r="C371" s="25">
        <f>IFERROR(IF(B371="","",INDEX(직원명부!$B$5:$B$24,MATCH(B371,직원명부!$A$5:$A$24,0))),"사번 확인")</f>
        <v/>
      </c>
      <c r="D371" s="19" t="n"/>
      <c r="E371" s="18" t="n"/>
      <c r="F371" s="28" t="n"/>
      <c r="G371" s="22" t="n"/>
      <c r="H371" s="18" t="n"/>
      <c r="I371" s="19" t="n"/>
    </row>
    <row r="372">
      <c r="A372" s="30">
        <f>IF(B372="","",COUNTA($B$5:$B372))</f>
        <v/>
      </c>
      <c r="B372" s="18" t="n"/>
      <c r="C372" s="25">
        <f>IFERROR(IF(B372="","",INDEX(직원명부!$B$5:$B$24,MATCH(B372,직원명부!$A$5:$A$24,0))),"사번 확인")</f>
        <v/>
      </c>
      <c r="D372" s="19" t="n"/>
      <c r="E372" s="18" t="n"/>
      <c r="F372" s="28" t="n"/>
      <c r="G372" s="22" t="n"/>
      <c r="H372" s="18" t="n"/>
      <c r="I372" s="19" t="n"/>
    </row>
    <row r="373">
      <c r="A373" s="30">
        <f>IF(B373="","",COUNTA($B$5:$B373))</f>
        <v/>
      </c>
      <c r="B373" s="18" t="n"/>
      <c r="C373" s="25">
        <f>IFERROR(IF(B373="","",INDEX(직원명부!$B$5:$B$24,MATCH(B373,직원명부!$A$5:$A$24,0))),"사번 확인")</f>
        <v/>
      </c>
      <c r="D373" s="19" t="n"/>
      <c r="E373" s="18" t="n"/>
      <c r="F373" s="28" t="n"/>
      <c r="G373" s="22" t="n"/>
      <c r="H373" s="18" t="n"/>
      <c r="I373" s="19" t="n"/>
    </row>
    <row r="374">
      <c r="A374" s="30">
        <f>IF(B374="","",COUNTA($B$5:$B374))</f>
        <v/>
      </c>
      <c r="B374" s="18" t="n"/>
      <c r="C374" s="25">
        <f>IFERROR(IF(B374="","",INDEX(직원명부!$B$5:$B$24,MATCH(B374,직원명부!$A$5:$A$24,0))),"사번 확인")</f>
        <v/>
      </c>
      <c r="D374" s="19" t="n"/>
      <c r="E374" s="18" t="n"/>
      <c r="F374" s="28" t="n"/>
      <c r="G374" s="22" t="n"/>
      <c r="H374" s="18" t="n"/>
      <c r="I374" s="19" t="n"/>
    </row>
    <row r="375">
      <c r="A375" s="30">
        <f>IF(B375="","",COUNTA($B$5:$B375))</f>
        <v/>
      </c>
      <c r="B375" s="18" t="n"/>
      <c r="C375" s="25">
        <f>IFERROR(IF(B375="","",INDEX(직원명부!$B$5:$B$24,MATCH(B375,직원명부!$A$5:$A$24,0))),"사번 확인")</f>
        <v/>
      </c>
      <c r="D375" s="19" t="n"/>
      <c r="E375" s="18" t="n"/>
      <c r="F375" s="28" t="n"/>
      <c r="G375" s="22" t="n"/>
      <c r="H375" s="18" t="n"/>
      <c r="I375" s="19" t="n"/>
    </row>
    <row r="376">
      <c r="A376" s="30">
        <f>IF(B376="","",COUNTA($B$5:$B376))</f>
        <v/>
      </c>
      <c r="B376" s="18" t="n"/>
      <c r="C376" s="25">
        <f>IFERROR(IF(B376="","",INDEX(직원명부!$B$5:$B$24,MATCH(B376,직원명부!$A$5:$A$24,0))),"사번 확인")</f>
        <v/>
      </c>
      <c r="D376" s="19" t="n"/>
      <c r="E376" s="18" t="n"/>
      <c r="F376" s="28" t="n"/>
      <c r="G376" s="22" t="n"/>
      <c r="H376" s="18" t="n"/>
      <c r="I376" s="19" t="n"/>
    </row>
    <row r="377">
      <c r="A377" s="30">
        <f>IF(B377="","",COUNTA($B$5:$B377))</f>
        <v/>
      </c>
      <c r="B377" s="18" t="n"/>
      <c r="C377" s="25">
        <f>IFERROR(IF(B377="","",INDEX(직원명부!$B$5:$B$24,MATCH(B377,직원명부!$A$5:$A$24,0))),"사번 확인")</f>
        <v/>
      </c>
      <c r="D377" s="19" t="n"/>
      <c r="E377" s="18" t="n"/>
      <c r="F377" s="28" t="n"/>
      <c r="G377" s="22" t="n"/>
      <c r="H377" s="18" t="n"/>
      <c r="I377" s="19" t="n"/>
    </row>
    <row r="378">
      <c r="A378" s="30">
        <f>IF(B378="","",COUNTA($B$5:$B378))</f>
        <v/>
      </c>
      <c r="B378" s="18" t="n"/>
      <c r="C378" s="25">
        <f>IFERROR(IF(B378="","",INDEX(직원명부!$B$5:$B$24,MATCH(B378,직원명부!$A$5:$A$24,0))),"사번 확인")</f>
        <v/>
      </c>
      <c r="D378" s="19" t="n"/>
      <c r="E378" s="18" t="n"/>
      <c r="F378" s="28" t="n"/>
      <c r="G378" s="22" t="n"/>
      <c r="H378" s="18" t="n"/>
      <c r="I378" s="19" t="n"/>
    </row>
    <row r="379">
      <c r="A379" s="30">
        <f>IF(B379="","",COUNTA($B$5:$B379))</f>
        <v/>
      </c>
      <c r="B379" s="18" t="n"/>
      <c r="C379" s="25">
        <f>IFERROR(IF(B379="","",INDEX(직원명부!$B$5:$B$24,MATCH(B379,직원명부!$A$5:$A$24,0))),"사번 확인")</f>
        <v/>
      </c>
      <c r="D379" s="19" t="n"/>
      <c r="E379" s="18" t="n"/>
      <c r="F379" s="28" t="n"/>
      <c r="G379" s="22" t="n"/>
      <c r="H379" s="18" t="n"/>
      <c r="I379" s="19" t="n"/>
    </row>
    <row r="380">
      <c r="A380" s="30">
        <f>IF(B380="","",COUNTA($B$5:$B380))</f>
        <v/>
      </c>
      <c r="B380" s="18" t="n"/>
      <c r="C380" s="25">
        <f>IFERROR(IF(B380="","",INDEX(직원명부!$B$5:$B$24,MATCH(B380,직원명부!$A$5:$A$24,0))),"사번 확인")</f>
        <v/>
      </c>
      <c r="D380" s="19" t="n"/>
      <c r="E380" s="18" t="n"/>
      <c r="F380" s="28" t="n"/>
      <c r="G380" s="22" t="n"/>
      <c r="H380" s="18" t="n"/>
      <c r="I380" s="19" t="n"/>
    </row>
    <row r="381">
      <c r="A381" s="30">
        <f>IF(B381="","",COUNTA($B$5:$B381))</f>
        <v/>
      </c>
      <c r="B381" s="18" t="n"/>
      <c r="C381" s="25">
        <f>IFERROR(IF(B381="","",INDEX(직원명부!$B$5:$B$24,MATCH(B381,직원명부!$A$5:$A$24,0))),"사번 확인")</f>
        <v/>
      </c>
      <c r="D381" s="19" t="n"/>
      <c r="E381" s="18" t="n"/>
      <c r="F381" s="28" t="n"/>
      <c r="G381" s="22" t="n"/>
      <c r="H381" s="18" t="n"/>
      <c r="I381" s="19" t="n"/>
    </row>
    <row r="382">
      <c r="A382" s="30">
        <f>IF(B382="","",COUNTA($B$5:$B382))</f>
        <v/>
      </c>
      <c r="B382" s="18" t="n"/>
      <c r="C382" s="25">
        <f>IFERROR(IF(B382="","",INDEX(직원명부!$B$5:$B$24,MATCH(B382,직원명부!$A$5:$A$24,0))),"사번 확인")</f>
        <v/>
      </c>
      <c r="D382" s="19" t="n"/>
      <c r="E382" s="18" t="n"/>
      <c r="F382" s="28" t="n"/>
      <c r="G382" s="22" t="n"/>
      <c r="H382" s="18" t="n"/>
      <c r="I382" s="19" t="n"/>
    </row>
    <row r="383">
      <c r="A383" s="30">
        <f>IF(B383="","",COUNTA($B$5:$B383))</f>
        <v/>
      </c>
      <c r="B383" s="18" t="n"/>
      <c r="C383" s="25">
        <f>IFERROR(IF(B383="","",INDEX(직원명부!$B$5:$B$24,MATCH(B383,직원명부!$A$5:$A$24,0))),"사번 확인")</f>
        <v/>
      </c>
      <c r="D383" s="19" t="n"/>
      <c r="E383" s="18" t="n"/>
      <c r="F383" s="28" t="n"/>
      <c r="G383" s="22" t="n"/>
      <c r="H383" s="18" t="n"/>
      <c r="I383" s="19" t="n"/>
    </row>
    <row r="384">
      <c r="A384" s="30">
        <f>IF(B384="","",COUNTA($B$5:$B384))</f>
        <v/>
      </c>
      <c r="B384" s="18" t="n"/>
      <c r="C384" s="25">
        <f>IFERROR(IF(B384="","",INDEX(직원명부!$B$5:$B$24,MATCH(B384,직원명부!$A$5:$A$24,0))),"사번 확인")</f>
        <v/>
      </c>
      <c r="D384" s="19" t="n"/>
      <c r="E384" s="18" t="n"/>
      <c r="F384" s="28" t="n"/>
      <c r="G384" s="22" t="n"/>
      <c r="H384" s="18" t="n"/>
      <c r="I384" s="19" t="n"/>
    </row>
    <row r="385">
      <c r="A385" s="30">
        <f>IF(B385="","",COUNTA($B$5:$B385))</f>
        <v/>
      </c>
      <c r="B385" s="18" t="n"/>
      <c r="C385" s="25">
        <f>IFERROR(IF(B385="","",INDEX(직원명부!$B$5:$B$24,MATCH(B385,직원명부!$A$5:$A$24,0))),"사번 확인")</f>
        <v/>
      </c>
      <c r="D385" s="19" t="n"/>
      <c r="E385" s="18" t="n"/>
      <c r="F385" s="28" t="n"/>
      <c r="G385" s="22" t="n"/>
      <c r="H385" s="18" t="n"/>
      <c r="I385" s="19" t="n"/>
    </row>
    <row r="386">
      <c r="A386" s="30">
        <f>IF(B386="","",COUNTA($B$5:$B386))</f>
        <v/>
      </c>
      <c r="B386" s="18" t="n"/>
      <c r="C386" s="25">
        <f>IFERROR(IF(B386="","",INDEX(직원명부!$B$5:$B$24,MATCH(B386,직원명부!$A$5:$A$24,0))),"사번 확인")</f>
        <v/>
      </c>
      <c r="D386" s="19" t="n"/>
      <c r="E386" s="18" t="n"/>
      <c r="F386" s="28" t="n"/>
      <c r="G386" s="22" t="n"/>
      <c r="H386" s="18" t="n"/>
      <c r="I386" s="19" t="n"/>
    </row>
    <row r="387">
      <c r="A387" s="30">
        <f>IF(B387="","",COUNTA($B$5:$B387))</f>
        <v/>
      </c>
      <c r="B387" s="18" t="n"/>
      <c r="C387" s="25">
        <f>IFERROR(IF(B387="","",INDEX(직원명부!$B$5:$B$24,MATCH(B387,직원명부!$A$5:$A$24,0))),"사번 확인")</f>
        <v/>
      </c>
      <c r="D387" s="19" t="n"/>
      <c r="E387" s="18" t="n"/>
      <c r="F387" s="28" t="n"/>
      <c r="G387" s="22" t="n"/>
      <c r="H387" s="18" t="n"/>
      <c r="I387" s="19" t="n"/>
    </row>
    <row r="388">
      <c r="A388" s="30">
        <f>IF(B388="","",COUNTA($B$5:$B388))</f>
        <v/>
      </c>
      <c r="B388" s="18" t="n"/>
      <c r="C388" s="25">
        <f>IFERROR(IF(B388="","",INDEX(직원명부!$B$5:$B$24,MATCH(B388,직원명부!$A$5:$A$24,0))),"사번 확인")</f>
        <v/>
      </c>
      <c r="D388" s="19" t="n"/>
      <c r="E388" s="18" t="n"/>
      <c r="F388" s="28" t="n"/>
      <c r="G388" s="22" t="n"/>
      <c r="H388" s="18" t="n"/>
      <c r="I388" s="19" t="n"/>
    </row>
    <row r="389">
      <c r="A389" s="30">
        <f>IF(B389="","",COUNTA($B$5:$B389))</f>
        <v/>
      </c>
      <c r="B389" s="18" t="n"/>
      <c r="C389" s="25">
        <f>IFERROR(IF(B389="","",INDEX(직원명부!$B$5:$B$24,MATCH(B389,직원명부!$A$5:$A$24,0))),"사번 확인")</f>
        <v/>
      </c>
      <c r="D389" s="19" t="n"/>
      <c r="E389" s="18" t="n"/>
      <c r="F389" s="28" t="n"/>
      <c r="G389" s="22" t="n"/>
      <c r="H389" s="18" t="n"/>
      <c r="I389" s="19" t="n"/>
    </row>
    <row r="390">
      <c r="A390" s="30">
        <f>IF(B390="","",COUNTA($B$5:$B390))</f>
        <v/>
      </c>
      <c r="B390" s="18" t="n"/>
      <c r="C390" s="25">
        <f>IFERROR(IF(B390="","",INDEX(직원명부!$B$5:$B$24,MATCH(B390,직원명부!$A$5:$A$24,0))),"사번 확인")</f>
        <v/>
      </c>
      <c r="D390" s="19" t="n"/>
      <c r="E390" s="18" t="n"/>
      <c r="F390" s="28" t="n"/>
      <c r="G390" s="22" t="n"/>
      <c r="H390" s="18" t="n"/>
      <c r="I390" s="19" t="n"/>
    </row>
    <row r="391">
      <c r="A391" s="30">
        <f>IF(B391="","",COUNTA($B$5:$B391))</f>
        <v/>
      </c>
      <c r="B391" s="18" t="n"/>
      <c r="C391" s="25">
        <f>IFERROR(IF(B391="","",INDEX(직원명부!$B$5:$B$24,MATCH(B391,직원명부!$A$5:$A$24,0))),"사번 확인")</f>
        <v/>
      </c>
      <c r="D391" s="19" t="n"/>
      <c r="E391" s="18" t="n"/>
      <c r="F391" s="28" t="n"/>
      <c r="G391" s="22" t="n"/>
      <c r="H391" s="18" t="n"/>
      <c r="I391" s="19" t="n"/>
    </row>
    <row r="392">
      <c r="A392" s="30">
        <f>IF(B392="","",COUNTA($B$5:$B392))</f>
        <v/>
      </c>
      <c r="B392" s="18" t="n"/>
      <c r="C392" s="25">
        <f>IFERROR(IF(B392="","",INDEX(직원명부!$B$5:$B$24,MATCH(B392,직원명부!$A$5:$A$24,0))),"사번 확인")</f>
        <v/>
      </c>
      <c r="D392" s="19" t="n"/>
      <c r="E392" s="18" t="n"/>
      <c r="F392" s="28" t="n"/>
      <c r="G392" s="22" t="n"/>
      <c r="H392" s="18" t="n"/>
      <c r="I392" s="19" t="n"/>
    </row>
    <row r="393">
      <c r="A393" s="30">
        <f>IF(B393="","",COUNTA($B$5:$B393))</f>
        <v/>
      </c>
      <c r="B393" s="18" t="n"/>
      <c r="C393" s="25">
        <f>IFERROR(IF(B393="","",INDEX(직원명부!$B$5:$B$24,MATCH(B393,직원명부!$A$5:$A$24,0))),"사번 확인")</f>
        <v/>
      </c>
      <c r="D393" s="19" t="n"/>
      <c r="E393" s="18" t="n"/>
      <c r="F393" s="28" t="n"/>
      <c r="G393" s="22" t="n"/>
      <c r="H393" s="18" t="n"/>
      <c r="I393" s="19" t="n"/>
    </row>
    <row r="394">
      <c r="A394" s="30">
        <f>IF(B394="","",COUNTA($B$5:$B394))</f>
        <v/>
      </c>
      <c r="B394" s="18" t="n"/>
      <c r="C394" s="25">
        <f>IFERROR(IF(B394="","",INDEX(직원명부!$B$5:$B$24,MATCH(B394,직원명부!$A$5:$A$24,0))),"사번 확인")</f>
        <v/>
      </c>
      <c r="D394" s="19" t="n"/>
      <c r="E394" s="18" t="n"/>
      <c r="F394" s="28" t="n"/>
      <c r="G394" s="22" t="n"/>
      <c r="H394" s="18" t="n"/>
      <c r="I394" s="19" t="n"/>
    </row>
    <row r="395">
      <c r="A395" s="30">
        <f>IF(B395="","",COUNTA($B$5:$B395))</f>
        <v/>
      </c>
      <c r="B395" s="18" t="n"/>
      <c r="C395" s="25">
        <f>IFERROR(IF(B395="","",INDEX(직원명부!$B$5:$B$24,MATCH(B395,직원명부!$A$5:$A$24,0))),"사번 확인")</f>
        <v/>
      </c>
      <c r="D395" s="19" t="n"/>
      <c r="E395" s="18" t="n"/>
      <c r="F395" s="28" t="n"/>
      <c r="G395" s="22" t="n"/>
      <c r="H395" s="18" t="n"/>
      <c r="I395" s="19" t="n"/>
    </row>
    <row r="396">
      <c r="A396" s="30">
        <f>IF(B396="","",COUNTA($B$5:$B396))</f>
        <v/>
      </c>
      <c r="B396" s="18" t="n"/>
      <c r="C396" s="25">
        <f>IFERROR(IF(B396="","",INDEX(직원명부!$B$5:$B$24,MATCH(B396,직원명부!$A$5:$A$24,0))),"사번 확인")</f>
        <v/>
      </c>
      <c r="D396" s="19" t="n"/>
      <c r="E396" s="18" t="n"/>
      <c r="F396" s="28" t="n"/>
      <c r="G396" s="22" t="n"/>
      <c r="H396" s="18" t="n"/>
      <c r="I396" s="19" t="n"/>
    </row>
    <row r="397">
      <c r="A397" s="30">
        <f>IF(B397="","",COUNTA($B$5:$B397))</f>
        <v/>
      </c>
      <c r="B397" s="18" t="n"/>
      <c r="C397" s="25">
        <f>IFERROR(IF(B397="","",INDEX(직원명부!$B$5:$B$24,MATCH(B397,직원명부!$A$5:$A$24,0))),"사번 확인")</f>
        <v/>
      </c>
      <c r="D397" s="19" t="n"/>
      <c r="E397" s="18" t="n"/>
      <c r="F397" s="28" t="n"/>
      <c r="G397" s="22" t="n"/>
      <c r="H397" s="18" t="n"/>
      <c r="I397" s="19" t="n"/>
    </row>
    <row r="398">
      <c r="A398" s="30">
        <f>IF(B398="","",COUNTA($B$5:$B398))</f>
        <v/>
      </c>
      <c r="B398" s="18" t="n"/>
      <c r="C398" s="25">
        <f>IFERROR(IF(B398="","",INDEX(직원명부!$B$5:$B$24,MATCH(B398,직원명부!$A$5:$A$24,0))),"사번 확인")</f>
        <v/>
      </c>
      <c r="D398" s="19" t="n"/>
      <c r="E398" s="18" t="n"/>
      <c r="F398" s="28" t="n"/>
      <c r="G398" s="22" t="n"/>
      <c r="H398" s="18" t="n"/>
      <c r="I398" s="19" t="n"/>
    </row>
    <row r="399">
      <c r="A399" s="30">
        <f>IF(B399="","",COUNTA($B$5:$B399))</f>
        <v/>
      </c>
      <c r="B399" s="18" t="n"/>
      <c r="C399" s="25">
        <f>IFERROR(IF(B399="","",INDEX(직원명부!$B$5:$B$24,MATCH(B399,직원명부!$A$5:$A$24,0))),"사번 확인")</f>
        <v/>
      </c>
      <c r="D399" s="19" t="n"/>
      <c r="E399" s="18" t="n"/>
      <c r="F399" s="28" t="n"/>
      <c r="G399" s="22" t="n"/>
      <c r="H399" s="18" t="n"/>
      <c r="I399" s="19" t="n"/>
    </row>
    <row r="400">
      <c r="A400" s="30">
        <f>IF(B400="","",COUNTA($B$5:$B400))</f>
        <v/>
      </c>
      <c r="B400" s="18" t="n"/>
      <c r="C400" s="25">
        <f>IFERROR(IF(B400="","",INDEX(직원명부!$B$5:$B$24,MATCH(B400,직원명부!$A$5:$A$24,0))),"사번 확인")</f>
        <v/>
      </c>
      <c r="D400" s="19" t="n"/>
      <c r="E400" s="18" t="n"/>
      <c r="F400" s="28" t="n"/>
      <c r="G400" s="22" t="n"/>
      <c r="H400" s="18" t="n"/>
      <c r="I400" s="19" t="n"/>
    </row>
    <row r="401">
      <c r="A401" s="30">
        <f>IF(B401="","",COUNTA($B$5:$B401))</f>
        <v/>
      </c>
      <c r="B401" s="18" t="n"/>
      <c r="C401" s="25">
        <f>IFERROR(IF(B401="","",INDEX(직원명부!$B$5:$B$24,MATCH(B401,직원명부!$A$5:$A$24,0))),"사번 확인")</f>
        <v/>
      </c>
      <c r="D401" s="19" t="n"/>
      <c r="E401" s="18" t="n"/>
      <c r="F401" s="28" t="n"/>
      <c r="G401" s="22" t="n"/>
      <c r="H401" s="18" t="n"/>
      <c r="I401" s="19" t="n"/>
    </row>
    <row r="402">
      <c r="A402" s="30">
        <f>IF(B402="","",COUNTA($B$5:$B402))</f>
        <v/>
      </c>
      <c r="B402" s="18" t="n"/>
      <c r="C402" s="25">
        <f>IFERROR(IF(B402="","",INDEX(직원명부!$B$5:$B$24,MATCH(B402,직원명부!$A$5:$A$24,0))),"사번 확인")</f>
        <v/>
      </c>
      <c r="D402" s="19" t="n"/>
      <c r="E402" s="18" t="n"/>
      <c r="F402" s="28" t="n"/>
      <c r="G402" s="22" t="n"/>
      <c r="H402" s="18" t="n"/>
      <c r="I402" s="19" t="n"/>
    </row>
    <row r="403">
      <c r="A403" s="30">
        <f>IF(B403="","",COUNTA($B$5:$B403))</f>
        <v/>
      </c>
      <c r="B403" s="18" t="n"/>
      <c r="C403" s="25">
        <f>IFERROR(IF(B403="","",INDEX(직원명부!$B$5:$B$24,MATCH(B403,직원명부!$A$5:$A$24,0))),"사번 확인")</f>
        <v/>
      </c>
      <c r="D403" s="19" t="n"/>
      <c r="E403" s="18" t="n"/>
      <c r="F403" s="28" t="n"/>
      <c r="G403" s="22" t="n"/>
      <c r="H403" s="18" t="n"/>
      <c r="I403" s="19" t="n"/>
    </row>
    <row r="404">
      <c r="A404" s="30">
        <f>IF(B404="","",COUNTA($B$5:$B404))</f>
        <v/>
      </c>
      <c r="B404" s="18" t="n"/>
      <c r="C404" s="25">
        <f>IFERROR(IF(B404="","",INDEX(직원명부!$B$5:$B$24,MATCH(B404,직원명부!$A$5:$A$24,0))),"사번 확인")</f>
        <v/>
      </c>
      <c r="D404" s="19" t="n"/>
      <c r="E404" s="18" t="n"/>
      <c r="F404" s="28" t="n"/>
      <c r="G404" s="22" t="n"/>
      <c r="H404" s="18" t="n"/>
      <c r="I404" s="19" t="n"/>
    </row>
    <row r="405">
      <c r="A405" s="30">
        <f>IF(B405="","",COUNTA($B$5:$B405))</f>
        <v/>
      </c>
      <c r="B405" s="18" t="n"/>
      <c r="C405" s="25">
        <f>IFERROR(IF(B405="","",INDEX(직원명부!$B$5:$B$24,MATCH(B405,직원명부!$A$5:$A$24,0))),"사번 확인")</f>
        <v/>
      </c>
      <c r="D405" s="19" t="n"/>
      <c r="E405" s="18" t="n"/>
      <c r="F405" s="28" t="n"/>
      <c r="G405" s="22" t="n"/>
      <c r="H405" s="18" t="n"/>
      <c r="I405" s="19" t="n"/>
    </row>
    <row r="406">
      <c r="A406" s="30">
        <f>IF(B406="","",COUNTA($B$5:$B406))</f>
        <v/>
      </c>
      <c r="B406" s="18" t="n"/>
      <c r="C406" s="25">
        <f>IFERROR(IF(B406="","",INDEX(직원명부!$B$5:$B$24,MATCH(B406,직원명부!$A$5:$A$24,0))),"사번 확인")</f>
        <v/>
      </c>
      <c r="D406" s="19" t="n"/>
      <c r="E406" s="18" t="n"/>
      <c r="F406" s="28" t="n"/>
      <c r="G406" s="22" t="n"/>
      <c r="H406" s="18" t="n"/>
      <c r="I406" s="19" t="n"/>
    </row>
    <row r="407">
      <c r="A407" s="30">
        <f>IF(B407="","",COUNTA($B$5:$B407))</f>
        <v/>
      </c>
      <c r="B407" s="18" t="n"/>
      <c r="C407" s="25">
        <f>IFERROR(IF(B407="","",INDEX(직원명부!$B$5:$B$24,MATCH(B407,직원명부!$A$5:$A$24,0))),"사번 확인")</f>
        <v/>
      </c>
      <c r="D407" s="19" t="n"/>
      <c r="E407" s="18" t="n"/>
      <c r="F407" s="28" t="n"/>
      <c r="G407" s="22" t="n"/>
      <c r="H407" s="18" t="n"/>
      <c r="I407" s="19" t="n"/>
    </row>
    <row r="408">
      <c r="A408" s="30">
        <f>IF(B408="","",COUNTA($B$5:$B408))</f>
        <v/>
      </c>
      <c r="B408" s="18" t="n"/>
      <c r="C408" s="25">
        <f>IFERROR(IF(B408="","",INDEX(직원명부!$B$5:$B$24,MATCH(B408,직원명부!$A$5:$A$24,0))),"사번 확인")</f>
        <v/>
      </c>
      <c r="D408" s="19" t="n"/>
      <c r="E408" s="18" t="n"/>
      <c r="F408" s="28" t="n"/>
      <c r="G408" s="22" t="n"/>
      <c r="H408" s="18" t="n"/>
      <c r="I408" s="19" t="n"/>
    </row>
    <row r="409">
      <c r="A409" s="30">
        <f>IF(B409="","",COUNTA($B$5:$B409))</f>
        <v/>
      </c>
      <c r="B409" s="18" t="n"/>
      <c r="C409" s="25">
        <f>IFERROR(IF(B409="","",INDEX(직원명부!$B$5:$B$24,MATCH(B409,직원명부!$A$5:$A$24,0))),"사번 확인")</f>
        <v/>
      </c>
      <c r="D409" s="19" t="n"/>
      <c r="E409" s="18" t="n"/>
      <c r="F409" s="28" t="n"/>
      <c r="G409" s="22" t="n"/>
      <c r="H409" s="18" t="n"/>
      <c r="I409" s="19" t="n"/>
    </row>
    <row r="410">
      <c r="A410" s="30">
        <f>IF(B410="","",COUNTA($B$5:$B410))</f>
        <v/>
      </c>
      <c r="B410" s="18" t="n"/>
      <c r="C410" s="25">
        <f>IFERROR(IF(B410="","",INDEX(직원명부!$B$5:$B$24,MATCH(B410,직원명부!$A$5:$A$24,0))),"사번 확인")</f>
        <v/>
      </c>
      <c r="D410" s="19" t="n"/>
      <c r="E410" s="18" t="n"/>
      <c r="F410" s="28" t="n"/>
      <c r="G410" s="22" t="n"/>
      <c r="H410" s="18" t="n"/>
      <c r="I410" s="19" t="n"/>
    </row>
    <row r="411">
      <c r="A411" s="30">
        <f>IF(B411="","",COUNTA($B$5:$B411))</f>
        <v/>
      </c>
      <c r="B411" s="18" t="n"/>
      <c r="C411" s="25">
        <f>IFERROR(IF(B411="","",INDEX(직원명부!$B$5:$B$24,MATCH(B411,직원명부!$A$5:$A$24,0))),"사번 확인")</f>
        <v/>
      </c>
      <c r="D411" s="19" t="n"/>
      <c r="E411" s="18" t="n"/>
      <c r="F411" s="28" t="n"/>
      <c r="G411" s="22" t="n"/>
      <c r="H411" s="18" t="n"/>
      <c r="I411" s="19" t="n"/>
    </row>
    <row r="412">
      <c r="A412" s="30">
        <f>IF(B412="","",COUNTA($B$5:$B412))</f>
        <v/>
      </c>
      <c r="B412" s="18" t="n"/>
      <c r="C412" s="25">
        <f>IFERROR(IF(B412="","",INDEX(직원명부!$B$5:$B$24,MATCH(B412,직원명부!$A$5:$A$24,0))),"사번 확인")</f>
        <v/>
      </c>
      <c r="D412" s="19" t="n"/>
      <c r="E412" s="18" t="n"/>
      <c r="F412" s="28" t="n"/>
      <c r="G412" s="22" t="n"/>
      <c r="H412" s="18" t="n"/>
      <c r="I412" s="19" t="n"/>
    </row>
    <row r="413">
      <c r="A413" s="30">
        <f>IF(B413="","",COUNTA($B$5:$B413))</f>
        <v/>
      </c>
      <c r="B413" s="18" t="n"/>
      <c r="C413" s="25">
        <f>IFERROR(IF(B413="","",INDEX(직원명부!$B$5:$B$24,MATCH(B413,직원명부!$A$5:$A$24,0))),"사번 확인")</f>
        <v/>
      </c>
      <c r="D413" s="19" t="n"/>
      <c r="E413" s="18" t="n"/>
      <c r="F413" s="28" t="n"/>
      <c r="G413" s="22" t="n"/>
      <c r="H413" s="18" t="n"/>
      <c r="I413" s="19" t="n"/>
    </row>
    <row r="414">
      <c r="A414" s="30">
        <f>IF(B414="","",COUNTA($B$5:$B414))</f>
        <v/>
      </c>
      <c r="B414" s="18" t="n"/>
      <c r="C414" s="25">
        <f>IFERROR(IF(B414="","",INDEX(직원명부!$B$5:$B$24,MATCH(B414,직원명부!$A$5:$A$24,0))),"사번 확인")</f>
        <v/>
      </c>
      <c r="D414" s="19" t="n"/>
      <c r="E414" s="18" t="n"/>
      <c r="F414" s="28" t="n"/>
      <c r="G414" s="22" t="n"/>
      <c r="H414" s="18" t="n"/>
      <c r="I414" s="19" t="n"/>
    </row>
    <row r="415">
      <c r="A415" s="30">
        <f>IF(B415="","",COUNTA($B$5:$B415))</f>
        <v/>
      </c>
      <c r="B415" s="18" t="n"/>
      <c r="C415" s="25">
        <f>IFERROR(IF(B415="","",INDEX(직원명부!$B$5:$B$24,MATCH(B415,직원명부!$A$5:$A$24,0))),"사번 확인")</f>
        <v/>
      </c>
      <c r="D415" s="19" t="n"/>
      <c r="E415" s="18" t="n"/>
      <c r="F415" s="28" t="n"/>
      <c r="G415" s="22" t="n"/>
      <c r="H415" s="18" t="n"/>
      <c r="I415" s="19" t="n"/>
    </row>
    <row r="416">
      <c r="A416" s="30">
        <f>IF(B416="","",COUNTA($B$5:$B416))</f>
        <v/>
      </c>
      <c r="B416" s="18" t="n"/>
      <c r="C416" s="25">
        <f>IFERROR(IF(B416="","",INDEX(직원명부!$B$5:$B$24,MATCH(B416,직원명부!$A$5:$A$24,0))),"사번 확인")</f>
        <v/>
      </c>
      <c r="D416" s="19" t="n"/>
      <c r="E416" s="18" t="n"/>
      <c r="F416" s="28" t="n"/>
      <c r="G416" s="22" t="n"/>
      <c r="H416" s="18" t="n"/>
      <c r="I416" s="19" t="n"/>
    </row>
    <row r="417">
      <c r="A417" s="30">
        <f>IF(B417="","",COUNTA($B$5:$B417))</f>
        <v/>
      </c>
      <c r="B417" s="18" t="n"/>
      <c r="C417" s="25">
        <f>IFERROR(IF(B417="","",INDEX(직원명부!$B$5:$B$24,MATCH(B417,직원명부!$A$5:$A$24,0))),"사번 확인")</f>
        <v/>
      </c>
      <c r="D417" s="19" t="n"/>
      <c r="E417" s="18" t="n"/>
      <c r="F417" s="28" t="n"/>
      <c r="G417" s="22" t="n"/>
      <c r="H417" s="18" t="n"/>
      <c r="I417" s="19" t="n"/>
    </row>
    <row r="418">
      <c r="A418" s="30">
        <f>IF(B418="","",COUNTA($B$5:$B418))</f>
        <v/>
      </c>
      <c r="B418" s="18" t="n"/>
      <c r="C418" s="25">
        <f>IFERROR(IF(B418="","",INDEX(직원명부!$B$5:$B$24,MATCH(B418,직원명부!$A$5:$A$24,0))),"사번 확인")</f>
        <v/>
      </c>
      <c r="D418" s="19" t="n"/>
      <c r="E418" s="18" t="n"/>
      <c r="F418" s="28" t="n"/>
      <c r="G418" s="22" t="n"/>
      <c r="H418" s="18" t="n"/>
      <c r="I418" s="19" t="n"/>
    </row>
    <row r="419">
      <c r="A419" s="30">
        <f>IF(B419="","",COUNTA($B$5:$B419))</f>
        <v/>
      </c>
      <c r="B419" s="18" t="n"/>
      <c r="C419" s="25">
        <f>IFERROR(IF(B419="","",INDEX(직원명부!$B$5:$B$24,MATCH(B419,직원명부!$A$5:$A$24,0))),"사번 확인")</f>
        <v/>
      </c>
      <c r="D419" s="19" t="n"/>
      <c r="E419" s="18" t="n"/>
      <c r="F419" s="28" t="n"/>
      <c r="G419" s="22" t="n"/>
      <c r="H419" s="18" t="n"/>
      <c r="I419" s="19" t="n"/>
    </row>
    <row r="420">
      <c r="A420" s="30">
        <f>IF(B420="","",COUNTA($B$5:$B420))</f>
        <v/>
      </c>
      <c r="B420" s="18" t="n"/>
      <c r="C420" s="25">
        <f>IFERROR(IF(B420="","",INDEX(직원명부!$B$5:$B$24,MATCH(B420,직원명부!$A$5:$A$24,0))),"사번 확인")</f>
        <v/>
      </c>
      <c r="D420" s="19" t="n"/>
      <c r="E420" s="18" t="n"/>
      <c r="F420" s="28" t="n"/>
      <c r="G420" s="22" t="n"/>
      <c r="H420" s="18" t="n"/>
      <c r="I420" s="19" t="n"/>
    </row>
    <row r="421">
      <c r="A421" s="30">
        <f>IF(B421="","",COUNTA($B$5:$B421))</f>
        <v/>
      </c>
      <c r="B421" s="18" t="n"/>
      <c r="C421" s="25">
        <f>IFERROR(IF(B421="","",INDEX(직원명부!$B$5:$B$24,MATCH(B421,직원명부!$A$5:$A$24,0))),"사번 확인")</f>
        <v/>
      </c>
      <c r="D421" s="19" t="n"/>
      <c r="E421" s="18" t="n"/>
      <c r="F421" s="28" t="n"/>
      <c r="G421" s="22" t="n"/>
      <c r="H421" s="18" t="n"/>
      <c r="I421" s="19" t="n"/>
    </row>
    <row r="422">
      <c r="A422" s="30">
        <f>IF(B422="","",COUNTA($B$5:$B422))</f>
        <v/>
      </c>
      <c r="B422" s="18" t="n"/>
      <c r="C422" s="25">
        <f>IFERROR(IF(B422="","",INDEX(직원명부!$B$5:$B$24,MATCH(B422,직원명부!$A$5:$A$24,0))),"사번 확인")</f>
        <v/>
      </c>
      <c r="D422" s="19" t="n"/>
      <c r="E422" s="18" t="n"/>
      <c r="F422" s="28" t="n"/>
      <c r="G422" s="22" t="n"/>
      <c r="H422" s="18" t="n"/>
      <c r="I422" s="19" t="n"/>
    </row>
    <row r="423">
      <c r="A423" s="30">
        <f>IF(B423="","",COUNTA($B$5:$B423))</f>
        <v/>
      </c>
      <c r="B423" s="18" t="n"/>
      <c r="C423" s="25">
        <f>IFERROR(IF(B423="","",INDEX(직원명부!$B$5:$B$24,MATCH(B423,직원명부!$A$5:$A$24,0))),"사번 확인")</f>
        <v/>
      </c>
      <c r="D423" s="19" t="n"/>
      <c r="E423" s="18" t="n"/>
      <c r="F423" s="28" t="n"/>
      <c r="G423" s="22" t="n"/>
      <c r="H423" s="18" t="n"/>
      <c r="I423" s="19" t="n"/>
    </row>
    <row r="424">
      <c r="A424" s="30">
        <f>IF(B424="","",COUNTA($B$5:$B424))</f>
        <v/>
      </c>
      <c r="B424" s="18" t="n"/>
      <c r="C424" s="25">
        <f>IFERROR(IF(B424="","",INDEX(직원명부!$B$5:$B$24,MATCH(B424,직원명부!$A$5:$A$24,0))),"사번 확인")</f>
        <v/>
      </c>
      <c r="D424" s="19" t="n"/>
      <c r="E424" s="18" t="n"/>
      <c r="F424" s="28" t="n"/>
      <c r="G424" s="22" t="n"/>
      <c r="H424" s="18" t="n"/>
      <c r="I424" s="19" t="n"/>
    </row>
    <row r="425">
      <c r="A425" s="30">
        <f>IF(B425="","",COUNTA($B$5:$B425))</f>
        <v/>
      </c>
      <c r="B425" s="18" t="n"/>
      <c r="C425" s="25">
        <f>IFERROR(IF(B425="","",INDEX(직원명부!$B$5:$B$24,MATCH(B425,직원명부!$A$5:$A$24,0))),"사번 확인")</f>
        <v/>
      </c>
      <c r="D425" s="19" t="n"/>
      <c r="E425" s="18" t="n"/>
      <c r="F425" s="28" t="n"/>
      <c r="G425" s="22" t="n"/>
      <c r="H425" s="18" t="n"/>
      <c r="I425" s="19" t="n"/>
    </row>
    <row r="426">
      <c r="A426" s="30">
        <f>IF(B426="","",COUNTA($B$5:$B426))</f>
        <v/>
      </c>
      <c r="B426" s="18" t="n"/>
      <c r="C426" s="25">
        <f>IFERROR(IF(B426="","",INDEX(직원명부!$B$5:$B$24,MATCH(B426,직원명부!$A$5:$A$24,0))),"사번 확인")</f>
        <v/>
      </c>
      <c r="D426" s="19" t="n"/>
      <c r="E426" s="18" t="n"/>
      <c r="F426" s="28" t="n"/>
      <c r="G426" s="22" t="n"/>
      <c r="H426" s="18" t="n"/>
      <c r="I426" s="19" t="n"/>
    </row>
    <row r="427">
      <c r="A427" s="30">
        <f>IF(B427="","",COUNTA($B$5:$B427))</f>
        <v/>
      </c>
      <c r="B427" s="18" t="n"/>
      <c r="C427" s="25">
        <f>IFERROR(IF(B427="","",INDEX(직원명부!$B$5:$B$24,MATCH(B427,직원명부!$A$5:$A$24,0))),"사번 확인")</f>
        <v/>
      </c>
      <c r="D427" s="19" t="n"/>
      <c r="E427" s="18" t="n"/>
      <c r="F427" s="28" t="n"/>
      <c r="G427" s="22" t="n"/>
      <c r="H427" s="18" t="n"/>
      <c r="I427" s="19" t="n"/>
    </row>
    <row r="428">
      <c r="A428" s="30">
        <f>IF(B428="","",COUNTA($B$5:$B428))</f>
        <v/>
      </c>
      <c r="B428" s="18" t="n"/>
      <c r="C428" s="25">
        <f>IFERROR(IF(B428="","",INDEX(직원명부!$B$5:$B$24,MATCH(B428,직원명부!$A$5:$A$24,0))),"사번 확인")</f>
        <v/>
      </c>
      <c r="D428" s="19" t="n"/>
      <c r="E428" s="18" t="n"/>
      <c r="F428" s="28" t="n"/>
      <c r="G428" s="22" t="n"/>
      <c r="H428" s="18" t="n"/>
      <c r="I428" s="19" t="n"/>
    </row>
    <row r="429">
      <c r="A429" s="30">
        <f>IF(B429="","",COUNTA($B$5:$B429))</f>
        <v/>
      </c>
      <c r="B429" s="18" t="n"/>
      <c r="C429" s="25">
        <f>IFERROR(IF(B429="","",INDEX(직원명부!$B$5:$B$24,MATCH(B429,직원명부!$A$5:$A$24,0))),"사번 확인")</f>
        <v/>
      </c>
      <c r="D429" s="19" t="n"/>
      <c r="E429" s="18" t="n"/>
      <c r="F429" s="28" t="n"/>
      <c r="G429" s="22" t="n"/>
      <c r="H429" s="18" t="n"/>
      <c r="I429" s="19" t="n"/>
    </row>
    <row r="430">
      <c r="A430" s="30">
        <f>IF(B430="","",COUNTA($B$5:$B430))</f>
        <v/>
      </c>
      <c r="B430" s="18" t="n"/>
      <c r="C430" s="25">
        <f>IFERROR(IF(B430="","",INDEX(직원명부!$B$5:$B$24,MATCH(B430,직원명부!$A$5:$A$24,0))),"사번 확인")</f>
        <v/>
      </c>
      <c r="D430" s="19" t="n"/>
      <c r="E430" s="18" t="n"/>
      <c r="F430" s="28" t="n"/>
      <c r="G430" s="22" t="n"/>
      <c r="H430" s="18" t="n"/>
      <c r="I430" s="19" t="n"/>
    </row>
    <row r="431">
      <c r="A431" s="30">
        <f>IF(B431="","",COUNTA($B$5:$B431))</f>
        <v/>
      </c>
      <c r="B431" s="18" t="n"/>
      <c r="C431" s="25">
        <f>IFERROR(IF(B431="","",INDEX(직원명부!$B$5:$B$24,MATCH(B431,직원명부!$A$5:$A$24,0))),"사번 확인")</f>
        <v/>
      </c>
      <c r="D431" s="19" t="n"/>
      <c r="E431" s="18" t="n"/>
      <c r="F431" s="28" t="n"/>
      <c r="G431" s="22" t="n"/>
      <c r="H431" s="18" t="n"/>
      <c r="I431" s="19" t="n"/>
    </row>
    <row r="432">
      <c r="A432" s="30">
        <f>IF(B432="","",COUNTA($B$5:$B432))</f>
        <v/>
      </c>
      <c r="B432" s="18" t="n"/>
      <c r="C432" s="25">
        <f>IFERROR(IF(B432="","",INDEX(직원명부!$B$5:$B$24,MATCH(B432,직원명부!$A$5:$A$24,0))),"사번 확인")</f>
        <v/>
      </c>
      <c r="D432" s="19" t="n"/>
      <c r="E432" s="18" t="n"/>
      <c r="F432" s="28" t="n"/>
      <c r="G432" s="22" t="n"/>
      <c r="H432" s="18" t="n"/>
      <c r="I432" s="19" t="n"/>
    </row>
    <row r="433">
      <c r="A433" s="30">
        <f>IF(B433="","",COUNTA($B$5:$B433))</f>
        <v/>
      </c>
      <c r="B433" s="18" t="n"/>
      <c r="C433" s="25">
        <f>IFERROR(IF(B433="","",INDEX(직원명부!$B$5:$B$24,MATCH(B433,직원명부!$A$5:$A$24,0))),"사번 확인")</f>
        <v/>
      </c>
      <c r="D433" s="19" t="n"/>
      <c r="E433" s="18" t="n"/>
      <c r="F433" s="28" t="n"/>
      <c r="G433" s="22" t="n"/>
      <c r="H433" s="18" t="n"/>
      <c r="I433" s="19" t="n"/>
    </row>
    <row r="434">
      <c r="A434" s="30">
        <f>IF(B434="","",COUNTA($B$5:$B434))</f>
        <v/>
      </c>
      <c r="B434" s="18" t="n"/>
      <c r="C434" s="25">
        <f>IFERROR(IF(B434="","",INDEX(직원명부!$B$5:$B$24,MATCH(B434,직원명부!$A$5:$A$24,0))),"사번 확인")</f>
        <v/>
      </c>
      <c r="D434" s="19" t="n"/>
      <c r="E434" s="18" t="n"/>
      <c r="F434" s="28" t="n"/>
      <c r="G434" s="22" t="n"/>
      <c r="H434" s="18" t="n"/>
      <c r="I434" s="19" t="n"/>
    </row>
    <row r="435">
      <c r="A435" s="30">
        <f>IF(B435="","",COUNTA($B$5:$B435))</f>
        <v/>
      </c>
      <c r="B435" s="18" t="n"/>
      <c r="C435" s="25">
        <f>IFERROR(IF(B435="","",INDEX(직원명부!$B$5:$B$24,MATCH(B435,직원명부!$A$5:$A$24,0))),"사번 확인")</f>
        <v/>
      </c>
      <c r="D435" s="19" t="n"/>
      <c r="E435" s="18" t="n"/>
      <c r="F435" s="28" t="n"/>
      <c r="G435" s="22" t="n"/>
      <c r="H435" s="18" t="n"/>
      <c r="I435" s="19" t="n"/>
    </row>
    <row r="436">
      <c r="A436" s="30">
        <f>IF(B436="","",COUNTA($B$5:$B436))</f>
        <v/>
      </c>
      <c r="B436" s="18" t="n"/>
      <c r="C436" s="25">
        <f>IFERROR(IF(B436="","",INDEX(직원명부!$B$5:$B$24,MATCH(B436,직원명부!$A$5:$A$24,0))),"사번 확인")</f>
        <v/>
      </c>
      <c r="D436" s="19" t="n"/>
      <c r="E436" s="18" t="n"/>
      <c r="F436" s="28" t="n"/>
      <c r="G436" s="22" t="n"/>
      <c r="H436" s="18" t="n"/>
      <c r="I436" s="19" t="n"/>
    </row>
    <row r="437">
      <c r="A437" s="30">
        <f>IF(B437="","",COUNTA($B$5:$B437))</f>
        <v/>
      </c>
      <c r="B437" s="18" t="n"/>
      <c r="C437" s="25">
        <f>IFERROR(IF(B437="","",INDEX(직원명부!$B$5:$B$24,MATCH(B437,직원명부!$A$5:$A$24,0))),"사번 확인")</f>
        <v/>
      </c>
      <c r="D437" s="19" t="n"/>
      <c r="E437" s="18" t="n"/>
      <c r="F437" s="28" t="n"/>
      <c r="G437" s="22" t="n"/>
      <c r="H437" s="18" t="n"/>
      <c r="I437" s="19" t="n"/>
    </row>
    <row r="438">
      <c r="A438" s="30">
        <f>IF(B438="","",COUNTA($B$5:$B438))</f>
        <v/>
      </c>
      <c r="B438" s="18" t="n"/>
      <c r="C438" s="25">
        <f>IFERROR(IF(B438="","",INDEX(직원명부!$B$5:$B$24,MATCH(B438,직원명부!$A$5:$A$24,0))),"사번 확인")</f>
        <v/>
      </c>
      <c r="D438" s="19" t="n"/>
      <c r="E438" s="18" t="n"/>
      <c r="F438" s="28" t="n"/>
      <c r="G438" s="22" t="n"/>
      <c r="H438" s="18" t="n"/>
      <c r="I438" s="19" t="n"/>
    </row>
    <row r="439">
      <c r="A439" s="30">
        <f>IF(B439="","",COUNTA($B$5:$B439))</f>
        <v/>
      </c>
      <c r="B439" s="18" t="n"/>
      <c r="C439" s="25">
        <f>IFERROR(IF(B439="","",INDEX(직원명부!$B$5:$B$24,MATCH(B439,직원명부!$A$5:$A$24,0))),"사번 확인")</f>
        <v/>
      </c>
      <c r="D439" s="19" t="n"/>
      <c r="E439" s="18" t="n"/>
      <c r="F439" s="28" t="n"/>
      <c r="G439" s="22" t="n"/>
      <c r="H439" s="18" t="n"/>
      <c r="I439" s="19" t="n"/>
    </row>
    <row r="440">
      <c r="A440" s="30">
        <f>IF(B440="","",COUNTA($B$5:$B440))</f>
        <v/>
      </c>
      <c r="B440" s="18" t="n"/>
      <c r="C440" s="25">
        <f>IFERROR(IF(B440="","",INDEX(직원명부!$B$5:$B$24,MATCH(B440,직원명부!$A$5:$A$24,0))),"사번 확인")</f>
        <v/>
      </c>
      <c r="D440" s="19" t="n"/>
      <c r="E440" s="18" t="n"/>
      <c r="F440" s="28" t="n"/>
      <c r="G440" s="22" t="n"/>
      <c r="H440" s="18" t="n"/>
      <c r="I440" s="19" t="n"/>
    </row>
    <row r="441">
      <c r="A441" s="30">
        <f>IF(B441="","",COUNTA($B$5:$B441))</f>
        <v/>
      </c>
      <c r="B441" s="18" t="n"/>
      <c r="C441" s="25">
        <f>IFERROR(IF(B441="","",INDEX(직원명부!$B$5:$B$24,MATCH(B441,직원명부!$A$5:$A$24,0))),"사번 확인")</f>
        <v/>
      </c>
      <c r="D441" s="19" t="n"/>
      <c r="E441" s="18" t="n"/>
      <c r="F441" s="28" t="n"/>
      <c r="G441" s="22" t="n"/>
      <c r="H441" s="18" t="n"/>
      <c r="I441" s="19" t="n"/>
    </row>
    <row r="442">
      <c r="A442" s="30">
        <f>IF(B442="","",COUNTA($B$5:$B442))</f>
        <v/>
      </c>
      <c r="B442" s="18" t="n"/>
      <c r="C442" s="25">
        <f>IFERROR(IF(B442="","",INDEX(직원명부!$B$5:$B$24,MATCH(B442,직원명부!$A$5:$A$24,0))),"사번 확인")</f>
        <v/>
      </c>
      <c r="D442" s="19" t="n"/>
      <c r="E442" s="18" t="n"/>
      <c r="F442" s="28" t="n"/>
      <c r="G442" s="22" t="n"/>
      <c r="H442" s="18" t="n"/>
      <c r="I442" s="19" t="n"/>
    </row>
    <row r="443">
      <c r="A443" s="30">
        <f>IF(B443="","",COUNTA($B$5:$B443))</f>
        <v/>
      </c>
      <c r="B443" s="18" t="n"/>
      <c r="C443" s="25">
        <f>IFERROR(IF(B443="","",INDEX(직원명부!$B$5:$B$24,MATCH(B443,직원명부!$A$5:$A$24,0))),"사번 확인")</f>
        <v/>
      </c>
      <c r="D443" s="19" t="n"/>
      <c r="E443" s="18" t="n"/>
      <c r="F443" s="28" t="n"/>
      <c r="G443" s="22" t="n"/>
      <c r="H443" s="18" t="n"/>
      <c r="I443" s="19" t="n"/>
    </row>
    <row r="444">
      <c r="A444" s="30">
        <f>IF(B444="","",COUNTA($B$5:$B444))</f>
        <v/>
      </c>
      <c r="B444" s="18" t="n"/>
      <c r="C444" s="25">
        <f>IFERROR(IF(B444="","",INDEX(직원명부!$B$5:$B$24,MATCH(B444,직원명부!$A$5:$A$24,0))),"사번 확인")</f>
        <v/>
      </c>
      <c r="D444" s="19" t="n"/>
      <c r="E444" s="18" t="n"/>
      <c r="F444" s="28" t="n"/>
      <c r="G444" s="22" t="n"/>
      <c r="H444" s="18" t="n"/>
      <c r="I444" s="19" t="n"/>
    </row>
    <row r="445">
      <c r="A445" s="30">
        <f>IF(B445="","",COUNTA($B$5:$B445))</f>
        <v/>
      </c>
      <c r="B445" s="18" t="n"/>
      <c r="C445" s="25">
        <f>IFERROR(IF(B445="","",INDEX(직원명부!$B$5:$B$24,MATCH(B445,직원명부!$A$5:$A$24,0))),"사번 확인")</f>
        <v/>
      </c>
      <c r="D445" s="19" t="n"/>
      <c r="E445" s="18" t="n"/>
      <c r="F445" s="28" t="n"/>
      <c r="G445" s="22" t="n"/>
      <c r="H445" s="18" t="n"/>
      <c r="I445" s="19" t="n"/>
    </row>
    <row r="446">
      <c r="A446" s="30">
        <f>IF(B446="","",COUNTA($B$5:$B446))</f>
        <v/>
      </c>
      <c r="B446" s="18" t="n"/>
      <c r="C446" s="25">
        <f>IFERROR(IF(B446="","",INDEX(직원명부!$B$5:$B$24,MATCH(B446,직원명부!$A$5:$A$24,0))),"사번 확인")</f>
        <v/>
      </c>
      <c r="D446" s="19" t="n"/>
      <c r="E446" s="18" t="n"/>
      <c r="F446" s="28" t="n"/>
      <c r="G446" s="22" t="n"/>
      <c r="H446" s="18" t="n"/>
      <c r="I446" s="19" t="n"/>
    </row>
    <row r="447">
      <c r="A447" s="30">
        <f>IF(B447="","",COUNTA($B$5:$B447))</f>
        <v/>
      </c>
      <c r="B447" s="18" t="n"/>
      <c r="C447" s="25">
        <f>IFERROR(IF(B447="","",INDEX(직원명부!$B$5:$B$24,MATCH(B447,직원명부!$A$5:$A$24,0))),"사번 확인")</f>
        <v/>
      </c>
      <c r="D447" s="19" t="n"/>
      <c r="E447" s="18" t="n"/>
      <c r="F447" s="28" t="n"/>
      <c r="G447" s="22" t="n"/>
      <c r="H447" s="18" t="n"/>
      <c r="I447" s="19" t="n"/>
    </row>
    <row r="448">
      <c r="A448" s="30">
        <f>IF(B448="","",COUNTA($B$5:$B448))</f>
        <v/>
      </c>
      <c r="B448" s="18" t="n"/>
      <c r="C448" s="25">
        <f>IFERROR(IF(B448="","",INDEX(직원명부!$B$5:$B$24,MATCH(B448,직원명부!$A$5:$A$24,0))),"사번 확인")</f>
        <v/>
      </c>
      <c r="D448" s="19" t="n"/>
      <c r="E448" s="18" t="n"/>
      <c r="F448" s="28" t="n"/>
      <c r="G448" s="22" t="n"/>
      <c r="H448" s="18" t="n"/>
      <c r="I448" s="19" t="n"/>
    </row>
    <row r="449">
      <c r="A449" s="30">
        <f>IF(B449="","",COUNTA($B$5:$B449))</f>
        <v/>
      </c>
      <c r="B449" s="18" t="n"/>
      <c r="C449" s="25">
        <f>IFERROR(IF(B449="","",INDEX(직원명부!$B$5:$B$24,MATCH(B449,직원명부!$A$5:$A$24,0))),"사번 확인")</f>
        <v/>
      </c>
      <c r="D449" s="19" t="n"/>
      <c r="E449" s="18" t="n"/>
      <c r="F449" s="28" t="n"/>
      <c r="G449" s="22" t="n"/>
      <c r="H449" s="18" t="n"/>
      <c r="I449" s="19" t="n"/>
    </row>
    <row r="450">
      <c r="A450" s="30">
        <f>IF(B450="","",COUNTA($B$5:$B450))</f>
        <v/>
      </c>
      <c r="B450" s="18" t="n"/>
      <c r="C450" s="25">
        <f>IFERROR(IF(B450="","",INDEX(직원명부!$B$5:$B$24,MATCH(B450,직원명부!$A$5:$A$24,0))),"사번 확인")</f>
        <v/>
      </c>
      <c r="D450" s="19" t="n"/>
      <c r="E450" s="18" t="n"/>
      <c r="F450" s="28" t="n"/>
      <c r="G450" s="22" t="n"/>
      <c r="H450" s="18" t="n"/>
      <c r="I450" s="19" t="n"/>
    </row>
    <row r="451">
      <c r="A451" s="30">
        <f>IF(B451="","",COUNTA($B$5:$B451))</f>
        <v/>
      </c>
      <c r="B451" s="18" t="n"/>
      <c r="C451" s="25">
        <f>IFERROR(IF(B451="","",INDEX(직원명부!$B$5:$B$24,MATCH(B451,직원명부!$A$5:$A$24,0))),"사번 확인")</f>
        <v/>
      </c>
      <c r="D451" s="19" t="n"/>
      <c r="E451" s="18" t="n"/>
      <c r="F451" s="28" t="n"/>
      <c r="G451" s="22" t="n"/>
      <c r="H451" s="18" t="n"/>
      <c r="I451" s="19" t="n"/>
    </row>
    <row r="452">
      <c r="A452" s="30">
        <f>IF(B452="","",COUNTA($B$5:$B452))</f>
        <v/>
      </c>
      <c r="B452" s="18" t="n"/>
      <c r="C452" s="25">
        <f>IFERROR(IF(B452="","",INDEX(직원명부!$B$5:$B$24,MATCH(B452,직원명부!$A$5:$A$24,0))),"사번 확인")</f>
        <v/>
      </c>
      <c r="D452" s="19" t="n"/>
      <c r="E452" s="18" t="n"/>
      <c r="F452" s="28" t="n"/>
      <c r="G452" s="22" t="n"/>
      <c r="H452" s="18" t="n"/>
      <c r="I452" s="19" t="n"/>
    </row>
    <row r="453">
      <c r="A453" s="30">
        <f>IF(B453="","",COUNTA($B$5:$B453))</f>
        <v/>
      </c>
      <c r="B453" s="18" t="n"/>
      <c r="C453" s="25">
        <f>IFERROR(IF(B453="","",INDEX(직원명부!$B$5:$B$24,MATCH(B453,직원명부!$A$5:$A$24,0))),"사번 확인")</f>
        <v/>
      </c>
      <c r="D453" s="19" t="n"/>
      <c r="E453" s="18" t="n"/>
      <c r="F453" s="28" t="n"/>
      <c r="G453" s="22" t="n"/>
      <c r="H453" s="18" t="n"/>
      <c r="I453" s="19" t="n"/>
    </row>
    <row r="454">
      <c r="A454" s="30">
        <f>IF(B454="","",COUNTA($B$5:$B454))</f>
        <v/>
      </c>
      <c r="B454" s="18" t="n"/>
      <c r="C454" s="25">
        <f>IFERROR(IF(B454="","",INDEX(직원명부!$B$5:$B$24,MATCH(B454,직원명부!$A$5:$A$24,0))),"사번 확인")</f>
        <v/>
      </c>
      <c r="D454" s="19" t="n"/>
      <c r="E454" s="18" t="n"/>
      <c r="F454" s="28" t="n"/>
      <c r="G454" s="22" t="n"/>
      <c r="H454" s="18" t="n"/>
      <c r="I454" s="19" t="n"/>
    </row>
    <row r="455">
      <c r="A455" s="30">
        <f>IF(B455="","",COUNTA($B$5:$B455))</f>
        <v/>
      </c>
      <c r="B455" s="18" t="n"/>
      <c r="C455" s="25">
        <f>IFERROR(IF(B455="","",INDEX(직원명부!$B$5:$B$24,MATCH(B455,직원명부!$A$5:$A$24,0))),"사번 확인")</f>
        <v/>
      </c>
      <c r="D455" s="19" t="n"/>
      <c r="E455" s="18" t="n"/>
      <c r="F455" s="28" t="n"/>
      <c r="G455" s="22" t="n"/>
      <c r="H455" s="18" t="n"/>
      <c r="I455" s="19" t="n"/>
    </row>
    <row r="456">
      <c r="A456" s="30">
        <f>IF(B456="","",COUNTA($B$5:$B456))</f>
        <v/>
      </c>
      <c r="B456" s="18" t="n"/>
      <c r="C456" s="25">
        <f>IFERROR(IF(B456="","",INDEX(직원명부!$B$5:$B$24,MATCH(B456,직원명부!$A$5:$A$24,0))),"사번 확인")</f>
        <v/>
      </c>
      <c r="D456" s="19" t="n"/>
      <c r="E456" s="18" t="n"/>
      <c r="F456" s="28" t="n"/>
      <c r="G456" s="22" t="n"/>
      <c r="H456" s="18" t="n"/>
      <c r="I456" s="19" t="n"/>
    </row>
    <row r="457">
      <c r="A457" s="30">
        <f>IF(B457="","",COUNTA($B$5:$B457))</f>
        <v/>
      </c>
      <c r="B457" s="18" t="n"/>
      <c r="C457" s="25">
        <f>IFERROR(IF(B457="","",INDEX(직원명부!$B$5:$B$24,MATCH(B457,직원명부!$A$5:$A$24,0))),"사번 확인")</f>
        <v/>
      </c>
      <c r="D457" s="19" t="n"/>
      <c r="E457" s="18" t="n"/>
      <c r="F457" s="28" t="n"/>
      <c r="G457" s="22" t="n"/>
      <c r="H457" s="18" t="n"/>
      <c r="I457" s="19" t="n"/>
    </row>
    <row r="458">
      <c r="A458" s="30">
        <f>IF(B458="","",COUNTA($B$5:$B458))</f>
        <v/>
      </c>
      <c r="B458" s="18" t="n"/>
      <c r="C458" s="25">
        <f>IFERROR(IF(B458="","",INDEX(직원명부!$B$5:$B$24,MATCH(B458,직원명부!$A$5:$A$24,0))),"사번 확인")</f>
        <v/>
      </c>
      <c r="D458" s="19" t="n"/>
      <c r="E458" s="18" t="n"/>
      <c r="F458" s="28" t="n"/>
      <c r="G458" s="22" t="n"/>
      <c r="H458" s="18" t="n"/>
      <c r="I458" s="19" t="n"/>
    </row>
    <row r="459">
      <c r="A459" s="30">
        <f>IF(B459="","",COUNTA($B$5:$B459))</f>
        <v/>
      </c>
      <c r="B459" s="18" t="n"/>
      <c r="C459" s="25">
        <f>IFERROR(IF(B459="","",INDEX(직원명부!$B$5:$B$24,MATCH(B459,직원명부!$A$5:$A$24,0))),"사번 확인")</f>
        <v/>
      </c>
      <c r="D459" s="19" t="n"/>
      <c r="E459" s="18" t="n"/>
      <c r="F459" s="28" t="n"/>
      <c r="G459" s="22" t="n"/>
      <c r="H459" s="18" t="n"/>
      <c r="I459" s="19" t="n"/>
    </row>
    <row r="460">
      <c r="A460" s="30">
        <f>IF(B460="","",COUNTA($B$5:$B460))</f>
        <v/>
      </c>
      <c r="B460" s="18" t="n"/>
      <c r="C460" s="25">
        <f>IFERROR(IF(B460="","",INDEX(직원명부!$B$5:$B$24,MATCH(B460,직원명부!$A$5:$A$24,0))),"사번 확인")</f>
        <v/>
      </c>
      <c r="D460" s="19" t="n"/>
      <c r="E460" s="18" t="n"/>
      <c r="F460" s="28" t="n"/>
      <c r="G460" s="22" t="n"/>
      <c r="H460" s="18" t="n"/>
      <c r="I460" s="19" t="n"/>
    </row>
    <row r="461">
      <c r="A461" s="30">
        <f>IF(B461="","",COUNTA($B$5:$B461))</f>
        <v/>
      </c>
      <c r="B461" s="18" t="n"/>
      <c r="C461" s="25">
        <f>IFERROR(IF(B461="","",INDEX(직원명부!$B$5:$B$24,MATCH(B461,직원명부!$A$5:$A$24,0))),"사번 확인")</f>
        <v/>
      </c>
      <c r="D461" s="19" t="n"/>
      <c r="E461" s="18" t="n"/>
      <c r="F461" s="28" t="n"/>
      <c r="G461" s="22" t="n"/>
      <c r="H461" s="18" t="n"/>
      <c r="I461" s="19" t="n"/>
    </row>
    <row r="462">
      <c r="A462" s="30">
        <f>IF(B462="","",COUNTA($B$5:$B462))</f>
        <v/>
      </c>
      <c r="B462" s="18" t="n"/>
      <c r="C462" s="25">
        <f>IFERROR(IF(B462="","",INDEX(직원명부!$B$5:$B$24,MATCH(B462,직원명부!$A$5:$A$24,0))),"사번 확인")</f>
        <v/>
      </c>
      <c r="D462" s="19" t="n"/>
      <c r="E462" s="18" t="n"/>
      <c r="F462" s="28" t="n"/>
      <c r="G462" s="22" t="n"/>
      <c r="H462" s="18" t="n"/>
      <c r="I462" s="19" t="n"/>
    </row>
    <row r="463">
      <c r="A463" s="30">
        <f>IF(B463="","",COUNTA($B$5:$B463))</f>
        <v/>
      </c>
      <c r="B463" s="18" t="n"/>
      <c r="C463" s="25">
        <f>IFERROR(IF(B463="","",INDEX(직원명부!$B$5:$B$24,MATCH(B463,직원명부!$A$5:$A$24,0))),"사번 확인")</f>
        <v/>
      </c>
      <c r="D463" s="19" t="n"/>
      <c r="E463" s="18" t="n"/>
      <c r="F463" s="28" t="n"/>
      <c r="G463" s="22" t="n"/>
      <c r="H463" s="18" t="n"/>
      <c r="I463" s="19" t="n"/>
    </row>
    <row r="464">
      <c r="A464" s="30">
        <f>IF(B464="","",COUNTA($B$5:$B464))</f>
        <v/>
      </c>
      <c r="B464" s="18" t="n"/>
      <c r="C464" s="25">
        <f>IFERROR(IF(B464="","",INDEX(직원명부!$B$5:$B$24,MATCH(B464,직원명부!$A$5:$A$24,0))),"사번 확인")</f>
        <v/>
      </c>
      <c r="D464" s="19" t="n"/>
      <c r="E464" s="18" t="n"/>
      <c r="F464" s="28" t="n"/>
      <c r="G464" s="22" t="n"/>
      <c r="H464" s="18" t="n"/>
      <c r="I464" s="19" t="n"/>
    </row>
    <row r="465">
      <c r="A465" s="30">
        <f>IF(B465="","",COUNTA($B$5:$B465))</f>
        <v/>
      </c>
      <c r="B465" s="18" t="n"/>
      <c r="C465" s="25">
        <f>IFERROR(IF(B465="","",INDEX(직원명부!$B$5:$B$24,MATCH(B465,직원명부!$A$5:$A$24,0))),"사번 확인")</f>
        <v/>
      </c>
      <c r="D465" s="19" t="n"/>
      <c r="E465" s="18" t="n"/>
      <c r="F465" s="28" t="n"/>
      <c r="G465" s="22" t="n"/>
      <c r="H465" s="18" t="n"/>
      <c r="I465" s="19" t="n"/>
    </row>
    <row r="466">
      <c r="A466" s="30">
        <f>IF(B466="","",COUNTA($B$5:$B466))</f>
        <v/>
      </c>
      <c r="B466" s="18" t="n"/>
      <c r="C466" s="25">
        <f>IFERROR(IF(B466="","",INDEX(직원명부!$B$5:$B$24,MATCH(B466,직원명부!$A$5:$A$24,0))),"사번 확인")</f>
        <v/>
      </c>
      <c r="D466" s="19" t="n"/>
      <c r="E466" s="18" t="n"/>
      <c r="F466" s="28" t="n"/>
      <c r="G466" s="22" t="n"/>
      <c r="H466" s="18" t="n"/>
      <c r="I466" s="19" t="n"/>
    </row>
    <row r="467">
      <c r="A467" s="30">
        <f>IF(B467="","",COUNTA($B$5:$B467))</f>
        <v/>
      </c>
      <c r="B467" s="18" t="n"/>
      <c r="C467" s="25">
        <f>IFERROR(IF(B467="","",INDEX(직원명부!$B$5:$B$24,MATCH(B467,직원명부!$A$5:$A$24,0))),"사번 확인")</f>
        <v/>
      </c>
      <c r="D467" s="19" t="n"/>
      <c r="E467" s="18" t="n"/>
      <c r="F467" s="28" t="n"/>
      <c r="G467" s="22" t="n"/>
      <c r="H467" s="18" t="n"/>
      <c r="I467" s="19" t="n"/>
    </row>
    <row r="468">
      <c r="A468" s="30">
        <f>IF(B468="","",COUNTA($B$5:$B468))</f>
        <v/>
      </c>
      <c r="B468" s="18" t="n"/>
      <c r="C468" s="25">
        <f>IFERROR(IF(B468="","",INDEX(직원명부!$B$5:$B$24,MATCH(B468,직원명부!$A$5:$A$24,0))),"사번 확인")</f>
        <v/>
      </c>
      <c r="D468" s="19" t="n"/>
      <c r="E468" s="18" t="n"/>
      <c r="F468" s="28" t="n"/>
      <c r="G468" s="22" t="n"/>
      <c r="H468" s="18" t="n"/>
      <c r="I468" s="19" t="n"/>
    </row>
    <row r="469">
      <c r="A469" s="30">
        <f>IF(B469="","",COUNTA($B$5:$B469))</f>
        <v/>
      </c>
      <c r="B469" s="18" t="n"/>
      <c r="C469" s="25">
        <f>IFERROR(IF(B469="","",INDEX(직원명부!$B$5:$B$24,MATCH(B469,직원명부!$A$5:$A$24,0))),"사번 확인")</f>
        <v/>
      </c>
      <c r="D469" s="19" t="n"/>
      <c r="E469" s="18" t="n"/>
      <c r="F469" s="28" t="n"/>
      <c r="G469" s="22" t="n"/>
      <c r="H469" s="18" t="n"/>
      <c r="I469" s="19" t="n"/>
    </row>
    <row r="470">
      <c r="A470" s="30">
        <f>IF(B470="","",COUNTA($B$5:$B470))</f>
        <v/>
      </c>
      <c r="B470" s="18" t="n"/>
      <c r="C470" s="25">
        <f>IFERROR(IF(B470="","",INDEX(직원명부!$B$5:$B$24,MATCH(B470,직원명부!$A$5:$A$24,0))),"사번 확인")</f>
        <v/>
      </c>
      <c r="D470" s="19" t="n"/>
      <c r="E470" s="18" t="n"/>
      <c r="F470" s="28" t="n"/>
      <c r="G470" s="22" t="n"/>
      <c r="H470" s="18" t="n"/>
      <c r="I470" s="19" t="n"/>
    </row>
    <row r="471">
      <c r="A471" s="30">
        <f>IF(B471="","",COUNTA($B$5:$B471))</f>
        <v/>
      </c>
      <c r="B471" s="18" t="n"/>
      <c r="C471" s="25">
        <f>IFERROR(IF(B471="","",INDEX(직원명부!$B$5:$B$24,MATCH(B471,직원명부!$A$5:$A$24,0))),"사번 확인")</f>
        <v/>
      </c>
      <c r="D471" s="19" t="n"/>
      <c r="E471" s="18" t="n"/>
      <c r="F471" s="28" t="n"/>
      <c r="G471" s="22" t="n"/>
      <c r="H471" s="18" t="n"/>
      <c r="I471" s="19" t="n"/>
    </row>
    <row r="472">
      <c r="A472" s="30">
        <f>IF(B472="","",COUNTA($B$5:$B472))</f>
        <v/>
      </c>
      <c r="B472" s="18" t="n"/>
      <c r="C472" s="25">
        <f>IFERROR(IF(B472="","",INDEX(직원명부!$B$5:$B$24,MATCH(B472,직원명부!$A$5:$A$24,0))),"사번 확인")</f>
        <v/>
      </c>
      <c r="D472" s="19" t="n"/>
      <c r="E472" s="18" t="n"/>
      <c r="F472" s="28" t="n"/>
      <c r="G472" s="22" t="n"/>
      <c r="H472" s="18" t="n"/>
      <c r="I472" s="19" t="n"/>
    </row>
    <row r="473">
      <c r="A473" s="30">
        <f>IF(B473="","",COUNTA($B$5:$B473))</f>
        <v/>
      </c>
      <c r="B473" s="18" t="n"/>
      <c r="C473" s="25">
        <f>IFERROR(IF(B473="","",INDEX(직원명부!$B$5:$B$24,MATCH(B473,직원명부!$A$5:$A$24,0))),"사번 확인")</f>
        <v/>
      </c>
      <c r="D473" s="19" t="n"/>
      <c r="E473" s="18" t="n"/>
      <c r="F473" s="28" t="n"/>
      <c r="G473" s="22" t="n"/>
      <c r="H473" s="18" t="n"/>
      <c r="I473" s="19" t="n"/>
    </row>
    <row r="474">
      <c r="A474" s="30">
        <f>IF(B474="","",COUNTA($B$5:$B474))</f>
        <v/>
      </c>
      <c r="B474" s="18" t="n"/>
      <c r="C474" s="25">
        <f>IFERROR(IF(B474="","",INDEX(직원명부!$B$5:$B$24,MATCH(B474,직원명부!$A$5:$A$24,0))),"사번 확인")</f>
        <v/>
      </c>
      <c r="D474" s="19" t="n"/>
      <c r="E474" s="18" t="n"/>
      <c r="F474" s="28" t="n"/>
      <c r="G474" s="22" t="n"/>
      <c r="H474" s="18" t="n"/>
      <c r="I474" s="19" t="n"/>
    </row>
    <row r="475">
      <c r="A475" s="30">
        <f>IF(B475="","",COUNTA($B$5:$B475))</f>
        <v/>
      </c>
      <c r="B475" s="18" t="n"/>
      <c r="C475" s="25">
        <f>IFERROR(IF(B475="","",INDEX(직원명부!$B$5:$B$24,MATCH(B475,직원명부!$A$5:$A$24,0))),"사번 확인")</f>
        <v/>
      </c>
      <c r="D475" s="19" t="n"/>
      <c r="E475" s="18" t="n"/>
      <c r="F475" s="28" t="n"/>
      <c r="G475" s="22" t="n"/>
      <c r="H475" s="18" t="n"/>
      <c r="I475" s="19" t="n"/>
    </row>
    <row r="476">
      <c r="A476" s="30">
        <f>IF(B476="","",COUNTA($B$5:$B476))</f>
        <v/>
      </c>
      <c r="B476" s="18" t="n"/>
      <c r="C476" s="25">
        <f>IFERROR(IF(B476="","",INDEX(직원명부!$B$5:$B$24,MATCH(B476,직원명부!$A$5:$A$24,0))),"사번 확인")</f>
        <v/>
      </c>
      <c r="D476" s="19" t="n"/>
      <c r="E476" s="18" t="n"/>
      <c r="F476" s="28" t="n"/>
      <c r="G476" s="22" t="n"/>
      <c r="H476" s="18" t="n"/>
      <c r="I476" s="19" t="n"/>
    </row>
    <row r="477">
      <c r="A477" s="30">
        <f>IF(B477="","",COUNTA($B$5:$B477))</f>
        <v/>
      </c>
      <c r="B477" s="18" t="n"/>
      <c r="C477" s="25">
        <f>IFERROR(IF(B477="","",INDEX(직원명부!$B$5:$B$24,MATCH(B477,직원명부!$A$5:$A$24,0))),"사번 확인")</f>
        <v/>
      </c>
      <c r="D477" s="19" t="n"/>
      <c r="E477" s="18" t="n"/>
      <c r="F477" s="28" t="n"/>
      <c r="G477" s="22" t="n"/>
      <c r="H477" s="18" t="n"/>
      <c r="I477" s="19" t="n"/>
    </row>
    <row r="478">
      <c r="A478" s="30">
        <f>IF(B478="","",COUNTA($B$5:$B478))</f>
        <v/>
      </c>
      <c r="B478" s="18" t="n"/>
      <c r="C478" s="25">
        <f>IFERROR(IF(B478="","",INDEX(직원명부!$B$5:$B$24,MATCH(B478,직원명부!$A$5:$A$24,0))),"사번 확인")</f>
        <v/>
      </c>
      <c r="D478" s="19" t="n"/>
      <c r="E478" s="18" t="n"/>
      <c r="F478" s="28" t="n"/>
      <c r="G478" s="22" t="n"/>
      <c r="H478" s="18" t="n"/>
      <c r="I478" s="19" t="n"/>
    </row>
    <row r="479">
      <c r="A479" s="30">
        <f>IF(B479="","",COUNTA($B$5:$B479))</f>
        <v/>
      </c>
      <c r="B479" s="18" t="n"/>
      <c r="C479" s="25">
        <f>IFERROR(IF(B479="","",INDEX(직원명부!$B$5:$B$24,MATCH(B479,직원명부!$A$5:$A$24,0))),"사번 확인")</f>
        <v/>
      </c>
      <c r="D479" s="19" t="n"/>
      <c r="E479" s="18" t="n"/>
      <c r="F479" s="28" t="n"/>
      <c r="G479" s="22" t="n"/>
      <c r="H479" s="18" t="n"/>
      <c r="I479" s="19" t="n"/>
    </row>
    <row r="480">
      <c r="A480" s="30">
        <f>IF(B480="","",COUNTA($B$5:$B480))</f>
        <v/>
      </c>
      <c r="B480" s="18" t="n"/>
      <c r="C480" s="25">
        <f>IFERROR(IF(B480="","",INDEX(직원명부!$B$5:$B$24,MATCH(B480,직원명부!$A$5:$A$24,0))),"사번 확인")</f>
        <v/>
      </c>
      <c r="D480" s="19" t="n"/>
      <c r="E480" s="18" t="n"/>
      <c r="F480" s="28" t="n"/>
      <c r="G480" s="22" t="n"/>
      <c r="H480" s="18" t="n"/>
      <c r="I480" s="19" t="n"/>
    </row>
    <row r="481">
      <c r="A481" s="30">
        <f>IF(B481="","",COUNTA($B$5:$B481))</f>
        <v/>
      </c>
      <c r="B481" s="18" t="n"/>
      <c r="C481" s="25">
        <f>IFERROR(IF(B481="","",INDEX(직원명부!$B$5:$B$24,MATCH(B481,직원명부!$A$5:$A$24,0))),"사번 확인")</f>
        <v/>
      </c>
      <c r="D481" s="19" t="n"/>
      <c r="E481" s="18" t="n"/>
      <c r="F481" s="28" t="n"/>
      <c r="G481" s="22" t="n"/>
      <c r="H481" s="18" t="n"/>
      <c r="I481" s="19" t="n"/>
    </row>
    <row r="482">
      <c r="A482" s="30">
        <f>IF(B482="","",COUNTA($B$5:$B482))</f>
        <v/>
      </c>
      <c r="B482" s="18" t="n"/>
      <c r="C482" s="25">
        <f>IFERROR(IF(B482="","",INDEX(직원명부!$B$5:$B$24,MATCH(B482,직원명부!$A$5:$A$24,0))),"사번 확인")</f>
        <v/>
      </c>
      <c r="D482" s="19" t="n"/>
      <c r="E482" s="18" t="n"/>
      <c r="F482" s="28" t="n"/>
      <c r="G482" s="22" t="n"/>
      <c r="H482" s="18" t="n"/>
      <c r="I482" s="19" t="n"/>
    </row>
    <row r="483">
      <c r="A483" s="30">
        <f>IF(B483="","",COUNTA($B$5:$B483))</f>
        <v/>
      </c>
      <c r="B483" s="18" t="n"/>
      <c r="C483" s="25">
        <f>IFERROR(IF(B483="","",INDEX(직원명부!$B$5:$B$24,MATCH(B483,직원명부!$A$5:$A$24,0))),"사번 확인")</f>
        <v/>
      </c>
      <c r="D483" s="19" t="n"/>
      <c r="E483" s="18" t="n"/>
      <c r="F483" s="28" t="n"/>
      <c r="G483" s="22" t="n"/>
      <c r="H483" s="18" t="n"/>
      <c r="I483" s="19" t="n"/>
    </row>
    <row r="484">
      <c r="A484" s="30">
        <f>IF(B484="","",COUNTA($B$5:$B484))</f>
        <v/>
      </c>
      <c r="B484" s="18" t="n"/>
      <c r="C484" s="25">
        <f>IFERROR(IF(B484="","",INDEX(직원명부!$B$5:$B$24,MATCH(B484,직원명부!$A$5:$A$24,0))),"사번 확인")</f>
        <v/>
      </c>
      <c r="D484" s="19" t="n"/>
      <c r="E484" s="18" t="n"/>
      <c r="F484" s="28" t="n"/>
      <c r="G484" s="22" t="n"/>
      <c r="H484" s="18" t="n"/>
      <c r="I484" s="19" t="n"/>
    </row>
    <row r="485">
      <c r="A485" s="30">
        <f>IF(B485="","",COUNTA($B$5:$B485))</f>
        <v/>
      </c>
      <c r="B485" s="18" t="n"/>
      <c r="C485" s="25">
        <f>IFERROR(IF(B485="","",INDEX(직원명부!$B$5:$B$24,MATCH(B485,직원명부!$A$5:$A$24,0))),"사번 확인")</f>
        <v/>
      </c>
      <c r="D485" s="19" t="n"/>
      <c r="E485" s="18" t="n"/>
      <c r="F485" s="28" t="n"/>
      <c r="G485" s="22" t="n"/>
      <c r="H485" s="18" t="n"/>
      <c r="I485" s="19" t="n"/>
    </row>
    <row r="486">
      <c r="A486" s="30">
        <f>IF(B486="","",COUNTA($B$5:$B486))</f>
        <v/>
      </c>
      <c r="B486" s="18" t="n"/>
      <c r="C486" s="25">
        <f>IFERROR(IF(B486="","",INDEX(직원명부!$B$5:$B$24,MATCH(B486,직원명부!$A$5:$A$24,0))),"사번 확인")</f>
        <v/>
      </c>
      <c r="D486" s="19" t="n"/>
      <c r="E486" s="18" t="n"/>
      <c r="F486" s="28" t="n"/>
      <c r="G486" s="22" t="n"/>
      <c r="H486" s="18" t="n"/>
      <c r="I486" s="19" t="n"/>
    </row>
    <row r="487">
      <c r="A487" s="30">
        <f>IF(B487="","",COUNTA($B$5:$B487))</f>
        <v/>
      </c>
      <c r="B487" s="18" t="n"/>
      <c r="C487" s="25">
        <f>IFERROR(IF(B487="","",INDEX(직원명부!$B$5:$B$24,MATCH(B487,직원명부!$A$5:$A$24,0))),"사번 확인")</f>
        <v/>
      </c>
      <c r="D487" s="19" t="n"/>
      <c r="E487" s="18" t="n"/>
      <c r="F487" s="28" t="n"/>
      <c r="G487" s="22" t="n"/>
      <c r="H487" s="18" t="n"/>
      <c r="I487" s="19" t="n"/>
    </row>
    <row r="488">
      <c r="A488" s="30">
        <f>IF(B488="","",COUNTA($B$5:$B488))</f>
        <v/>
      </c>
      <c r="B488" s="18" t="n"/>
      <c r="C488" s="25">
        <f>IFERROR(IF(B488="","",INDEX(직원명부!$B$5:$B$24,MATCH(B488,직원명부!$A$5:$A$24,0))),"사번 확인")</f>
        <v/>
      </c>
      <c r="D488" s="19" t="n"/>
      <c r="E488" s="18" t="n"/>
      <c r="F488" s="28" t="n"/>
      <c r="G488" s="22" t="n"/>
      <c r="H488" s="18" t="n"/>
      <c r="I488" s="19" t="n"/>
    </row>
    <row r="489">
      <c r="A489" s="30">
        <f>IF(B489="","",COUNTA($B$5:$B489))</f>
        <v/>
      </c>
      <c r="B489" s="18" t="n"/>
      <c r="C489" s="25">
        <f>IFERROR(IF(B489="","",INDEX(직원명부!$B$5:$B$24,MATCH(B489,직원명부!$A$5:$A$24,0))),"사번 확인")</f>
        <v/>
      </c>
      <c r="D489" s="19" t="n"/>
      <c r="E489" s="18" t="n"/>
      <c r="F489" s="28" t="n"/>
      <c r="G489" s="22" t="n"/>
      <c r="H489" s="18" t="n"/>
      <c r="I489" s="19" t="n"/>
    </row>
    <row r="490">
      <c r="A490" s="30">
        <f>IF(B490="","",COUNTA($B$5:$B490))</f>
        <v/>
      </c>
      <c r="B490" s="18" t="n"/>
      <c r="C490" s="25">
        <f>IFERROR(IF(B490="","",INDEX(직원명부!$B$5:$B$24,MATCH(B490,직원명부!$A$5:$A$24,0))),"사번 확인")</f>
        <v/>
      </c>
      <c r="D490" s="19" t="n"/>
      <c r="E490" s="18" t="n"/>
      <c r="F490" s="28" t="n"/>
      <c r="G490" s="22" t="n"/>
      <c r="H490" s="18" t="n"/>
      <c r="I490" s="19" t="n"/>
    </row>
    <row r="491">
      <c r="A491" s="30">
        <f>IF(B491="","",COUNTA($B$5:$B491))</f>
        <v/>
      </c>
      <c r="B491" s="18" t="n"/>
      <c r="C491" s="25">
        <f>IFERROR(IF(B491="","",INDEX(직원명부!$B$5:$B$24,MATCH(B491,직원명부!$A$5:$A$24,0))),"사번 확인")</f>
        <v/>
      </c>
      <c r="D491" s="19" t="n"/>
      <c r="E491" s="18" t="n"/>
      <c r="F491" s="28" t="n"/>
      <c r="G491" s="22" t="n"/>
      <c r="H491" s="18" t="n"/>
      <c r="I491" s="19" t="n"/>
    </row>
    <row r="492">
      <c r="A492" s="30">
        <f>IF(B492="","",COUNTA($B$5:$B492))</f>
        <v/>
      </c>
      <c r="B492" s="18" t="n"/>
      <c r="C492" s="25">
        <f>IFERROR(IF(B492="","",INDEX(직원명부!$B$5:$B$24,MATCH(B492,직원명부!$A$5:$A$24,0))),"사번 확인")</f>
        <v/>
      </c>
      <c r="D492" s="19" t="n"/>
      <c r="E492" s="18" t="n"/>
      <c r="F492" s="28" t="n"/>
      <c r="G492" s="22" t="n"/>
      <c r="H492" s="18" t="n"/>
      <c r="I492" s="19" t="n"/>
    </row>
    <row r="493">
      <c r="A493" s="30">
        <f>IF(B493="","",COUNTA($B$5:$B493))</f>
        <v/>
      </c>
      <c r="B493" s="18" t="n"/>
      <c r="C493" s="25">
        <f>IFERROR(IF(B493="","",INDEX(직원명부!$B$5:$B$24,MATCH(B493,직원명부!$A$5:$A$24,0))),"사번 확인")</f>
        <v/>
      </c>
      <c r="D493" s="19" t="n"/>
      <c r="E493" s="18" t="n"/>
      <c r="F493" s="28" t="n"/>
      <c r="G493" s="22" t="n"/>
      <c r="H493" s="18" t="n"/>
      <c r="I493" s="19" t="n"/>
    </row>
    <row r="494">
      <c r="A494" s="30">
        <f>IF(B494="","",COUNTA($B$5:$B494))</f>
        <v/>
      </c>
      <c r="B494" s="18" t="n"/>
      <c r="C494" s="25">
        <f>IFERROR(IF(B494="","",INDEX(직원명부!$B$5:$B$24,MATCH(B494,직원명부!$A$5:$A$24,0))),"사번 확인")</f>
        <v/>
      </c>
      <c r="D494" s="19" t="n"/>
      <c r="E494" s="18" t="n"/>
      <c r="F494" s="28" t="n"/>
      <c r="G494" s="22" t="n"/>
      <c r="H494" s="18" t="n"/>
      <c r="I494" s="19" t="n"/>
    </row>
    <row r="495">
      <c r="A495" s="30">
        <f>IF(B495="","",COUNTA($B$5:$B495))</f>
        <v/>
      </c>
      <c r="B495" s="18" t="n"/>
      <c r="C495" s="25">
        <f>IFERROR(IF(B495="","",INDEX(직원명부!$B$5:$B$24,MATCH(B495,직원명부!$A$5:$A$24,0))),"사번 확인")</f>
        <v/>
      </c>
      <c r="D495" s="19" t="n"/>
      <c r="E495" s="18" t="n"/>
      <c r="F495" s="28" t="n"/>
      <c r="G495" s="22" t="n"/>
      <c r="H495" s="18" t="n"/>
      <c r="I495" s="19" t="n"/>
    </row>
    <row r="496">
      <c r="A496" s="30">
        <f>IF(B496="","",COUNTA($B$5:$B496))</f>
        <v/>
      </c>
      <c r="B496" s="18" t="n"/>
      <c r="C496" s="25">
        <f>IFERROR(IF(B496="","",INDEX(직원명부!$B$5:$B$24,MATCH(B496,직원명부!$A$5:$A$24,0))),"사번 확인")</f>
        <v/>
      </c>
      <c r="D496" s="19" t="n"/>
      <c r="E496" s="18" t="n"/>
      <c r="F496" s="28" t="n"/>
      <c r="G496" s="22" t="n"/>
      <c r="H496" s="18" t="n"/>
      <c r="I496" s="19" t="n"/>
    </row>
    <row r="497">
      <c r="A497" s="30">
        <f>IF(B497="","",COUNTA($B$5:$B497))</f>
        <v/>
      </c>
      <c r="B497" s="18" t="n"/>
      <c r="C497" s="25">
        <f>IFERROR(IF(B497="","",INDEX(직원명부!$B$5:$B$24,MATCH(B497,직원명부!$A$5:$A$24,0))),"사번 확인")</f>
        <v/>
      </c>
      <c r="D497" s="19" t="n"/>
      <c r="E497" s="18" t="n"/>
      <c r="F497" s="28" t="n"/>
      <c r="G497" s="22" t="n"/>
      <c r="H497" s="18" t="n"/>
      <c r="I497" s="19" t="n"/>
    </row>
    <row r="498">
      <c r="A498" s="30">
        <f>IF(B498="","",COUNTA($B$5:$B498))</f>
        <v/>
      </c>
      <c r="B498" s="18" t="n"/>
      <c r="C498" s="25">
        <f>IFERROR(IF(B498="","",INDEX(직원명부!$B$5:$B$24,MATCH(B498,직원명부!$A$5:$A$24,0))),"사번 확인")</f>
        <v/>
      </c>
      <c r="D498" s="19" t="n"/>
      <c r="E498" s="18" t="n"/>
      <c r="F498" s="28" t="n"/>
      <c r="G498" s="22" t="n"/>
      <c r="H498" s="18" t="n"/>
      <c r="I498" s="19" t="n"/>
    </row>
    <row r="499">
      <c r="A499" s="30">
        <f>IF(B499="","",COUNTA($B$5:$B499))</f>
        <v/>
      </c>
      <c r="B499" s="18" t="n"/>
      <c r="C499" s="25">
        <f>IFERROR(IF(B499="","",INDEX(직원명부!$B$5:$B$24,MATCH(B499,직원명부!$A$5:$A$24,0))),"사번 확인")</f>
        <v/>
      </c>
      <c r="D499" s="19" t="n"/>
      <c r="E499" s="18" t="n"/>
      <c r="F499" s="28" t="n"/>
      <c r="G499" s="22" t="n"/>
      <c r="H499" s="18" t="n"/>
      <c r="I499" s="19" t="n"/>
    </row>
    <row r="500">
      <c r="A500" s="30">
        <f>IF(B500="","",COUNTA($B$5:$B500))</f>
        <v/>
      </c>
      <c r="B500" s="18" t="n"/>
      <c r="C500" s="25">
        <f>IFERROR(IF(B500="","",INDEX(직원명부!$B$5:$B$24,MATCH(B500,직원명부!$A$5:$A$24,0))),"사번 확인")</f>
        <v/>
      </c>
      <c r="D500" s="19" t="n"/>
      <c r="E500" s="18" t="n"/>
      <c r="F500" s="28" t="n"/>
      <c r="G500" s="22" t="n"/>
      <c r="H500" s="18" t="n"/>
      <c r="I500" s="19" t="n"/>
    </row>
    <row r="501">
      <c r="A501" s="30">
        <f>IF(B501="","",COUNTA($B$5:$B501))</f>
        <v/>
      </c>
      <c r="B501" s="18" t="n"/>
      <c r="C501" s="25">
        <f>IFERROR(IF(B501="","",INDEX(직원명부!$B$5:$B$24,MATCH(B501,직원명부!$A$5:$A$24,0))),"사번 확인")</f>
        <v/>
      </c>
      <c r="D501" s="19" t="n"/>
      <c r="E501" s="18" t="n"/>
      <c r="F501" s="28" t="n"/>
      <c r="G501" s="22" t="n"/>
      <c r="H501" s="18" t="n"/>
      <c r="I501" s="19" t="n"/>
    </row>
    <row r="502">
      <c r="A502" s="30">
        <f>IF(B502="","",COUNTA($B$5:$B502))</f>
        <v/>
      </c>
      <c r="B502" s="18" t="n"/>
      <c r="C502" s="25">
        <f>IFERROR(IF(B502="","",INDEX(직원명부!$B$5:$B$24,MATCH(B502,직원명부!$A$5:$A$24,0))),"사번 확인")</f>
        <v/>
      </c>
      <c r="D502" s="19" t="n"/>
      <c r="E502" s="18" t="n"/>
      <c r="F502" s="28" t="n"/>
      <c r="G502" s="22" t="n"/>
      <c r="H502" s="18" t="n"/>
      <c r="I502" s="19" t="n"/>
    </row>
    <row r="503">
      <c r="A503" s="30">
        <f>IF(B503="","",COUNTA($B$5:$B503))</f>
        <v/>
      </c>
      <c r="B503" s="18" t="n"/>
      <c r="C503" s="25">
        <f>IFERROR(IF(B503="","",INDEX(직원명부!$B$5:$B$24,MATCH(B503,직원명부!$A$5:$A$24,0))),"사번 확인")</f>
        <v/>
      </c>
      <c r="D503" s="19" t="n"/>
      <c r="E503" s="18" t="n"/>
      <c r="F503" s="28" t="n"/>
      <c r="G503" s="22" t="n"/>
      <c r="H503" s="18" t="n"/>
      <c r="I503" s="19" t="n"/>
    </row>
    <row r="504">
      <c r="A504" s="30">
        <f>IF(B504="","",COUNTA($B$5:$B504))</f>
        <v/>
      </c>
      <c r="B504" s="18" t="n"/>
      <c r="C504" s="25">
        <f>IFERROR(IF(B504="","",INDEX(직원명부!$B$5:$B$24,MATCH(B504,직원명부!$A$5:$A$24,0))),"사번 확인")</f>
        <v/>
      </c>
      <c r="D504" s="19" t="n"/>
      <c r="E504" s="18" t="n"/>
      <c r="F504" s="28" t="n"/>
      <c r="G504" s="22" t="n"/>
      <c r="H504" s="18" t="n"/>
      <c r="I504" s="19" t="n"/>
    </row>
  </sheetData>
  <dataValidations count="1">
    <dataValidation sqref="E5:E504" showDropDown="0" showInputMessage="0" showErrorMessage="0" allowBlank="1" type="list">
      <formula1>=코드표!$D$5:$D$13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11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7" customWidth="1" min="2" max="2"/>
    <col width="10" customWidth="1" min="3" max="3"/>
    <col width="11" customWidth="1" min="4" max="4"/>
    <col width="9" customWidth="1" min="5" max="5"/>
    <col width="9" customWidth="1" min="6" max="6"/>
    <col width="10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8" customWidth="1" min="13" max="13"/>
    <col width="22" customWidth="1" min="14" max="14"/>
  </cols>
  <sheetData>
    <row r="1">
      <c r="A1" s="1" t="inlineStr">
        <is>
          <t>근태기록</t>
        </is>
      </c>
    </row>
    <row r="2">
      <c r="A2" s="2" t="inlineStr">
        <is>
          <t>출퇴근 시각을 매일 기록합니다. 근로기준법 제42조에 따라 3년간 보존해야 합니다.</t>
        </is>
      </c>
    </row>
    <row r="3">
      <c r="A3" s="9" t="inlineStr">
        <is>
          <t>입력 방법 :  파란 글씨 = 직접 입력하는 칸    ·    검은 글씨 + 회색 배경 = 자동 계산 (수정 금지)</t>
        </is>
      </c>
      <c r="E3" s="2" t="inlineStr">
        <is>
          <t>시각은 09:00 형식으로 입력합니다.  ·  휴게시간은 시간 단위 숫자(1 = 1시간)로 넣습니다.  ·  자정을 넘겨 퇴근한 경우에도 퇴근 시각만 그대로 적으면 근무시간이 맞게 계산됩니다.</t>
        </is>
      </c>
    </row>
    <row r="4" ht="30" customHeight="1">
      <c r="A4" s="10" t="inlineStr">
        <is>
          <t>날짜</t>
        </is>
      </c>
      <c r="B4" s="11" t="inlineStr">
        <is>
          <t>요일</t>
        </is>
      </c>
      <c r="C4" s="10" t="inlineStr">
        <is>
          <t>사번</t>
        </is>
      </c>
      <c r="D4" s="11" t="inlineStr">
        <is>
          <t>성명</t>
        </is>
      </c>
      <c r="E4" s="10" t="inlineStr">
        <is>
          <t>출근</t>
        </is>
      </c>
      <c r="F4" s="10" t="inlineStr">
        <is>
          <t>퇴근</t>
        </is>
      </c>
      <c r="G4" s="10" t="inlineStr">
        <is>
          <t>휴게(h)</t>
        </is>
      </c>
      <c r="H4" s="11" t="inlineStr">
        <is>
          <t>근무시간</t>
        </is>
      </c>
      <c r="I4" s="11" t="inlineStr">
        <is>
          <t>연장시간</t>
        </is>
      </c>
      <c r="J4" s="11" t="inlineStr">
        <is>
          <t>야간시간</t>
        </is>
      </c>
      <c r="K4" s="11" t="inlineStr">
        <is>
          <t>보상휴가</t>
        </is>
      </c>
      <c r="L4" s="10" t="inlineStr">
        <is>
          <t>근태구분</t>
        </is>
      </c>
      <c r="M4" s="10" t="inlineStr">
        <is>
          <t>프로젝트</t>
        </is>
      </c>
      <c r="N4" s="10" t="inlineStr">
        <is>
          <t>비고</t>
        </is>
      </c>
    </row>
    <row r="5">
      <c r="A5" s="19" t="n">
        <v>46034</v>
      </c>
      <c r="B5" s="25">
        <f>IF(A5="","",CHOOSE(WEEKDAY(A5,2),"월","화","수","목","금","토","일"))</f>
        <v/>
      </c>
      <c r="C5" s="18" t="inlineStr">
        <is>
          <t>M001</t>
        </is>
      </c>
      <c r="D5" s="25">
        <f>IFERROR(IF(C5="","",INDEX(직원명부!$B$5:$B$24,MATCH(C5,직원명부!$A$5:$A$24,0))),"사번 확인")</f>
        <v/>
      </c>
      <c r="E5" s="34" t="n">
        <v>0.375</v>
      </c>
      <c r="F5" s="34" t="n">
        <v>0.75</v>
      </c>
      <c r="G5" s="28" t="n">
        <v>1</v>
      </c>
      <c r="H5" s="33">
        <f>IF(OR(E5="",F5=""),"",ROUND(MOD(F5-E5,1)*24-N(G5),2))</f>
        <v/>
      </c>
      <c r="I5" s="33">
        <f>IF(H5="","",ROUND(MAX(0,H5-8),2))</f>
        <v/>
      </c>
      <c r="J5" s="33">
        <f>IF(OR(E5="",F5=""),"",ROUND(IF(MOD(F5,1)&gt;=TIME(22,0,0),(MOD(F5,1)-TIME(22,0,0))*24,IF(MOD(F5,1)&lt;TIME(6,0,0),(MOD(F5,1)+1-TIME(22,0,0))*24,0)),2))</f>
        <v/>
      </c>
      <c r="K5" s="33">
        <f>IF(H5="","",ROUND(IF(L5="휴일근로",MIN(H5,8)*1.5+MAX(0,H5-8)*2,I5*1.5)+N(J5)*0.5,2))</f>
        <v/>
      </c>
      <c r="L5" s="18" t="inlineStr">
        <is>
          <t>정상</t>
        </is>
      </c>
      <c r="M5" s="12" t="n"/>
      <c r="N5" s="17" t="n"/>
    </row>
    <row r="6">
      <c r="A6" s="19" t="n">
        <v>46035</v>
      </c>
      <c r="B6" s="25">
        <f>IF(A6="","",CHOOSE(WEEKDAY(A6,2),"월","화","수","목","금","토","일"))</f>
        <v/>
      </c>
      <c r="C6" s="18" t="inlineStr">
        <is>
          <t>M001</t>
        </is>
      </c>
      <c r="D6" s="25">
        <f>IFERROR(IF(C6="","",INDEX(직원명부!$B$5:$B$24,MATCH(C6,직원명부!$A$5:$A$24,0))),"사번 확인")</f>
        <v/>
      </c>
      <c r="E6" s="34" t="n">
        <v>0.375</v>
      </c>
      <c r="F6" s="34" t="n">
        <v>0.75</v>
      </c>
      <c r="G6" s="28" t="n">
        <v>1</v>
      </c>
      <c r="H6" s="33">
        <f>IF(OR(E6="",F6=""),"",ROUND(MOD(F6-E6,1)*24-N(G6),2))</f>
        <v/>
      </c>
      <c r="I6" s="33">
        <f>IF(H6="","",ROUND(MAX(0,H6-8),2))</f>
        <v/>
      </c>
      <c r="J6" s="33">
        <f>IF(OR(E6="",F6=""),"",ROUND(IF(MOD(F6,1)&gt;=TIME(22,0,0),(MOD(F6,1)-TIME(22,0,0))*24,IF(MOD(F6,1)&lt;TIME(6,0,0),(MOD(F6,1)+1-TIME(22,0,0))*24,0)),2))</f>
        <v/>
      </c>
      <c r="K6" s="33">
        <f>IF(H6="","",ROUND(IF(L6="휴일근로",MIN(H6,8)*1.5+MAX(0,H6-8)*2,I6*1.5)+N(J6)*0.5,2))</f>
        <v/>
      </c>
      <c r="L6" s="18" t="inlineStr">
        <is>
          <t>정상</t>
        </is>
      </c>
      <c r="M6" s="18" t="n"/>
      <c r="N6" s="22" t="n"/>
    </row>
    <row r="7">
      <c r="A7" s="19" t="n">
        <v>46036</v>
      </c>
      <c r="B7" s="25">
        <f>IF(A7="","",CHOOSE(WEEKDAY(A7,2),"월","화","수","목","금","토","일"))</f>
        <v/>
      </c>
      <c r="C7" s="18" t="inlineStr">
        <is>
          <t>M001</t>
        </is>
      </c>
      <c r="D7" s="25">
        <f>IFERROR(IF(C7="","",INDEX(직원명부!$B$5:$B$24,MATCH(C7,직원명부!$A$5:$A$24,0))),"사번 확인")</f>
        <v/>
      </c>
      <c r="E7" s="34" t="n">
        <v>0.375</v>
      </c>
      <c r="F7" s="34" t="n">
        <v>0.75</v>
      </c>
      <c r="G7" s="28" t="n">
        <v>1</v>
      </c>
      <c r="H7" s="33">
        <f>IF(OR(E7="",F7=""),"",ROUND(MOD(F7-E7,1)*24-N(G7),2))</f>
        <v/>
      </c>
      <c r="I7" s="33">
        <f>IF(H7="","",ROUND(MAX(0,H7-8),2))</f>
        <v/>
      </c>
      <c r="J7" s="33">
        <f>IF(OR(E7="",F7=""),"",ROUND(IF(MOD(F7,1)&gt;=TIME(22,0,0),(MOD(F7,1)-TIME(22,0,0))*24,IF(MOD(F7,1)&lt;TIME(6,0,0),(MOD(F7,1)+1-TIME(22,0,0))*24,0)),2))</f>
        <v/>
      </c>
      <c r="K7" s="33">
        <f>IF(H7="","",ROUND(IF(L7="휴일근로",MIN(H7,8)*1.5+MAX(0,H7-8)*2,I7*1.5)+N(J7)*0.5,2))</f>
        <v/>
      </c>
      <c r="L7" s="18" t="inlineStr">
        <is>
          <t>정상</t>
        </is>
      </c>
      <c r="M7" s="18" t="n"/>
      <c r="N7" s="22" t="n"/>
    </row>
    <row r="8">
      <c r="A8" s="19" t="n">
        <v>46037</v>
      </c>
      <c r="B8" s="25">
        <f>IF(A8="","",CHOOSE(WEEKDAY(A8,2),"월","화","수","목","금","토","일"))</f>
        <v/>
      </c>
      <c r="C8" s="18" t="inlineStr">
        <is>
          <t>M001</t>
        </is>
      </c>
      <c r="D8" s="25">
        <f>IFERROR(IF(C8="","",INDEX(직원명부!$B$5:$B$24,MATCH(C8,직원명부!$A$5:$A$24,0))),"사번 확인")</f>
        <v/>
      </c>
      <c r="E8" s="34" t="n">
        <v>0.375</v>
      </c>
      <c r="F8" s="34" t="n">
        <v>0.75</v>
      </c>
      <c r="G8" s="28" t="n">
        <v>1</v>
      </c>
      <c r="H8" s="33">
        <f>IF(OR(E8="",F8=""),"",ROUND(MOD(F8-E8,1)*24-N(G8),2))</f>
        <v/>
      </c>
      <c r="I8" s="33">
        <f>IF(H8="","",ROUND(MAX(0,H8-8),2))</f>
        <v/>
      </c>
      <c r="J8" s="33">
        <f>IF(OR(E8="",F8=""),"",ROUND(IF(MOD(F8,1)&gt;=TIME(22,0,0),(MOD(F8,1)-TIME(22,0,0))*24,IF(MOD(F8,1)&lt;TIME(6,0,0),(MOD(F8,1)+1-TIME(22,0,0))*24,0)),2))</f>
        <v/>
      </c>
      <c r="K8" s="33">
        <f>IF(H8="","",ROUND(IF(L8="휴일근로",MIN(H8,8)*1.5+MAX(0,H8-8)*2,I8*1.5)+N(J8)*0.5,2))</f>
        <v/>
      </c>
      <c r="L8" s="18" t="inlineStr">
        <is>
          <t>정상</t>
        </is>
      </c>
      <c r="M8" s="18" t="n"/>
      <c r="N8" s="22" t="n"/>
    </row>
    <row r="9">
      <c r="A9" s="19" t="n">
        <v>46038</v>
      </c>
      <c r="B9" s="25">
        <f>IF(A9="","",CHOOSE(WEEKDAY(A9,2),"월","화","수","목","금","토","일"))</f>
        <v/>
      </c>
      <c r="C9" s="18" t="inlineStr">
        <is>
          <t>M001</t>
        </is>
      </c>
      <c r="D9" s="25">
        <f>IFERROR(IF(C9="","",INDEX(직원명부!$B$5:$B$24,MATCH(C9,직원명부!$A$5:$A$24,0))),"사번 확인")</f>
        <v/>
      </c>
      <c r="E9" s="34" t="n">
        <v>0.375</v>
      </c>
      <c r="F9" s="34" t="n">
        <v>0.75</v>
      </c>
      <c r="G9" s="28" t="n">
        <v>1</v>
      </c>
      <c r="H9" s="33">
        <f>IF(OR(E9="",F9=""),"",ROUND(MOD(F9-E9,1)*24-N(G9),2))</f>
        <v/>
      </c>
      <c r="I9" s="33">
        <f>IF(H9="","",ROUND(MAX(0,H9-8),2))</f>
        <v/>
      </c>
      <c r="J9" s="33">
        <f>IF(OR(E9="",F9=""),"",ROUND(IF(MOD(F9,1)&gt;=TIME(22,0,0),(MOD(F9,1)-TIME(22,0,0))*24,IF(MOD(F9,1)&lt;TIME(6,0,0),(MOD(F9,1)+1-TIME(22,0,0))*24,0)),2))</f>
        <v/>
      </c>
      <c r="K9" s="33">
        <f>IF(H9="","",ROUND(IF(L9="휴일근로",MIN(H9,8)*1.5+MAX(0,H9-8)*2,I9*1.5)+N(J9)*0.5,2))</f>
        <v/>
      </c>
      <c r="L9" s="18" t="inlineStr">
        <is>
          <t>정상</t>
        </is>
      </c>
      <c r="M9" s="18" t="n"/>
      <c r="N9" s="22" t="n"/>
    </row>
    <row r="10">
      <c r="A10" s="19" t="n">
        <v>46039</v>
      </c>
      <c r="B10" s="25">
        <f>IF(A10="","",CHOOSE(WEEKDAY(A10,2),"월","화","수","목","금","토","일"))</f>
        <v/>
      </c>
      <c r="C10" s="18" t="inlineStr">
        <is>
          <t>M001</t>
        </is>
      </c>
      <c r="D10" s="25">
        <f>IFERROR(IF(C10="","",INDEX(직원명부!$B$5:$B$24,MATCH(C10,직원명부!$A$5:$A$24,0))),"사번 확인")</f>
        <v/>
      </c>
      <c r="E10" s="34" t="n"/>
      <c r="F10" s="34" t="n"/>
      <c r="G10" s="28" t="n"/>
      <c r="H10" s="33">
        <f>IF(OR(E10="",F10=""),"",ROUND(MOD(F10-E10,1)*24-N(G10),2))</f>
        <v/>
      </c>
      <c r="I10" s="33">
        <f>IF(H10="","",ROUND(MAX(0,H10-8),2))</f>
        <v/>
      </c>
      <c r="J10" s="33">
        <f>IF(OR(E10="",F10=""),"",ROUND(IF(MOD(F10,1)&gt;=TIME(22,0,0),(MOD(F10,1)-TIME(22,0,0))*24,IF(MOD(F10,1)&lt;TIME(6,0,0),(MOD(F10,1)+1-TIME(22,0,0))*24,0)),2))</f>
        <v/>
      </c>
      <c r="K10" s="33">
        <f>IF(H10="","",ROUND(IF(L10="휴일근로",MIN(H10,8)*1.5+MAX(0,H10-8)*2,I10*1.5)+N(J10)*0.5,2))</f>
        <v/>
      </c>
      <c r="L10" s="18" t="n"/>
      <c r="M10" s="18" t="n"/>
      <c r="N10" s="42" t="inlineStr">
        <is>
          <t>주말</t>
        </is>
      </c>
    </row>
    <row r="11">
      <c r="A11" s="19" t="n">
        <v>46040</v>
      </c>
      <c r="B11" s="25">
        <f>IF(A11="","",CHOOSE(WEEKDAY(A11,2),"월","화","수","목","금","토","일"))</f>
        <v/>
      </c>
      <c r="C11" s="18" t="inlineStr">
        <is>
          <t>M001</t>
        </is>
      </c>
      <c r="D11" s="25">
        <f>IFERROR(IF(C11="","",INDEX(직원명부!$B$5:$B$24,MATCH(C11,직원명부!$A$5:$A$24,0))),"사번 확인")</f>
        <v/>
      </c>
      <c r="E11" s="34" t="n"/>
      <c r="F11" s="34" t="n"/>
      <c r="G11" s="28" t="n"/>
      <c r="H11" s="33">
        <f>IF(OR(E11="",F11=""),"",ROUND(MOD(F11-E11,1)*24-N(G11),2))</f>
        <v/>
      </c>
      <c r="I11" s="33">
        <f>IF(H11="","",ROUND(MAX(0,H11-8),2))</f>
        <v/>
      </c>
      <c r="J11" s="33">
        <f>IF(OR(E11="",F11=""),"",ROUND(IF(MOD(F11,1)&gt;=TIME(22,0,0),(MOD(F11,1)-TIME(22,0,0))*24,IF(MOD(F11,1)&lt;TIME(6,0,0),(MOD(F11,1)+1-TIME(22,0,0))*24,0)),2))</f>
        <v/>
      </c>
      <c r="K11" s="33">
        <f>IF(H11="","",ROUND(IF(L11="휴일근로",MIN(H11,8)*1.5+MAX(0,H11-8)*2,I11*1.5)+N(J11)*0.5,2))</f>
        <v/>
      </c>
      <c r="L11" s="18" t="n"/>
      <c r="M11" s="18" t="n"/>
      <c r="N11" s="42" t="inlineStr">
        <is>
          <t>주말</t>
        </is>
      </c>
    </row>
    <row r="12">
      <c r="A12" s="19" t="n">
        <v>46041</v>
      </c>
      <c r="B12" s="25">
        <f>IF(A12="","",CHOOSE(WEEKDAY(A12,2),"월","화","수","목","금","토","일"))</f>
        <v/>
      </c>
      <c r="C12" s="18" t="inlineStr">
        <is>
          <t>M001</t>
        </is>
      </c>
      <c r="D12" s="25">
        <f>IFERROR(IF(C12="","",INDEX(직원명부!$B$5:$B$24,MATCH(C12,직원명부!$A$5:$A$24,0))),"사번 확인")</f>
        <v/>
      </c>
      <c r="E12" s="34" t="n">
        <v>0.375</v>
      </c>
      <c r="F12" s="34" t="n">
        <v>0.75</v>
      </c>
      <c r="G12" s="28" t="n">
        <v>1</v>
      </c>
      <c r="H12" s="33">
        <f>IF(OR(E12="",F12=""),"",ROUND(MOD(F12-E12,1)*24-N(G12),2))</f>
        <v/>
      </c>
      <c r="I12" s="33">
        <f>IF(H12="","",ROUND(MAX(0,H12-8),2))</f>
        <v/>
      </c>
      <c r="J12" s="33">
        <f>IF(OR(E12="",F12=""),"",ROUND(IF(MOD(F12,1)&gt;=TIME(22,0,0),(MOD(F12,1)-TIME(22,0,0))*24,IF(MOD(F12,1)&lt;TIME(6,0,0),(MOD(F12,1)+1-TIME(22,0,0))*24,0)),2))</f>
        <v/>
      </c>
      <c r="K12" s="33">
        <f>IF(H12="","",ROUND(IF(L12="휴일근로",MIN(H12,8)*1.5+MAX(0,H12-8)*2,I12*1.5)+N(J12)*0.5,2))</f>
        <v/>
      </c>
      <c r="L12" s="18" t="inlineStr">
        <is>
          <t>정상</t>
        </is>
      </c>
      <c r="M12" s="18" t="n"/>
      <c r="N12" s="22" t="n"/>
    </row>
    <row r="13">
      <c r="A13" s="19" t="n">
        <v>46042</v>
      </c>
      <c r="B13" s="25">
        <f>IF(A13="","",CHOOSE(WEEKDAY(A13,2),"월","화","수","목","금","토","일"))</f>
        <v/>
      </c>
      <c r="C13" s="18" t="inlineStr">
        <is>
          <t>M001</t>
        </is>
      </c>
      <c r="D13" s="25">
        <f>IFERROR(IF(C13="","",INDEX(직원명부!$B$5:$B$24,MATCH(C13,직원명부!$A$5:$A$24,0))),"사번 확인")</f>
        <v/>
      </c>
      <c r="E13" s="34" t="n">
        <v>0.375</v>
      </c>
      <c r="F13" s="34" t="n">
        <v>0.75</v>
      </c>
      <c r="G13" s="28" t="n">
        <v>1</v>
      </c>
      <c r="H13" s="33">
        <f>IF(OR(E13="",F13=""),"",ROUND(MOD(F13-E13,1)*24-N(G13),2))</f>
        <v/>
      </c>
      <c r="I13" s="33">
        <f>IF(H13="","",ROUND(MAX(0,H13-8),2))</f>
        <v/>
      </c>
      <c r="J13" s="33">
        <f>IF(OR(E13="",F13=""),"",ROUND(IF(MOD(F13,1)&gt;=TIME(22,0,0),(MOD(F13,1)-TIME(22,0,0))*24,IF(MOD(F13,1)&lt;TIME(6,0,0),(MOD(F13,1)+1-TIME(22,0,0))*24,0)),2))</f>
        <v/>
      </c>
      <c r="K13" s="33">
        <f>IF(H13="","",ROUND(IF(L13="휴일근로",MIN(H13,8)*1.5+MAX(0,H13-8)*2,I13*1.5)+N(J13)*0.5,2))</f>
        <v/>
      </c>
      <c r="L13" s="18" t="inlineStr">
        <is>
          <t>정상</t>
        </is>
      </c>
      <c r="M13" s="18" t="n"/>
      <c r="N13" s="22" t="n"/>
    </row>
    <row r="14">
      <c r="A14" s="19" t="n">
        <v>46043</v>
      </c>
      <c r="B14" s="25">
        <f>IF(A14="","",CHOOSE(WEEKDAY(A14,2),"월","화","수","목","금","토","일"))</f>
        <v/>
      </c>
      <c r="C14" s="18" t="inlineStr">
        <is>
          <t>M001</t>
        </is>
      </c>
      <c r="D14" s="25">
        <f>IFERROR(IF(C14="","",INDEX(직원명부!$B$5:$B$24,MATCH(C14,직원명부!$A$5:$A$24,0))),"사번 확인")</f>
        <v/>
      </c>
      <c r="E14" s="34" t="n">
        <v>0.375</v>
      </c>
      <c r="F14" s="34" t="n">
        <v>0.75</v>
      </c>
      <c r="G14" s="28" t="n">
        <v>1</v>
      </c>
      <c r="H14" s="33">
        <f>IF(OR(E14="",F14=""),"",ROUND(MOD(F14-E14,1)*24-N(G14),2))</f>
        <v/>
      </c>
      <c r="I14" s="33">
        <f>IF(H14="","",ROUND(MAX(0,H14-8),2))</f>
        <v/>
      </c>
      <c r="J14" s="33">
        <f>IF(OR(E14="",F14=""),"",ROUND(IF(MOD(F14,1)&gt;=TIME(22,0,0),(MOD(F14,1)-TIME(22,0,0))*24,IF(MOD(F14,1)&lt;TIME(6,0,0),(MOD(F14,1)+1-TIME(22,0,0))*24,0)),2))</f>
        <v/>
      </c>
      <c r="K14" s="33">
        <f>IF(H14="","",ROUND(IF(L14="휴일근로",MIN(H14,8)*1.5+MAX(0,H14-8)*2,I14*1.5)+N(J14)*0.5,2))</f>
        <v/>
      </c>
      <c r="L14" s="18" t="inlineStr">
        <is>
          <t>정상</t>
        </is>
      </c>
      <c r="M14" s="18" t="n"/>
      <c r="N14" s="22" t="n"/>
    </row>
    <row r="15">
      <c r="A15" s="19" t="n">
        <v>46044</v>
      </c>
      <c r="B15" s="25">
        <f>IF(A15="","",CHOOSE(WEEKDAY(A15,2),"월","화","수","목","금","토","일"))</f>
        <v/>
      </c>
      <c r="C15" s="18" t="inlineStr">
        <is>
          <t>M001</t>
        </is>
      </c>
      <c r="D15" s="25">
        <f>IFERROR(IF(C15="","",INDEX(직원명부!$B$5:$B$24,MATCH(C15,직원명부!$A$5:$A$24,0))),"사번 확인")</f>
        <v/>
      </c>
      <c r="E15" s="34" t="n">
        <v>0.375</v>
      </c>
      <c r="F15" s="34" t="n">
        <v>0.75</v>
      </c>
      <c r="G15" s="28" t="n">
        <v>1</v>
      </c>
      <c r="H15" s="33">
        <f>IF(OR(E15="",F15=""),"",ROUND(MOD(F15-E15,1)*24-N(G15),2))</f>
        <v/>
      </c>
      <c r="I15" s="33">
        <f>IF(H15="","",ROUND(MAX(0,H15-8),2))</f>
        <v/>
      </c>
      <c r="J15" s="33">
        <f>IF(OR(E15="",F15=""),"",ROUND(IF(MOD(F15,1)&gt;=TIME(22,0,0),(MOD(F15,1)-TIME(22,0,0))*24,IF(MOD(F15,1)&lt;TIME(6,0,0),(MOD(F15,1)+1-TIME(22,0,0))*24,0)),2))</f>
        <v/>
      </c>
      <c r="K15" s="33">
        <f>IF(H15="","",ROUND(IF(L15="휴일근로",MIN(H15,8)*1.5+MAX(0,H15-8)*2,I15*1.5)+N(J15)*0.5,2))</f>
        <v/>
      </c>
      <c r="L15" s="18" t="inlineStr">
        <is>
          <t>정상</t>
        </is>
      </c>
      <c r="M15" s="18" t="n"/>
      <c r="N15" s="22" t="n"/>
    </row>
    <row r="16">
      <c r="A16" s="19" t="n">
        <v>46045</v>
      </c>
      <c r="B16" s="25">
        <f>IF(A16="","",CHOOSE(WEEKDAY(A16,2),"월","화","수","목","금","토","일"))</f>
        <v/>
      </c>
      <c r="C16" s="18" t="inlineStr">
        <is>
          <t>M001</t>
        </is>
      </c>
      <c r="D16" s="25">
        <f>IFERROR(IF(C16="","",INDEX(직원명부!$B$5:$B$24,MATCH(C16,직원명부!$A$5:$A$24,0))),"사번 확인")</f>
        <v/>
      </c>
      <c r="E16" s="34" t="n">
        <v>0.375</v>
      </c>
      <c r="F16" s="34" t="n">
        <v>0.75</v>
      </c>
      <c r="G16" s="28" t="n">
        <v>1</v>
      </c>
      <c r="H16" s="33">
        <f>IF(OR(E16="",F16=""),"",ROUND(MOD(F16-E16,1)*24-N(G16),2))</f>
        <v/>
      </c>
      <c r="I16" s="33">
        <f>IF(H16="","",ROUND(MAX(0,H16-8),2))</f>
        <v/>
      </c>
      <c r="J16" s="33">
        <f>IF(OR(E16="",F16=""),"",ROUND(IF(MOD(F16,1)&gt;=TIME(22,0,0),(MOD(F16,1)-TIME(22,0,0))*24,IF(MOD(F16,1)&lt;TIME(6,0,0),(MOD(F16,1)+1-TIME(22,0,0))*24,0)),2))</f>
        <v/>
      </c>
      <c r="K16" s="33">
        <f>IF(H16="","",ROUND(IF(L16="휴일근로",MIN(H16,8)*1.5+MAX(0,H16-8)*2,I16*1.5)+N(J16)*0.5,2))</f>
        <v/>
      </c>
      <c r="L16" s="18" t="inlineStr">
        <is>
          <t>정상</t>
        </is>
      </c>
      <c r="M16" s="18" t="n"/>
      <c r="N16" s="22" t="n"/>
    </row>
    <row r="17">
      <c r="A17" s="19" t="n">
        <v>46046</v>
      </c>
      <c r="B17" s="25">
        <f>IF(A17="","",CHOOSE(WEEKDAY(A17,2),"월","화","수","목","금","토","일"))</f>
        <v/>
      </c>
      <c r="C17" s="18" t="inlineStr">
        <is>
          <t>M001</t>
        </is>
      </c>
      <c r="D17" s="25">
        <f>IFERROR(IF(C17="","",INDEX(직원명부!$B$5:$B$24,MATCH(C17,직원명부!$A$5:$A$24,0))),"사번 확인")</f>
        <v/>
      </c>
      <c r="E17" s="34" t="n"/>
      <c r="F17" s="34" t="n"/>
      <c r="G17" s="28" t="n"/>
      <c r="H17" s="33">
        <f>IF(OR(E17="",F17=""),"",ROUND(MOD(F17-E17,1)*24-N(G17),2))</f>
        <v/>
      </c>
      <c r="I17" s="33">
        <f>IF(H17="","",ROUND(MAX(0,H17-8),2))</f>
        <v/>
      </c>
      <c r="J17" s="33">
        <f>IF(OR(E17="",F17=""),"",ROUND(IF(MOD(F17,1)&gt;=TIME(22,0,0),(MOD(F17,1)-TIME(22,0,0))*24,IF(MOD(F17,1)&lt;TIME(6,0,0),(MOD(F17,1)+1-TIME(22,0,0))*24,0)),2))</f>
        <v/>
      </c>
      <c r="K17" s="33">
        <f>IF(H17="","",ROUND(IF(L17="휴일근로",MIN(H17,8)*1.5+MAX(0,H17-8)*2,I17*1.5)+N(J17)*0.5,2))</f>
        <v/>
      </c>
      <c r="L17" s="18" t="n"/>
      <c r="M17" s="18" t="n"/>
      <c r="N17" s="42" t="inlineStr">
        <is>
          <t>주말</t>
        </is>
      </c>
    </row>
    <row r="18">
      <c r="A18" s="19" t="n">
        <v>46047</v>
      </c>
      <c r="B18" s="25">
        <f>IF(A18="","",CHOOSE(WEEKDAY(A18,2),"월","화","수","목","금","토","일"))</f>
        <v/>
      </c>
      <c r="C18" s="18" t="inlineStr">
        <is>
          <t>M001</t>
        </is>
      </c>
      <c r="D18" s="25">
        <f>IFERROR(IF(C18="","",INDEX(직원명부!$B$5:$B$24,MATCH(C18,직원명부!$A$5:$A$24,0))),"사번 확인")</f>
        <v/>
      </c>
      <c r="E18" s="34" t="n"/>
      <c r="F18" s="34" t="n"/>
      <c r="G18" s="28" t="n"/>
      <c r="H18" s="33">
        <f>IF(OR(E18="",F18=""),"",ROUND(MOD(F18-E18,1)*24-N(G18),2))</f>
        <v/>
      </c>
      <c r="I18" s="33">
        <f>IF(H18="","",ROUND(MAX(0,H18-8),2))</f>
        <v/>
      </c>
      <c r="J18" s="33">
        <f>IF(OR(E18="",F18=""),"",ROUND(IF(MOD(F18,1)&gt;=TIME(22,0,0),(MOD(F18,1)-TIME(22,0,0))*24,IF(MOD(F18,1)&lt;TIME(6,0,0),(MOD(F18,1)+1-TIME(22,0,0))*24,0)),2))</f>
        <v/>
      </c>
      <c r="K18" s="33">
        <f>IF(H18="","",ROUND(IF(L18="휴일근로",MIN(H18,8)*1.5+MAX(0,H18-8)*2,I18*1.5)+N(J18)*0.5,2))</f>
        <v/>
      </c>
      <c r="L18" s="18" t="n"/>
      <c r="M18" s="18" t="n"/>
      <c r="N18" s="42" t="inlineStr">
        <is>
          <t>주말</t>
        </is>
      </c>
    </row>
    <row r="19">
      <c r="A19" s="19" t="n">
        <v>46048</v>
      </c>
      <c r="B19" s="25">
        <f>IF(A19="","",CHOOSE(WEEKDAY(A19,2),"월","화","수","목","금","토","일"))</f>
        <v/>
      </c>
      <c r="C19" s="18" t="inlineStr">
        <is>
          <t>M001</t>
        </is>
      </c>
      <c r="D19" s="25">
        <f>IFERROR(IF(C19="","",INDEX(직원명부!$B$5:$B$24,MATCH(C19,직원명부!$A$5:$A$24,0))),"사번 확인")</f>
        <v/>
      </c>
      <c r="E19" s="34" t="n">
        <v>0.375</v>
      </c>
      <c r="F19" s="34" t="n">
        <v>0.75</v>
      </c>
      <c r="G19" s="28" t="n">
        <v>1</v>
      </c>
      <c r="H19" s="33">
        <f>IF(OR(E19="",F19=""),"",ROUND(MOD(F19-E19,1)*24-N(G19),2))</f>
        <v/>
      </c>
      <c r="I19" s="33">
        <f>IF(H19="","",ROUND(MAX(0,H19-8),2))</f>
        <v/>
      </c>
      <c r="J19" s="33">
        <f>IF(OR(E19="",F19=""),"",ROUND(IF(MOD(F19,1)&gt;=TIME(22,0,0),(MOD(F19,1)-TIME(22,0,0))*24,IF(MOD(F19,1)&lt;TIME(6,0,0),(MOD(F19,1)+1-TIME(22,0,0))*24,0)),2))</f>
        <v/>
      </c>
      <c r="K19" s="33">
        <f>IF(H19="","",ROUND(IF(L19="휴일근로",MIN(H19,8)*1.5+MAX(0,H19-8)*2,I19*1.5)+N(J19)*0.5,2))</f>
        <v/>
      </c>
      <c r="L19" s="18" t="inlineStr">
        <is>
          <t>정상</t>
        </is>
      </c>
      <c r="M19" s="18" t="n"/>
      <c r="N19" s="22" t="n"/>
    </row>
    <row r="20">
      <c r="A20" s="19" t="n">
        <v>46049</v>
      </c>
      <c r="B20" s="25">
        <f>IF(A20="","",CHOOSE(WEEKDAY(A20,2),"월","화","수","목","금","토","일"))</f>
        <v/>
      </c>
      <c r="C20" s="18" t="inlineStr">
        <is>
          <t>M001</t>
        </is>
      </c>
      <c r="D20" s="25">
        <f>IFERROR(IF(C20="","",INDEX(직원명부!$B$5:$B$24,MATCH(C20,직원명부!$A$5:$A$24,0))),"사번 확인")</f>
        <v/>
      </c>
      <c r="E20" s="34" t="n">
        <v>0.375</v>
      </c>
      <c r="F20" s="34" t="n">
        <v>0.75</v>
      </c>
      <c r="G20" s="28" t="n">
        <v>1</v>
      </c>
      <c r="H20" s="33">
        <f>IF(OR(E20="",F20=""),"",ROUND(MOD(F20-E20,1)*24-N(G20),2))</f>
        <v/>
      </c>
      <c r="I20" s="33">
        <f>IF(H20="","",ROUND(MAX(0,H20-8),2))</f>
        <v/>
      </c>
      <c r="J20" s="33">
        <f>IF(OR(E20="",F20=""),"",ROUND(IF(MOD(F20,1)&gt;=TIME(22,0,0),(MOD(F20,1)-TIME(22,0,0))*24,IF(MOD(F20,1)&lt;TIME(6,0,0),(MOD(F20,1)+1-TIME(22,0,0))*24,0)),2))</f>
        <v/>
      </c>
      <c r="K20" s="33">
        <f>IF(H20="","",ROUND(IF(L20="휴일근로",MIN(H20,8)*1.5+MAX(0,H20-8)*2,I20*1.5)+N(J20)*0.5,2))</f>
        <v/>
      </c>
      <c r="L20" s="18" t="inlineStr">
        <is>
          <t>정상</t>
        </is>
      </c>
      <c r="M20" s="18" t="n"/>
      <c r="N20" s="22" t="n"/>
    </row>
    <row r="21">
      <c r="A21" s="19" t="n">
        <v>46050</v>
      </c>
      <c r="B21" s="25">
        <f>IF(A21="","",CHOOSE(WEEKDAY(A21,2),"월","화","수","목","금","토","일"))</f>
        <v/>
      </c>
      <c r="C21" s="18" t="inlineStr">
        <is>
          <t>M001</t>
        </is>
      </c>
      <c r="D21" s="25">
        <f>IFERROR(IF(C21="","",INDEX(직원명부!$B$5:$B$24,MATCH(C21,직원명부!$A$5:$A$24,0))),"사번 확인")</f>
        <v/>
      </c>
      <c r="E21" s="34" t="n">
        <v>0.375</v>
      </c>
      <c r="F21" s="34" t="n">
        <v>0.75</v>
      </c>
      <c r="G21" s="28" t="n">
        <v>1</v>
      </c>
      <c r="H21" s="33">
        <f>IF(OR(E21="",F21=""),"",ROUND(MOD(F21-E21,1)*24-N(G21),2))</f>
        <v/>
      </c>
      <c r="I21" s="33">
        <f>IF(H21="","",ROUND(MAX(0,H21-8),2))</f>
        <v/>
      </c>
      <c r="J21" s="33">
        <f>IF(OR(E21="",F21=""),"",ROUND(IF(MOD(F21,1)&gt;=TIME(22,0,0),(MOD(F21,1)-TIME(22,0,0))*24,IF(MOD(F21,1)&lt;TIME(6,0,0),(MOD(F21,1)+1-TIME(22,0,0))*24,0)),2))</f>
        <v/>
      </c>
      <c r="K21" s="33">
        <f>IF(H21="","",ROUND(IF(L21="휴일근로",MIN(H21,8)*1.5+MAX(0,H21-8)*2,I21*1.5)+N(J21)*0.5,2))</f>
        <v/>
      </c>
      <c r="L21" s="18" t="inlineStr">
        <is>
          <t>정상</t>
        </is>
      </c>
      <c r="M21" s="18" t="n"/>
      <c r="N21" s="22" t="n"/>
    </row>
    <row r="22">
      <c r="A22" s="19" t="n">
        <v>46051</v>
      </c>
      <c r="B22" s="25">
        <f>IF(A22="","",CHOOSE(WEEKDAY(A22,2),"월","화","수","목","금","토","일"))</f>
        <v/>
      </c>
      <c r="C22" s="18" t="inlineStr">
        <is>
          <t>M001</t>
        </is>
      </c>
      <c r="D22" s="25">
        <f>IFERROR(IF(C22="","",INDEX(직원명부!$B$5:$B$24,MATCH(C22,직원명부!$A$5:$A$24,0))),"사번 확인")</f>
        <v/>
      </c>
      <c r="E22" s="34" t="n">
        <v>0.375</v>
      </c>
      <c r="F22" s="34" t="n">
        <v>0.75</v>
      </c>
      <c r="G22" s="28" t="n">
        <v>1</v>
      </c>
      <c r="H22" s="33">
        <f>IF(OR(E22="",F22=""),"",ROUND(MOD(F22-E22,1)*24-N(G22),2))</f>
        <v/>
      </c>
      <c r="I22" s="33">
        <f>IF(H22="","",ROUND(MAX(0,H22-8),2))</f>
        <v/>
      </c>
      <c r="J22" s="33">
        <f>IF(OR(E22="",F22=""),"",ROUND(IF(MOD(F22,1)&gt;=TIME(22,0,0),(MOD(F22,1)-TIME(22,0,0))*24,IF(MOD(F22,1)&lt;TIME(6,0,0),(MOD(F22,1)+1-TIME(22,0,0))*24,0)),2))</f>
        <v/>
      </c>
      <c r="K22" s="33">
        <f>IF(H22="","",ROUND(IF(L22="휴일근로",MIN(H22,8)*1.5+MAX(0,H22-8)*2,I22*1.5)+N(J22)*0.5,2))</f>
        <v/>
      </c>
      <c r="L22" s="18" t="inlineStr">
        <is>
          <t>정상</t>
        </is>
      </c>
      <c r="M22" s="18" t="n"/>
      <c r="N22" s="22" t="n"/>
    </row>
    <row r="23">
      <c r="A23" s="19" t="n">
        <v>46052</v>
      </c>
      <c r="B23" s="25">
        <f>IF(A23="","",CHOOSE(WEEKDAY(A23,2),"월","화","수","목","금","토","일"))</f>
        <v/>
      </c>
      <c r="C23" s="18" t="inlineStr">
        <is>
          <t>M001</t>
        </is>
      </c>
      <c r="D23" s="25">
        <f>IFERROR(IF(C23="","",INDEX(직원명부!$B$5:$B$24,MATCH(C23,직원명부!$A$5:$A$24,0))),"사번 확인")</f>
        <v/>
      </c>
      <c r="E23" s="34" t="n">
        <v>0.375</v>
      </c>
      <c r="F23" s="34" t="n">
        <v>0.75</v>
      </c>
      <c r="G23" s="28" t="n">
        <v>1</v>
      </c>
      <c r="H23" s="33">
        <f>IF(OR(E23="",F23=""),"",ROUND(MOD(F23-E23,1)*24-N(G23),2))</f>
        <v/>
      </c>
      <c r="I23" s="33">
        <f>IF(H23="","",ROUND(MAX(0,H23-8),2))</f>
        <v/>
      </c>
      <c r="J23" s="33">
        <f>IF(OR(E23="",F23=""),"",ROUND(IF(MOD(F23,1)&gt;=TIME(22,0,0),(MOD(F23,1)-TIME(22,0,0))*24,IF(MOD(F23,1)&lt;TIME(6,0,0),(MOD(F23,1)+1-TIME(22,0,0))*24,0)),2))</f>
        <v/>
      </c>
      <c r="K23" s="33">
        <f>IF(H23="","",ROUND(IF(L23="휴일근로",MIN(H23,8)*1.5+MAX(0,H23-8)*2,I23*1.5)+N(J23)*0.5,2))</f>
        <v/>
      </c>
      <c r="L23" s="18" t="inlineStr">
        <is>
          <t>정상</t>
        </is>
      </c>
      <c r="M23" s="18" t="n"/>
      <c r="N23" s="22" t="n"/>
    </row>
    <row r="24">
      <c r="A24" s="19" t="n">
        <v>46053</v>
      </c>
      <c r="B24" s="25">
        <f>IF(A24="","",CHOOSE(WEEKDAY(A24,2),"월","화","수","목","금","토","일"))</f>
        <v/>
      </c>
      <c r="C24" s="18" t="inlineStr">
        <is>
          <t>M001</t>
        </is>
      </c>
      <c r="D24" s="25">
        <f>IFERROR(IF(C24="","",INDEX(직원명부!$B$5:$B$24,MATCH(C24,직원명부!$A$5:$A$24,0))),"사번 확인")</f>
        <v/>
      </c>
      <c r="E24" s="34" t="n"/>
      <c r="F24" s="34" t="n"/>
      <c r="G24" s="28" t="n"/>
      <c r="H24" s="33">
        <f>IF(OR(E24="",F24=""),"",ROUND(MOD(F24-E24,1)*24-N(G24),2))</f>
        <v/>
      </c>
      <c r="I24" s="33">
        <f>IF(H24="","",ROUND(MAX(0,H24-8),2))</f>
        <v/>
      </c>
      <c r="J24" s="33">
        <f>IF(OR(E24="",F24=""),"",ROUND(IF(MOD(F24,1)&gt;=TIME(22,0,0),(MOD(F24,1)-TIME(22,0,0))*24,IF(MOD(F24,1)&lt;TIME(6,0,0),(MOD(F24,1)+1-TIME(22,0,0))*24,0)),2))</f>
        <v/>
      </c>
      <c r="K24" s="33">
        <f>IF(H24="","",ROUND(IF(L24="휴일근로",MIN(H24,8)*1.5+MAX(0,H24-8)*2,I24*1.5)+N(J24)*0.5,2))</f>
        <v/>
      </c>
      <c r="L24" s="18" t="n"/>
      <c r="M24" s="18" t="n"/>
      <c r="N24" s="42" t="inlineStr">
        <is>
          <t>주말</t>
        </is>
      </c>
    </row>
    <row r="25">
      <c r="A25" s="19" t="n">
        <v>46054</v>
      </c>
      <c r="B25" s="25">
        <f>IF(A25="","",CHOOSE(WEEKDAY(A25,2),"월","화","수","목","금","토","일"))</f>
        <v/>
      </c>
      <c r="C25" s="18" t="inlineStr">
        <is>
          <t>M001</t>
        </is>
      </c>
      <c r="D25" s="25">
        <f>IFERROR(IF(C25="","",INDEX(직원명부!$B$5:$B$24,MATCH(C25,직원명부!$A$5:$A$24,0))),"사번 확인")</f>
        <v/>
      </c>
      <c r="E25" s="34" t="n"/>
      <c r="F25" s="34" t="n"/>
      <c r="G25" s="28" t="n"/>
      <c r="H25" s="33">
        <f>IF(OR(E25="",F25=""),"",ROUND(MOD(F25-E25,1)*24-N(G25),2))</f>
        <v/>
      </c>
      <c r="I25" s="33">
        <f>IF(H25="","",ROUND(MAX(0,H25-8),2))</f>
        <v/>
      </c>
      <c r="J25" s="33">
        <f>IF(OR(E25="",F25=""),"",ROUND(IF(MOD(F25,1)&gt;=TIME(22,0,0),(MOD(F25,1)-TIME(22,0,0))*24,IF(MOD(F25,1)&lt;TIME(6,0,0),(MOD(F25,1)+1-TIME(22,0,0))*24,0)),2))</f>
        <v/>
      </c>
      <c r="K25" s="33">
        <f>IF(H25="","",ROUND(IF(L25="휴일근로",MIN(H25,8)*1.5+MAX(0,H25-8)*2,I25*1.5)+N(J25)*0.5,2))</f>
        <v/>
      </c>
      <c r="L25" s="18" t="n"/>
      <c r="M25" s="18" t="n"/>
      <c r="N25" s="42" t="inlineStr">
        <is>
          <t>주말</t>
        </is>
      </c>
    </row>
    <row r="26">
      <c r="A26" s="19" t="n">
        <v>46055</v>
      </c>
      <c r="B26" s="25">
        <f>IF(A26="","",CHOOSE(WEEKDAY(A26,2),"월","화","수","목","금","토","일"))</f>
        <v/>
      </c>
      <c r="C26" s="18" t="inlineStr">
        <is>
          <t>M001</t>
        </is>
      </c>
      <c r="D26" s="25">
        <f>IFERROR(IF(C26="","",INDEX(직원명부!$B$5:$B$24,MATCH(C26,직원명부!$A$5:$A$24,0))),"사번 확인")</f>
        <v/>
      </c>
      <c r="E26" s="34" t="n">
        <v>0.375</v>
      </c>
      <c r="F26" s="34" t="n">
        <v>0.75</v>
      </c>
      <c r="G26" s="28" t="n">
        <v>1</v>
      </c>
      <c r="H26" s="33">
        <f>IF(OR(E26="",F26=""),"",ROUND(MOD(F26-E26,1)*24-N(G26),2))</f>
        <v/>
      </c>
      <c r="I26" s="33">
        <f>IF(H26="","",ROUND(MAX(0,H26-8),2))</f>
        <v/>
      </c>
      <c r="J26" s="33">
        <f>IF(OR(E26="",F26=""),"",ROUND(IF(MOD(F26,1)&gt;=TIME(22,0,0),(MOD(F26,1)-TIME(22,0,0))*24,IF(MOD(F26,1)&lt;TIME(6,0,0),(MOD(F26,1)+1-TIME(22,0,0))*24,0)),2))</f>
        <v/>
      </c>
      <c r="K26" s="33">
        <f>IF(H26="","",ROUND(IF(L26="휴일근로",MIN(H26,8)*1.5+MAX(0,H26-8)*2,I26*1.5)+N(J26)*0.5,2))</f>
        <v/>
      </c>
      <c r="L26" s="18" t="inlineStr">
        <is>
          <t>정상</t>
        </is>
      </c>
      <c r="M26" s="18" t="n"/>
      <c r="N26" s="22" t="n"/>
    </row>
    <row r="27">
      <c r="A27" s="19" t="n">
        <v>46056</v>
      </c>
      <c r="B27" s="25">
        <f>IF(A27="","",CHOOSE(WEEKDAY(A27,2),"월","화","수","목","금","토","일"))</f>
        <v/>
      </c>
      <c r="C27" s="18" t="inlineStr">
        <is>
          <t>M001</t>
        </is>
      </c>
      <c r="D27" s="25">
        <f>IFERROR(IF(C27="","",INDEX(직원명부!$B$5:$B$24,MATCH(C27,직원명부!$A$5:$A$24,0))),"사번 확인")</f>
        <v/>
      </c>
      <c r="E27" s="34" t="n">
        <v>0.375</v>
      </c>
      <c r="F27" s="34" t="n">
        <v>0.75</v>
      </c>
      <c r="G27" s="28" t="n">
        <v>1</v>
      </c>
      <c r="H27" s="33">
        <f>IF(OR(E27="",F27=""),"",ROUND(MOD(F27-E27,1)*24-N(G27),2))</f>
        <v/>
      </c>
      <c r="I27" s="33">
        <f>IF(H27="","",ROUND(MAX(0,H27-8),2))</f>
        <v/>
      </c>
      <c r="J27" s="33">
        <f>IF(OR(E27="",F27=""),"",ROUND(IF(MOD(F27,1)&gt;=TIME(22,0,0),(MOD(F27,1)-TIME(22,0,0))*24,IF(MOD(F27,1)&lt;TIME(6,0,0),(MOD(F27,1)+1-TIME(22,0,0))*24,0)),2))</f>
        <v/>
      </c>
      <c r="K27" s="33">
        <f>IF(H27="","",ROUND(IF(L27="휴일근로",MIN(H27,8)*1.5+MAX(0,H27-8)*2,I27*1.5)+N(J27)*0.5,2))</f>
        <v/>
      </c>
      <c r="L27" s="18" t="inlineStr">
        <is>
          <t>정상</t>
        </is>
      </c>
      <c r="M27" s="18" t="n"/>
      <c r="N27" s="22" t="n"/>
    </row>
    <row r="28">
      <c r="A28" s="19" t="n">
        <v>46057</v>
      </c>
      <c r="B28" s="25">
        <f>IF(A28="","",CHOOSE(WEEKDAY(A28,2),"월","화","수","목","금","토","일"))</f>
        <v/>
      </c>
      <c r="C28" s="18" t="inlineStr">
        <is>
          <t>M001</t>
        </is>
      </c>
      <c r="D28" s="25">
        <f>IFERROR(IF(C28="","",INDEX(직원명부!$B$5:$B$24,MATCH(C28,직원명부!$A$5:$A$24,0))),"사번 확인")</f>
        <v/>
      </c>
      <c r="E28" s="34" t="n">
        <v>0.375</v>
      </c>
      <c r="F28" s="34" t="n">
        <v>0.75</v>
      </c>
      <c r="G28" s="28" t="n">
        <v>1</v>
      </c>
      <c r="H28" s="33">
        <f>IF(OR(E28="",F28=""),"",ROUND(MOD(F28-E28,1)*24-N(G28),2))</f>
        <v/>
      </c>
      <c r="I28" s="33">
        <f>IF(H28="","",ROUND(MAX(0,H28-8),2))</f>
        <v/>
      </c>
      <c r="J28" s="33">
        <f>IF(OR(E28="",F28=""),"",ROUND(IF(MOD(F28,1)&gt;=TIME(22,0,0),(MOD(F28,1)-TIME(22,0,0))*24,IF(MOD(F28,1)&lt;TIME(6,0,0),(MOD(F28,1)+1-TIME(22,0,0))*24,0)),2))</f>
        <v/>
      </c>
      <c r="K28" s="33">
        <f>IF(H28="","",ROUND(IF(L28="휴일근로",MIN(H28,8)*1.5+MAX(0,H28-8)*2,I28*1.5)+N(J28)*0.5,2))</f>
        <v/>
      </c>
      <c r="L28" s="18" t="inlineStr">
        <is>
          <t>정상</t>
        </is>
      </c>
      <c r="M28" s="18" t="n"/>
      <c r="N28" s="22" t="n"/>
    </row>
    <row r="29">
      <c r="A29" s="19" t="n">
        <v>46058</v>
      </c>
      <c r="B29" s="25">
        <f>IF(A29="","",CHOOSE(WEEKDAY(A29,2),"월","화","수","목","금","토","일"))</f>
        <v/>
      </c>
      <c r="C29" s="18" t="inlineStr">
        <is>
          <t>M001</t>
        </is>
      </c>
      <c r="D29" s="25">
        <f>IFERROR(IF(C29="","",INDEX(직원명부!$B$5:$B$24,MATCH(C29,직원명부!$A$5:$A$24,0))),"사번 확인")</f>
        <v/>
      </c>
      <c r="E29" s="34" t="n">
        <v>0.375</v>
      </c>
      <c r="F29" s="34" t="n">
        <v>0.75</v>
      </c>
      <c r="G29" s="28" t="n">
        <v>1</v>
      </c>
      <c r="H29" s="33">
        <f>IF(OR(E29="",F29=""),"",ROUND(MOD(F29-E29,1)*24-N(G29),2))</f>
        <v/>
      </c>
      <c r="I29" s="33">
        <f>IF(H29="","",ROUND(MAX(0,H29-8),2))</f>
        <v/>
      </c>
      <c r="J29" s="33">
        <f>IF(OR(E29="",F29=""),"",ROUND(IF(MOD(F29,1)&gt;=TIME(22,0,0),(MOD(F29,1)-TIME(22,0,0))*24,IF(MOD(F29,1)&lt;TIME(6,0,0),(MOD(F29,1)+1-TIME(22,0,0))*24,0)),2))</f>
        <v/>
      </c>
      <c r="K29" s="33">
        <f>IF(H29="","",ROUND(IF(L29="휴일근로",MIN(H29,8)*1.5+MAX(0,H29-8)*2,I29*1.5)+N(J29)*0.5,2))</f>
        <v/>
      </c>
      <c r="L29" s="18" t="inlineStr">
        <is>
          <t>정상</t>
        </is>
      </c>
      <c r="M29" s="18" t="n"/>
      <c r="N29" s="22" t="n"/>
    </row>
    <row r="30">
      <c r="A30" s="19" t="n">
        <v>46059</v>
      </c>
      <c r="B30" s="25">
        <f>IF(A30="","",CHOOSE(WEEKDAY(A30,2),"월","화","수","목","금","토","일"))</f>
        <v/>
      </c>
      <c r="C30" s="18" t="inlineStr">
        <is>
          <t>M001</t>
        </is>
      </c>
      <c r="D30" s="25">
        <f>IFERROR(IF(C30="","",INDEX(직원명부!$B$5:$B$24,MATCH(C30,직원명부!$A$5:$A$24,0))),"사번 확인")</f>
        <v/>
      </c>
      <c r="E30" s="34" t="n">
        <v>0.375</v>
      </c>
      <c r="F30" s="34" t="n">
        <v>0.75</v>
      </c>
      <c r="G30" s="28" t="n">
        <v>1</v>
      </c>
      <c r="H30" s="33">
        <f>IF(OR(E30="",F30=""),"",ROUND(MOD(F30-E30,1)*24-N(G30),2))</f>
        <v/>
      </c>
      <c r="I30" s="33">
        <f>IF(H30="","",ROUND(MAX(0,H30-8),2))</f>
        <v/>
      </c>
      <c r="J30" s="33">
        <f>IF(OR(E30="",F30=""),"",ROUND(IF(MOD(F30,1)&gt;=TIME(22,0,0),(MOD(F30,1)-TIME(22,0,0))*24,IF(MOD(F30,1)&lt;TIME(6,0,0),(MOD(F30,1)+1-TIME(22,0,0))*24,0)),2))</f>
        <v/>
      </c>
      <c r="K30" s="33">
        <f>IF(H30="","",ROUND(IF(L30="휴일근로",MIN(H30,8)*1.5+MAX(0,H30-8)*2,I30*1.5)+N(J30)*0.5,2))</f>
        <v/>
      </c>
      <c r="L30" s="18" t="inlineStr">
        <is>
          <t>정상</t>
        </is>
      </c>
      <c r="M30" s="18" t="n"/>
      <c r="N30" s="22" t="n"/>
    </row>
    <row r="31">
      <c r="A31" s="19" t="n">
        <v>46060</v>
      </c>
      <c r="B31" s="25">
        <f>IF(A31="","",CHOOSE(WEEKDAY(A31,2),"월","화","수","목","금","토","일"))</f>
        <v/>
      </c>
      <c r="C31" s="18" t="inlineStr">
        <is>
          <t>M001</t>
        </is>
      </c>
      <c r="D31" s="25">
        <f>IFERROR(IF(C31="","",INDEX(직원명부!$B$5:$B$24,MATCH(C31,직원명부!$A$5:$A$24,0))),"사번 확인")</f>
        <v/>
      </c>
      <c r="E31" s="34" t="n"/>
      <c r="F31" s="34" t="n"/>
      <c r="G31" s="28" t="n"/>
      <c r="H31" s="33">
        <f>IF(OR(E31="",F31=""),"",ROUND(MOD(F31-E31,1)*24-N(G31),2))</f>
        <v/>
      </c>
      <c r="I31" s="33">
        <f>IF(H31="","",ROUND(MAX(0,H31-8),2))</f>
        <v/>
      </c>
      <c r="J31" s="33">
        <f>IF(OR(E31="",F31=""),"",ROUND(IF(MOD(F31,1)&gt;=TIME(22,0,0),(MOD(F31,1)-TIME(22,0,0))*24,IF(MOD(F31,1)&lt;TIME(6,0,0),(MOD(F31,1)+1-TIME(22,0,0))*24,0)),2))</f>
        <v/>
      </c>
      <c r="K31" s="33">
        <f>IF(H31="","",ROUND(IF(L31="휴일근로",MIN(H31,8)*1.5+MAX(0,H31-8)*2,I31*1.5)+N(J31)*0.5,2))</f>
        <v/>
      </c>
      <c r="L31" s="18" t="n"/>
      <c r="M31" s="18" t="n"/>
      <c r="N31" s="42" t="inlineStr">
        <is>
          <t>주말</t>
        </is>
      </c>
    </row>
    <row r="32">
      <c r="A32" s="19" t="n">
        <v>46061</v>
      </c>
      <c r="B32" s="25">
        <f>IF(A32="","",CHOOSE(WEEKDAY(A32,2),"월","화","수","목","금","토","일"))</f>
        <v/>
      </c>
      <c r="C32" s="18" t="inlineStr">
        <is>
          <t>M001</t>
        </is>
      </c>
      <c r="D32" s="25">
        <f>IFERROR(IF(C32="","",INDEX(직원명부!$B$5:$B$24,MATCH(C32,직원명부!$A$5:$A$24,0))),"사번 확인")</f>
        <v/>
      </c>
      <c r="E32" s="34" t="n"/>
      <c r="F32" s="34" t="n"/>
      <c r="G32" s="28" t="n"/>
      <c r="H32" s="33">
        <f>IF(OR(E32="",F32=""),"",ROUND(MOD(F32-E32,1)*24-N(G32),2))</f>
        <v/>
      </c>
      <c r="I32" s="33">
        <f>IF(H32="","",ROUND(MAX(0,H32-8),2))</f>
        <v/>
      </c>
      <c r="J32" s="33">
        <f>IF(OR(E32="",F32=""),"",ROUND(IF(MOD(F32,1)&gt;=TIME(22,0,0),(MOD(F32,1)-TIME(22,0,0))*24,IF(MOD(F32,1)&lt;TIME(6,0,0),(MOD(F32,1)+1-TIME(22,0,0))*24,0)),2))</f>
        <v/>
      </c>
      <c r="K32" s="33">
        <f>IF(H32="","",ROUND(IF(L32="휴일근로",MIN(H32,8)*1.5+MAX(0,H32-8)*2,I32*1.5)+N(J32)*0.5,2))</f>
        <v/>
      </c>
      <c r="L32" s="18" t="n"/>
      <c r="M32" s="18" t="n"/>
      <c r="N32" s="42" t="inlineStr">
        <is>
          <t>주말</t>
        </is>
      </c>
    </row>
    <row r="33">
      <c r="A33" s="19" t="n">
        <v>46062</v>
      </c>
      <c r="B33" s="25">
        <f>IF(A33="","",CHOOSE(WEEKDAY(A33,2),"월","화","수","목","금","토","일"))</f>
        <v/>
      </c>
      <c r="C33" s="18" t="inlineStr">
        <is>
          <t>M001</t>
        </is>
      </c>
      <c r="D33" s="25">
        <f>IFERROR(IF(C33="","",INDEX(직원명부!$B$5:$B$24,MATCH(C33,직원명부!$A$5:$A$24,0))),"사번 확인")</f>
        <v/>
      </c>
      <c r="E33" s="34" t="n">
        <v>0.375</v>
      </c>
      <c r="F33" s="34" t="n">
        <v>0.75</v>
      </c>
      <c r="G33" s="28" t="n">
        <v>1</v>
      </c>
      <c r="H33" s="33">
        <f>IF(OR(E33="",F33=""),"",ROUND(MOD(F33-E33,1)*24-N(G33),2))</f>
        <v/>
      </c>
      <c r="I33" s="33">
        <f>IF(H33="","",ROUND(MAX(0,H33-8),2))</f>
        <v/>
      </c>
      <c r="J33" s="33">
        <f>IF(OR(E33="",F33=""),"",ROUND(IF(MOD(F33,1)&gt;=TIME(22,0,0),(MOD(F33,1)-TIME(22,0,0))*24,IF(MOD(F33,1)&lt;TIME(6,0,0),(MOD(F33,1)+1-TIME(22,0,0))*24,0)),2))</f>
        <v/>
      </c>
      <c r="K33" s="33">
        <f>IF(H33="","",ROUND(IF(L33="휴일근로",MIN(H33,8)*1.5+MAX(0,H33-8)*2,I33*1.5)+N(J33)*0.5,2))</f>
        <v/>
      </c>
      <c r="L33" s="18" t="inlineStr">
        <is>
          <t>정상</t>
        </is>
      </c>
      <c r="M33" s="18" t="n"/>
      <c r="N33" s="22" t="n"/>
    </row>
    <row r="34">
      <c r="A34" s="19" t="n">
        <v>46063</v>
      </c>
      <c r="B34" s="25">
        <f>IF(A34="","",CHOOSE(WEEKDAY(A34,2),"월","화","수","목","금","토","일"))</f>
        <v/>
      </c>
      <c r="C34" s="18" t="inlineStr">
        <is>
          <t>M001</t>
        </is>
      </c>
      <c r="D34" s="25">
        <f>IFERROR(IF(C34="","",INDEX(직원명부!$B$5:$B$24,MATCH(C34,직원명부!$A$5:$A$24,0))),"사번 확인")</f>
        <v/>
      </c>
      <c r="E34" s="34" t="n">
        <v>0.375</v>
      </c>
      <c r="F34" s="34" t="n">
        <v>0.75</v>
      </c>
      <c r="G34" s="28" t="n">
        <v>1</v>
      </c>
      <c r="H34" s="33">
        <f>IF(OR(E34="",F34=""),"",ROUND(MOD(F34-E34,1)*24-N(G34),2))</f>
        <v/>
      </c>
      <c r="I34" s="33">
        <f>IF(H34="","",ROUND(MAX(0,H34-8),2))</f>
        <v/>
      </c>
      <c r="J34" s="33">
        <f>IF(OR(E34="",F34=""),"",ROUND(IF(MOD(F34,1)&gt;=TIME(22,0,0),(MOD(F34,1)-TIME(22,0,0))*24,IF(MOD(F34,1)&lt;TIME(6,0,0),(MOD(F34,1)+1-TIME(22,0,0))*24,0)),2))</f>
        <v/>
      </c>
      <c r="K34" s="33">
        <f>IF(H34="","",ROUND(IF(L34="휴일근로",MIN(H34,8)*1.5+MAX(0,H34-8)*2,I34*1.5)+N(J34)*0.5,2))</f>
        <v/>
      </c>
      <c r="L34" s="18" t="inlineStr">
        <is>
          <t>정상</t>
        </is>
      </c>
      <c r="M34" s="18" t="n"/>
      <c r="N34" s="22" t="n"/>
    </row>
    <row r="35">
      <c r="A35" s="19" t="n">
        <v>46064</v>
      </c>
      <c r="B35" s="25">
        <f>IF(A35="","",CHOOSE(WEEKDAY(A35,2),"월","화","수","목","금","토","일"))</f>
        <v/>
      </c>
      <c r="C35" s="18" t="inlineStr">
        <is>
          <t>M001</t>
        </is>
      </c>
      <c r="D35" s="25">
        <f>IFERROR(IF(C35="","",INDEX(직원명부!$B$5:$B$24,MATCH(C35,직원명부!$A$5:$A$24,0))),"사번 확인")</f>
        <v/>
      </c>
      <c r="E35" s="34" t="n">
        <v>0.375</v>
      </c>
      <c r="F35" s="34" t="n">
        <v>0.75</v>
      </c>
      <c r="G35" s="28" t="n">
        <v>1</v>
      </c>
      <c r="H35" s="33">
        <f>IF(OR(E35="",F35=""),"",ROUND(MOD(F35-E35,1)*24-N(G35),2))</f>
        <v/>
      </c>
      <c r="I35" s="33">
        <f>IF(H35="","",ROUND(MAX(0,H35-8),2))</f>
        <v/>
      </c>
      <c r="J35" s="33">
        <f>IF(OR(E35="",F35=""),"",ROUND(IF(MOD(F35,1)&gt;=TIME(22,0,0),(MOD(F35,1)-TIME(22,0,0))*24,IF(MOD(F35,1)&lt;TIME(6,0,0),(MOD(F35,1)+1-TIME(22,0,0))*24,0)),2))</f>
        <v/>
      </c>
      <c r="K35" s="33">
        <f>IF(H35="","",ROUND(IF(L35="휴일근로",MIN(H35,8)*1.5+MAX(0,H35-8)*2,I35*1.5)+N(J35)*0.5,2))</f>
        <v/>
      </c>
      <c r="L35" s="18" t="inlineStr">
        <is>
          <t>정상</t>
        </is>
      </c>
      <c r="M35" s="18" t="n"/>
      <c r="N35" s="22" t="n"/>
    </row>
    <row r="36">
      <c r="A36" s="19" t="n">
        <v>46065</v>
      </c>
      <c r="B36" s="25">
        <f>IF(A36="","",CHOOSE(WEEKDAY(A36,2),"월","화","수","목","금","토","일"))</f>
        <v/>
      </c>
      <c r="C36" s="18" t="inlineStr">
        <is>
          <t>M001</t>
        </is>
      </c>
      <c r="D36" s="25">
        <f>IFERROR(IF(C36="","",INDEX(직원명부!$B$5:$B$24,MATCH(C36,직원명부!$A$5:$A$24,0))),"사번 확인")</f>
        <v/>
      </c>
      <c r="E36" s="34" t="n">
        <v>0.375</v>
      </c>
      <c r="F36" s="34" t="n">
        <v>0.75</v>
      </c>
      <c r="G36" s="28" t="n">
        <v>1</v>
      </c>
      <c r="H36" s="33">
        <f>IF(OR(E36="",F36=""),"",ROUND(MOD(F36-E36,1)*24-N(G36),2))</f>
        <v/>
      </c>
      <c r="I36" s="33">
        <f>IF(H36="","",ROUND(MAX(0,H36-8),2))</f>
        <v/>
      </c>
      <c r="J36" s="33">
        <f>IF(OR(E36="",F36=""),"",ROUND(IF(MOD(F36,1)&gt;=TIME(22,0,0),(MOD(F36,1)-TIME(22,0,0))*24,IF(MOD(F36,1)&lt;TIME(6,0,0),(MOD(F36,1)+1-TIME(22,0,0))*24,0)),2))</f>
        <v/>
      </c>
      <c r="K36" s="33">
        <f>IF(H36="","",ROUND(IF(L36="휴일근로",MIN(H36,8)*1.5+MAX(0,H36-8)*2,I36*1.5)+N(J36)*0.5,2))</f>
        <v/>
      </c>
      <c r="L36" s="18" t="inlineStr">
        <is>
          <t>정상</t>
        </is>
      </c>
      <c r="M36" s="18" t="n"/>
      <c r="N36" s="22" t="n"/>
    </row>
    <row r="37">
      <c r="A37" s="19" t="n">
        <v>46066</v>
      </c>
      <c r="B37" s="25">
        <f>IF(A37="","",CHOOSE(WEEKDAY(A37,2),"월","화","수","목","금","토","일"))</f>
        <v/>
      </c>
      <c r="C37" s="18" t="inlineStr">
        <is>
          <t>M001</t>
        </is>
      </c>
      <c r="D37" s="25">
        <f>IFERROR(IF(C37="","",INDEX(직원명부!$B$5:$B$24,MATCH(C37,직원명부!$A$5:$A$24,0))),"사번 확인")</f>
        <v/>
      </c>
      <c r="E37" s="34" t="n">
        <v>0.375</v>
      </c>
      <c r="F37" s="34" t="n">
        <v>0.75</v>
      </c>
      <c r="G37" s="28" t="n">
        <v>1</v>
      </c>
      <c r="H37" s="33">
        <f>IF(OR(E37="",F37=""),"",ROUND(MOD(F37-E37,1)*24-N(G37),2))</f>
        <v/>
      </c>
      <c r="I37" s="33">
        <f>IF(H37="","",ROUND(MAX(0,H37-8),2))</f>
        <v/>
      </c>
      <c r="J37" s="33">
        <f>IF(OR(E37="",F37=""),"",ROUND(IF(MOD(F37,1)&gt;=TIME(22,0,0),(MOD(F37,1)-TIME(22,0,0))*24,IF(MOD(F37,1)&lt;TIME(6,0,0),(MOD(F37,1)+1-TIME(22,0,0))*24,0)),2))</f>
        <v/>
      </c>
      <c r="K37" s="33">
        <f>IF(H37="","",ROUND(IF(L37="휴일근로",MIN(H37,8)*1.5+MAX(0,H37-8)*2,I37*1.5)+N(J37)*0.5,2))</f>
        <v/>
      </c>
      <c r="L37" s="18" t="inlineStr">
        <is>
          <t>정상</t>
        </is>
      </c>
      <c r="M37" s="18" t="n"/>
      <c r="N37" s="22" t="n"/>
    </row>
    <row r="38">
      <c r="A38" s="19" t="n">
        <v>46067</v>
      </c>
      <c r="B38" s="25">
        <f>IF(A38="","",CHOOSE(WEEKDAY(A38,2),"월","화","수","목","금","토","일"))</f>
        <v/>
      </c>
      <c r="C38" s="18" t="inlineStr">
        <is>
          <t>M001</t>
        </is>
      </c>
      <c r="D38" s="25">
        <f>IFERROR(IF(C38="","",INDEX(직원명부!$B$5:$B$24,MATCH(C38,직원명부!$A$5:$A$24,0))),"사번 확인")</f>
        <v/>
      </c>
      <c r="E38" s="34" t="n"/>
      <c r="F38" s="34" t="n"/>
      <c r="G38" s="28" t="n"/>
      <c r="H38" s="33">
        <f>IF(OR(E38="",F38=""),"",ROUND(MOD(F38-E38,1)*24-N(G38),2))</f>
        <v/>
      </c>
      <c r="I38" s="33">
        <f>IF(H38="","",ROUND(MAX(0,H38-8),2))</f>
        <v/>
      </c>
      <c r="J38" s="33">
        <f>IF(OR(E38="",F38=""),"",ROUND(IF(MOD(F38,1)&gt;=TIME(22,0,0),(MOD(F38,1)-TIME(22,0,0))*24,IF(MOD(F38,1)&lt;TIME(6,0,0),(MOD(F38,1)+1-TIME(22,0,0))*24,0)),2))</f>
        <v/>
      </c>
      <c r="K38" s="33">
        <f>IF(H38="","",ROUND(IF(L38="휴일근로",MIN(H38,8)*1.5+MAX(0,H38-8)*2,I38*1.5)+N(J38)*0.5,2))</f>
        <v/>
      </c>
      <c r="L38" s="18" t="n"/>
      <c r="M38" s="18" t="n"/>
      <c r="N38" s="42" t="inlineStr">
        <is>
          <t>주말</t>
        </is>
      </c>
    </row>
    <row r="39">
      <c r="A39" s="19" t="n">
        <v>46068</v>
      </c>
      <c r="B39" s="25">
        <f>IF(A39="","",CHOOSE(WEEKDAY(A39,2),"월","화","수","목","금","토","일"))</f>
        <v/>
      </c>
      <c r="C39" s="18" t="inlineStr">
        <is>
          <t>M001</t>
        </is>
      </c>
      <c r="D39" s="25">
        <f>IFERROR(IF(C39="","",INDEX(직원명부!$B$5:$B$24,MATCH(C39,직원명부!$A$5:$A$24,0))),"사번 확인")</f>
        <v/>
      </c>
      <c r="E39" s="34" t="n"/>
      <c r="F39" s="34" t="n"/>
      <c r="G39" s="28" t="n"/>
      <c r="H39" s="33">
        <f>IF(OR(E39="",F39=""),"",ROUND(MOD(F39-E39,1)*24-N(G39),2))</f>
        <v/>
      </c>
      <c r="I39" s="33">
        <f>IF(H39="","",ROUND(MAX(0,H39-8),2))</f>
        <v/>
      </c>
      <c r="J39" s="33">
        <f>IF(OR(E39="",F39=""),"",ROUND(IF(MOD(F39,1)&gt;=TIME(22,0,0),(MOD(F39,1)-TIME(22,0,0))*24,IF(MOD(F39,1)&lt;TIME(6,0,0),(MOD(F39,1)+1-TIME(22,0,0))*24,0)),2))</f>
        <v/>
      </c>
      <c r="K39" s="33">
        <f>IF(H39="","",ROUND(IF(L39="휴일근로",MIN(H39,8)*1.5+MAX(0,H39-8)*2,I39*1.5)+N(J39)*0.5,2))</f>
        <v/>
      </c>
      <c r="L39" s="18" t="n"/>
      <c r="M39" s="18" t="n"/>
      <c r="N39" s="42" t="inlineStr">
        <is>
          <t>주말</t>
        </is>
      </c>
    </row>
    <row r="40">
      <c r="A40" s="19" t="n">
        <v>46069</v>
      </c>
      <c r="B40" s="25">
        <f>IF(A40="","",CHOOSE(WEEKDAY(A40,2),"월","화","수","목","금","토","일"))</f>
        <v/>
      </c>
      <c r="C40" s="18" t="inlineStr">
        <is>
          <t>M001</t>
        </is>
      </c>
      <c r="D40" s="25">
        <f>IFERROR(IF(C40="","",INDEX(직원명부!$B$5:$B$24,MATCH(C40,직원명부!$A$5:$A$24,0))),"사번 확인")</f>
        <v/>
      </c>
      <c r="E40" s="34" t="n"/>
      <c r="F40" s="34" t="n"/>
      <c r="G40" s="28" t="n"/>
      <c r="H40" s="33">
        <f>IF(OR(E40="",F40=""),"",ROUND(MOD(F40-E40,1)*24-N(G40),2))</f>
        <v/>
      </c>
      <c r="I40" s="33">
        <f>IF(H40="","",ROUND(MAX(0,H40-8),2))</f>
        <v/>
      </c>
      <c r="J40" s="33">
        <f>IF(OR(E40="",F40=""),"",ROUND(IF(MOD(F40,1)&gt;=TIME(22,0,0),(MOD(F40,1)-TIME(22,0,0))*24,IF(MOD(F40,1)&lt;TIME(6,0,0),(MOD(F40,1)+1-TIME(22,0,0))*24,0)),2))</f>
        <v/>
      </c>
      <c r="K40" s="33">
        <f>IF(H40="","",ROUND(IF(L40="휴일근로",MIN(H40,8)*1.5+MAX(0,H40-8)*2,I40*1.5)+N(J40)*0.5,2))</f>
        <v/>
      </c>
      <c r="L40" s="18" t="n"/>
      <c r="M40" s="18" t="n"/>
      <c r="N40" s="42" t="inlineStr">
        <is>
          <t>설날 연휴</t>
        </is>
      </c>
    </row>
    <row r="41">
      <c r="A41" s="19" t="n">
        <v>46070</v>
      </c>
      <c r="B41" s="25">
        <f>IF(A41="","",CHOOSE(WEEKDAY(A41,2),"월","화","수","목","금","토","일"))</f>
        <v/>
      </c>
      <c r="C41" s="18" t="inlineStr">
        <is>
          <t>M001</t>
        </is>
      </c>
      <c r="D41" s="25">
        <f>IFERROR(IF(C41="","",INDEX(직원명부!$B$5:$B$24,MATCH(C41,직원명부!$A$5:$A$24,0))),"사번 확인")</f>
        <v/>
      </c>
      <c r="E41" s="34" t="n"/>
      <c r="F41" s="34" t="n"/>
      <c r="G41" s="28" t="n"/>
      <c r="H41" s="33">
        <f>IF(OR(E41="",F41=""),"",ROUND(MOD(F41-E41,1)*24-N(G41),2))</f>
        <v/>
      </c>
      <c r="I41" s="33">
        <f>IF(H41="","",ROUND(MAX(0,H41-8),2))</f>
        <v/>
      </c>
      <c r="J41" s="33">
        <f>IF(OR(E41="",F41=""),"",ROUND(IF(MOD(F41,1)&gt;=TIME(22,0,0),(MOD(F41,1)-TIME(22,0,0))*24,IF(MOD(F41,1)&lt;TIME(6,0,0),(MOD(F41,1)+1-TIME(22,0,0))*24,0)),2))</f>
        <v/>
      </c>
      <c r="K41" s="33">
        <f>IF(H41="","",ROUND(IF(L41="휴일근로",MIN(H41,8)*1.5+MAX(0,H41-8)*2,I41*1.5)+N(J41)*0.5,2))</f>
        <v/>
      </c>
      <c r="L41" s="18" t="n"/>
      <c r="M41" s="18" t="n"/>
      <c r="N41" s="42" t="inlineStr">
        <is>
          <t>설날</t>
        </is>
      </c>
    </row>
    <row r="42">
      <c r="A42" s="19" t="n">
        <v>46071</v>
      </c>
      <c r="B42" s="25">
        <f>IF(A42="","",CHOOSE(WEEKDAY(A42,2),"월","화","수","목","금","토","일"))</f>
        <v/>
      </c>
      <c r="C42" s="18" t="inlineStr">
        <is>
          <t>M001</t>
        </is>
      </c>
      <c r="D42" s="25">
        <f>IFERROR(IF(C42="","",INDEX(직원명부!$B$5:$B$24,MATCH(C42,직원명부!$A$5:$A$24,0))),"사번 확인")</f>
        <v/>
      </c>
      <c r="E42" s="34" t="n"/>
      <c r="F42" s="34" t="n"/>
      <c r="G42" s="28" t="n"/>
      <c r="H42" s="33">
        <f>IF(OR(E42="",F42=""),"",ROUND(MOD(F42-E42,1)*24-N(G42),2))</f>
        <v/>
      </c>
      <c r="I42" s="33">
        <f>IF(H42="","",ROUND(MAX(0,H42-8),2))</f>
        <v/>
      </c>
      <c r="J42" s="33">
        <f>IF(OR(E42="",F42=""),"",ROUND(IF(MOD(F42,1)&gt;=TIME(22,0,0),(MOD(F42,1)-TIME(22,0,0))*24,IF(MOD(F42,1)&lt;TIME(6,0,0),(MOD(F42,1)+1-TIME(22,0,0))*24,0)),2))</f>
        <v/>
      </c>
      <c r="K42" s="33">
        <f>IF(H42="","",ROUND(IF(L42="휴일근로",MIN(H42,8)*1.5+MAX(0,H42-8)*2,I42*1.5)+N(J42)*0.5,2))</f>
        <v/>
      </c>
      <c r="L42" s="18" t="n"/>
      <c r="M42" s="18" t="n"/>
      <c r="N42" s="42" t="inlineStr">
        <is>
          <t>설날 연휴</t>
        </is>
      </c>
    </row>
    <row r="43">
      <c r="A43" s="19" t="n">
        <v>46072</v>
      </c>
      <c r="B43" s="25">
        <f>IF(A43="","",CHOOSE(WEEKDAY(A43,2),"월","화","수","목","금","토","일"))</f>
        <v/>
      </c>
      <c r="C43" s="18" t="inlineStr">
        <is>
          <t>M001</t>
        </is>
      </c>
      <c r="D43" s="25">
        <f>IFERROR(IF(C43="","",INDEX(직원명부!$B$5:$B$24,MATCH(C43,직원명부!$A$5:$A$24,0))),"사번 확인")</f>
        <v/>
      </c>
      <c r="E43" s="34" t="n">
        <v>0.375</v>
      </c>
      <c r="F43" s="34" t="n">
        <v>0.75</v>
      </c>
      <c r="G43" s="28" t="n">
        <v>1</v>
      </c>
      <c r="H43" s="33">
        <f>IF(OR(E43="",F43=""),"",ROUND(MOD(F43-E43,1)*24-N(G43),2))</f>
        <v/>
      </c>
      <c r="I43" s="33">
        <f>IF(H43="","",ROUND(MAX(0,H43-8),2))</f>
        <v/>
      </c>
      <c r="J43" s="33">
        <f>IF(OR(E43="",F43=""),"",ROUND(IF(MOD(F43,1)&gt;=TIME(22,0,0),(MOD(F43,1)-TIME(22,0,0))*24,IF(MOD(F43,1)&lt;TIME(6,0,0),(MOD(F43,1)+1-TIME(22,0,0))*24,0)),2))</f>
        <v/>
      </c>
      <c r="K43" s="33">
        <f>IF(H43="","",ROUND(IF(L43="휴일근로",MIN(H43,8)*1.5+MAX(0,H43-8)*2,I43*1.5)+N(J43)*0.5,2))</f>
        <v/>
      </c>
      <c r="L43" s="18" t="inlineStr">
        <is>
          <t>정상</t>
        </is>
      </c>
      <c r="M43" s="18" t="n"/>
      <c r="N43" s="22" t="n"/>
    </row>
    <row r="44">
      <c r="A44" s="19" t="n">
        <v>46073</v>
      </c>
      <c r="B44" s="25">
        <f>IF(A44="","",CHOOSE(WEEKDAY(A44,2),"월","화","수","목","금","토","일"))</f>
        <v/>
      </c>
      <c r="C44" s="18" t="inlineStr">
        <is>
          <t>M001</t>
        </is>
      </c>
      <c r="D44" s="25">
        <f>IFERROR(IF(C44="","",INDEX(직원명부!$B$5:$B$24,MATCH(C44,직원명부!$A$5:$A$24,0))),"사번 확인")</f>
        <v/>
      </c>
      <c r="E44" s="34" t="n">
        <v>0.375</v>
      </c>
      <c r="F44" s="34" t="n">
        <v>0.75</v>
      </c>
      <c r="G44" s="28" t="n">
        <v>1</v>
      </c>
      <c r="H44" s="33">
        <f>IF(OR(E44="",F44=""),"",ROUND(MOD(F44-E44,1)*24-N(G44),2))</f>
        <v/>
      </c>
      <c r="I44" s="33">
        <f>IF(H44="","",ROUND(MAX(0,H44-8),2))</f>
        <v/>
      </c>
      <c r="J44" s="33">
        <f>IF(OR(E44="",F44=""),"",ROUND(IF(MOD(F44,1)&gt;=TIME(22,0,0),(MOD(F44,1)-TIME(22,0,0))*24,IF(MOD(F44,1)&lt;TIME(6,0,0),(MOD(F44,1)+1-TIME(22,0,0))*24,0)),2))</f>
        <v/>
      </c>
      <c r="K44" s="33">
        <f>IF(H44="","",ROUND(IF(L44="휴일근로",MIN(H44,8)*1.5+MAX(0,H44-8)*2,I44*1.5)+N(J44)*0.5,2))</f>
        <v/>
      </c>
      <c r="L44" s="18" t="inlineStr">
        <is>
          <t>정상</t>
        </is>
      </c>
      <c r="M44" s="18" t="n"/>
      <c r="N44" s="22" t="n"/>
    </row>
    <row r="45">
      <c r="A45" s="19" t="n">
        <v>46074</v>
      </c>
      <c r="B45" s="25">
        <f>IF(A45="","",CHOOSE(WEEKDAY(A45,2),"월","화","수","목","금","토","일"))</f>
        <v/>
      </c>
      <c r="C45" s="18" t="inlineStr">
        <is>
          <t>M001</t>
        </is>
      </c>
      <c r="D45" s="25">
        <f>IFERROR(IF(C45="","",INDEX(직원명부!$B$5:$B$24,MATCH(C45,직원명부!$A$5:$A$24,0))),"사번 확인")</f>
        <v/>
      </c>
      <c r="E45" s="34" t="n"/>
      <c r="F45" s="34" t="n"/>
      <c r="G45" s="28" t="n"/>
      <c r="H45" s="33">
        <f>IF(OR(E45="",F45=""),"",ROUND(MOD(F45-E45,1)*24-N(G45),2))</f>
        <v/>
      </c>
      <c r="I45" s="33">
        <f>IF(H45="","",ROUND(MAX(0,H45-8),2))</f>
        <v/>
      </c>
      <c r="J45" s="33">
        <f>IF(OR(E45="",F45=""),"",ROUND(IF(MOD(F45,1)&gt;=TIME(22,0,0),(MOD(F45,1)-TIME(22,0,0))*24,IF(MOD(F45,1)&lt;TIME(6,0,0),(MOD(F45,1)+1-TIME(22,0,0))*24,0)),2))</f>
        <v/>
      </c>
      <c r="K45" s="33">
        <f>IF(H45="","",ROUND(IF(L45="휴일근로",MIN(H45,8)*1.5+MAX(0,H45-8)*2,I45*1.5)+N(J45)*0.5,2))</f>
        <v/>
      </c>
      <c r="L45" s="18" t="n"/>
      <c r="M45" s="18" t="n"/>
      <c r="N45" s="42" t="inlineStr">
        <is>
          <t>주말</t>
        </is>
      </c>
    </row>
    <row r="46">
      <c r="A46" s="19" t="n">
        <v>46075</v>
      </c>
      <c r="B46" s="25">
        <f>IF(A46="","",CHOOSE(WEEKDAY(A46,2),"월","화","수","목","금","토","일"))</f>
        <v/>
      </c>
      <c r="C46" s="18" t="inlineStr">
        <is>
          <t>M001</t>
        </is>
      </c>
      <c r="D46" s="25">
        <f>IFERROR(IF(C46="","",INDEX(직원명부!$B$5:$B$24,MATCH(C46,직원명부!$A$5:$A$24,0))),"사번 확인")</f>
        <v/>
      </c>
      <c r="E46" s="34" t="n"/>
      <c r="F46" s="34" t="n"/>
      <c r="G46" s="28" t="n"/>
      <c r="H46" s="33">
        <f>IF(OR(E46="",F46=""),"",ROUND(MOD(F46-E46,1)*24-N(G46),2))</f>
        <v/>
      </c>
      <c r="I46" s="33">
        <f>IF(H46="","",ROUND(MAX(0,H46-8),2))</f>
        <v/>
      </c>
      <c r="J46" s="33">
        <f>IF(OR(E46="",F46=""),"",ROUND(IF(MOD(F46,1)&gt;=TIME(22,0,0),(MOD(F46,1)-TIME(22,0,0))*24,IF(MOD(F46,1)&lt;TIME(6,0,0),(MOD(F46,1)+1-TIME(22,0,0))*24,0)),2))</f>
        <v/>
      </c>
      <c r="K46" s="33">
        <f>IF(H46="","",ROUND(IF(L46="휴일근로",MIN(H46,8)*1.5+MAX(0,H46-8)*2,I46*1.5)+N(J46)*0.5,2))</f>
        <v/>
      </c>
      <c r="L46" s="18" t="n"/>
      <c r="M46" s="18" t="n"/>
      <c r="N46" s="42" t="inlineStr">
        <is>
          <t>주말</t>
        </is>
      </c>
    </row>
    <row r="47">
      <c r="A47" s="19" t="n">
        <v>46076</v>
      </c>
      <c r="B47" s="25">
        <f>IF(A47="","",CHOOSE(WEEKDAY(A47,2),"월","화","수","목","금","토","일"))</f>
        <v/>
      </c>
      <c r="C47" s="18" t="inlineStr">
        <is>
          <t>M001</t>
        </is>
      </c>
      <c r="D47" s="25">
        <f>IFERROR(IF(C47="","",INDEX(직원명부!$B$5:$B$24,MATCH(C47,직원명부!$A$5:$A$24,0))),"사번 확인")</f>
        <v/>
      </c>
      <c r="E47" s="34" t="n">
        <v>0.375</v>
      </c>
      <c r="F47" s="34" t="n">
        <v>0.75</v>
      </c>
      <c r="G47" s="28" t="n">
        <v>1</v>
      </c>
      <c r="H47" s="33">
        <f>IF(OR(E47="",F47=""),"",ROUND(MOD(F47-E47,1)*24-N(G47),2))</f>
        <v/>
      </c>
      <c r="I47" s="33">
        <f>IF(H47="","",ROUND(MAX(0,H47-8),2))</f>
        <v/>
      </c>
      <c r="J47" s="33">
        <f>IF(OR(E47="",F47=""),"",ROUND(IF(MOD(F47,1)&gt;=TIME(22,0,0),(MOD(F47,1)-TIME(22,0,0))*24,IF(MOD(F47,1)&lt;TIME(6,0,0),(MOD(F47,1)+1-TIME(22,0,0))*24,0)),2))</f>
        <v/>
      </c>
      <c r="K47" s="33">
        <f>IF(H47="","",ROUND(IF(L47="휴일근로",MIN(H47,8)*1.5+MAX(0,H47-8)*2,I47*1.5)+N(J47)*0.5,2))</f>
        <v/>
      </c>
      <c r="L47" s="18" t="inlineStr">
        <is>
          <t>정상</t>
        </is>
      </c>
      <c r="M47" s="18" t="n"/>
      <c r="N47" s="22" t="n"/>
    </row>
    <row r="48">
      <c r="A48" s="19" t="n">
        <v>46077</v>
      </c>
      <c r="B48" s="25">
        <f>IF(A48="","",CHOOSE(WEEKDAY(A48,2),"월","화","수","목","금","토","일"))</f>
        <v/>
      </c>
      <c r="C48" s="18" t="inlineStr">
        <is>
          <t>M001</t>
        </is>
      </c>
      <c r="D48" s="25">
        <f>IFERROR(IF(C48="","",INDEX(직원명부!$B$5:$B$24,MATCH(C48,직원명부!$A$5:$A$24,0))),"사번 확인")</f>
        <v/>
      </c>
      <c r="E48" s="34" t="n">
        <v>0.375</v>
      </c>
      <c r="F48" s="34" t="n">
        <v>0.75</v>
      </c>
      <c r="G48" s="28" t="n">
        <v>1</v>
      </c>
      <c r="H48" s="33">
        <f>IF(OR(E48="",F48=""),"",ROUND(MOD(F48-E48,1)*24-N(G48),2))</f>
        <v/>
      </c>
      <c r="I48" s="33">
        <f>IF(H48="","",ROUND(MAX(0,H48-8),2))</f>
        <v/>
      </c>
      <c r="J48" s="33">
        <f>IF(OR(E48="",F48=""),"",ROUND(IF(MOD(F48,1)&gt;=TIME(22,0,0),(MOD(F48,1)-TIME(22,0,0))*24,IF(MOD(F48,1)&lt;TIME(6,0,0),(MOD(F48,1)+1-TIME(22,0,0))*24,0)),2))</f>
        <v/>
      </c>
      <c r="K48" s="33">
        <f>IF(H48="","",ROUND(IF(L48="휴일근로",MIN(H48,8)*1.5+MAX(0,H48-8)*2,I48*1.5)+N(J48)*0.5,2))</f>
        <v/>
      </c>
      <c r="L48" s="18" t="inlineStr">
        <is>
          <t>정상</t>
        </is>
      </c>
      <c r="M48" s="18" t="n"/>
      <c r="N48" s="22" t="n"/>
    </row>
    <row r="49">
      <c r="A49" s="19" t="n">
        <v>46078</v>
      </c>
      <c r="B49" s="25">
        <f>IF(A49="","",CHOOSE(WEEKDAY(A49,2),"월","화","수","목","금","토","일"))</f>
        <v/>
      </c>
      <c r="C49" s="18" t="inlineStr">
        <is>
          <t>M001</t>
        </is>
      </c>
      <c r="D49" s="25">
        <f>IFERROR(IF(C49="","",INDEX(직원명부!$B$5:$B$24,MATCH(C49,직원명부!$A$5:$A$24,0))),"사번 확인")</f>
        <v/>
      </c>
      <c r="E49" s="34" t="n">
        <v>0.375</v>
      </c>
      <c r="F49" s="34" t="n">
        <v>0.75</v>
      </c>
      <c r="G49" s="28" t="n">
        <v>1</v>
      </c>
      <c r="H49" s="33">
        <f>IF(OR(E49="",F49=""),"",ROUND(MOD(F49-E49,1)*24-N(G49),2))</f>
        <v/>
      </c>
      <c r="I49" s="33">
        <f>IF(H49="","",ROUND(MAX(0,H49-8),2))</f>
        <v/>
      </c>
      <c r="J49" s="33">
        <f>IF(OR(E49="",F49=""),"",ROUND(IF(MOD(F49,1)&gt;=TIME(22,0,0),(MOD(F49,1)-TIME(22,0,0))*24,IF(MOD(F49,1)&lt;TIME(6,0,0),(MOD(F49,1)+1-TIME(22,0,0))*24,0)),2))</f>
        <v/>
      </c>
      <c r="K49" s="33">
        <f>IF(H49="","",ROUND(IF(L49="휴일근로",MIN(H49,8)*1.5+MAX(0,H49-8)*2,I49*1.5)+N(J49)*0.5,2))</f>
        <v/>
      </c>
      <c r="L49" s="18" t="inlineStr">
        <is>
          <t>정상</t>
        </is>
      </c>
      <c r="M49" s="18" t="n"/>
      <c r="N49" s="22" t="n"/>
    </row>
    <row r="50">
      <c r="A50" s="19" t="n">
        <v>46079</v>
      </c>
      <c r="B50" s="25">
        <f>IF(A50="","",CHOOSE(WEEKDAY(A50,2),"월","화","수","목","금","토","일"))</f>
        <v/>
      </c>
      <c r="C50" s="18" t="inlineStr">
        <is>
          <t>M001</t>
        </is>
      </c>
      <c r="D50" s="25">
        <f>IFERROR(IF(C50="","",INDEX(직원명부!$B$5:$B$24,MATCH(C50,직원명부!$A$5:$A$24,0))),"사번 확인")</f>
        <v/>
      </c>
      <c r="E50" s="34" t="n">
        <v>0.375</v>
      </c>
      <c r="F50" s="34" t="n">
        <v>0.75</v>
      </c>
      <c r="G50" s="28" t="n">
        <v>1</v>
      </c>
      <c r="H50" s="33">
        <f>IF(OR(E50="",F50=""),"",ROUND(MOD(F50-E50,1)*24-N(G50),2))</f>
        <v/>
      </c>
      <c r="I50" s="33">
        <f>IF(H50="","",ROUND(MAX(0,H50-8),2))</f>
        <v/>
      </c>
      <c r="J50" s="33">
        <f>IF(OR(E50="",F50=""),"",ROUND(IF(MOD(F50,1)&gt;=TIME(22,0,0),(MOD(F50,1)-TIME(22,0,0))*24,IF(MOD(F50,1)&lt;TIME(6,0,0),(MOD(F50,1)+1-TIME(22,0,0))*24,0)),2))</f>
        <v/>
      </c>
      <c r="K50" s="33">
        <f>IF(H50="","",ROUND(IF(L50="휴일근로",MIN(H50,8)*1.5+MAX(0,H50-8)*2,I50*1.5)+N(J50)*0.5,2))</f>
        <v/>
      </c>
      <c r="L50" s="18" t="inlineStr">
        <is>
          <t>정상</t>
        </is>
      </c>
      <c r="M50" s="18" t="n"/>
      <c r="N50" s="22" t="n"/>
    </row>
    <row r="51">
      <c r="A51" s="19" t="n">
        <v>46080</v>
      </c>
      <c r="B51" s="25">
        <f>IF(A51="","",CHOOSE(WEEKDAY(A51,2),"월","화","수","목","금","토","일"))</f>
        <v/>
      </c>
      <c r="C51" s="18" t="inlineStr">
        <is>
          <t>M001</t>
        </is>
      </c>
      <c r="D51" s="25">
        <f>IFERROR(IF(C51="","",INDEX(직원명부!$B$5:$B$24,MATCH(C51,직원명부!$A$5:$A$24,0))),"사번 확인")</f>
        <v/>
      </c>
      <c r="E51" s="34" t="n">
        <v>0.375</v>
      </c>
      <c r="F51" s="34" t="n">
        <v>0.75</v>
      </c>
      <c r="G51" s="28" t="n">
        <v>1</v>
      </c>
      <c r="H51" s="33">
        <f>IF(OR(E51="",F51=""),"",ROUND(MOD(F51-E51,1)*24-N(G51),2))</f>
        <v/>
      </c>
      <c r="I51" s="33">
        <f>IF(H51="","",ROUND(MAX(0,H51-8),2))</f>
        <v/>
      </c>
      <c r="J51" s="33">
        <f>IF(OR(E51="",F51=""),"",ROUND(IF(MOD(F51,1)&gt;=TIME(22,0,0),(MOD(F51,1)-TIME(22,0,0))*24,IF(MOD(F51,1)&lt;TIME(6,0,0),(MOD(F51,1)+1-TIME(22,0,0))*24,0)),2))</f>
        <v/>
      </c>
      <c r="K51" s="33">
        <f>IF(H51="","",ROUND(IF(L51="휴일근로",MIN(H51,8)*1.5+MAX(0,H51-8)*2,I51*1.5)+N(J51)*0.5,2))</f>
        <v/>
      </c>
      <c r="L51" s="18" t="inlineStr">
        <is>
          <t>정상</t>
        </is>
      </c>
      <c r="M51" s="18" t="n"/>
      <c r="N51" s="22" t="n"/>
    </row>
    <row r="52">
      <c r="A52" s="19" t="n">
        <v>46081</v>
      </c>
      <c r="B52" s="25">
        <f>IF(A52="","",CHOOSE(WEEKDAY(A52,2),"월","화","수","목","금","토","일"))</f>
        <v/>
      </c>
      <c r="C52" s="18" t="inlineStr">
        <is>
          <t>M001</t>
        </is>
      </c>
      <c r="D52" s="25">
        <f>IFERROR(IF(C52="","",INDEX(직원명부!$B$5:$B$24,MATCH(C52,직원명부!$A$5:$A$24,0))),"사번 확인")</f>
        <v/>
      </c>
      <c r="E52" s="34" t="n"/>
      <c r="F52" s="34" t="n"/>
      <c r="G52" s="28" t="n"/>
      <c r="H52" s="33">
        <f>IF(OR(E52="",F52=""),"",ROUND(MOD(F52-E52,1)*24-N(G52),2))</f>
        <v/>
      </c>
      <c r="I52" s="33">
        <f>IF(H52="","",ROUND(MAX(0,H52-8),2))</f>
        <v/>
      </c>
      <c r="J52" s="33">
        <f>IF(OR(E52="",F52=""),"",ROUND(IF(MOD(F52,1)&gt;=TIME(22,0,0),(MOD(F52,1)-TIME(22,0,0))*24,IF(MOD(F52,1)&lt;TIME(6,0,0),(MOD(F52,1)+1-TIME(22,0,0))*24,0)),2))</f>
        <v/>
      </c>
      <c r="K52" s="33">
        <f>IF(H52="","",ROUND(IF(L52="휴일근로",MIN(H52,8)*1.5+MAX(0,H52-8)*2,I52*1.5)+N(J52)*0.5,2))</f>
        <v/>
      </c>
      <c r="L52" s="18" t="n"/>
      <c r="M52" s="18" t="n"/>
      <c r="N52" s="42" t="inlineStr">
        <is>
          <t>주말</t>
        </is>
      </c>
    </row>
    <row r="53">
      <c r="A53" s="19" t="n">
        <v>46082</v>
      </c>
      <c r="B53" s="25">
        <f>IF(A53="","",CHOOSE(WEEKDAY(A53,2),"월","화","수","목","금","토","일"))</f>
        <v/>
      </c>
      <c r="C53" s="18" t="inlineStr">
        <is>
          <t>M001</t>
        </is>
      </c>
      <c r="D53" s="25">
        <f>IFERROR(IF(C53="","",INDEX(직원명부!$B$5:$B$24,MATCH(C53,직원명부!$A$5:$A$24,0))),"사번 확인")</f>
        <v/>
      </c>
      <c r="E53" s="34" t="n"/>
      <c r="F53" s="34" t="n"/>
      <c r="G53" s="28" t="n"/>
      <c r="H53" s="33">
        <f>IF(OR(E53="",F53=""),"",ROUND(MOD(F53-E53,1)*24-N(G53),2))</f>
        <v/>
      </c>
      <c r="I53" s="33">
        <f>IF(H53="","",ROUND(MAX(0,H53-8),2))</f>
        <v/>
      </c>
      <c r="J53" s="33">
        <f>IF(OR(E53="",F53=""),"",ROUND(IF(MOD(F53,1)&gt;=TIME(22,0,0),(MOD(F53,1)-TIME(22,0,0))*24,IF(MOD(F53,1)&lt;TIME(6,0,0),(MOD(F53,1)+1-TIME(22,0,0))*24,0)),2))</f>
        <v/>
      </c>
      <c r="K53" s="33">
        <f>IF(H53="","",ROUND(IF(L53="휴일근로",MIN(H53,8)*1.5+MAX(0,H53-8)*2,I53*1.5)+N(J53)*0.5,2))</f>
        <v/>
      </c>
      <c r="L53" s="18" t="n"/>
      <c r="M53" s="18" t="n"/>
      <c r="N53" s="42" t="inlineStr">
        <is>
          <t>삼일절</t>
        </is>
      </c>
    </row>
    <row r="54">
      <c r="A54" s="19" t="n">
        <v>46083</v>
      </c>
      <c r="B54" s="25">
        <f>IF(A54="","",CHOOSE(WEEKDAY(A54,2),"월","화","수","목","금","토","일"))</f>
        <v/>
      </c>
      <c r="C54" s="18" t="inlineStr">
        <is>
          <t>M001</t>
        </is>
      </c>
      <c r="D54" s="25">
        <f>IFERROR(IF(C54="","",INDEX(직원명부!$B$5:$B$24,MATCH(C54,직원명부!$A$5:$A$24,0))),"사번 확인")</f>
        <v/>
      </c>
      <c r="E54" s="34" t="n"/>
      <c r="F54" s="34" t="n"/>
      <c r="G54" s="28" t="n"/>
      <c r="H54" s="33">
        <f>IF(OR(E54="",F54=""),"",ROUND(MOD(F54-E54,1)*24-N(G54),2))</f>
        <v/>
      </c>
      <c r="I54" s="33">
        <f>IF(H54="","",ROUND(MAX(0,H54-8),2))</f>
        <v/>
      </c>
      <c r="J54" s="33">
        <f>IF(OR(E54="",F54=""),"",ROUND(IF(MOD(F54,1)&gt;=TIME(22,0,0),(MOD(F54,1)-TIME(22,0,0))*24,IF(MOD(F54,1)&lt;TIME(6,0,0),(MOD(F54,1)+1-TIME(22,0,0))*24,0)),2))</f>
        <v/>
      </c>
      <c r="K54" s="33">
        <f>IF(H54="","",ROUND(IF(L54="휴일근로",MIN(H54,8)*1.5+MAX(0,H54-8)*2,I54*1.5)+N(J54)*0.5,2))</f>
        <v/>
      </c>
      <c r="L54" s="18" t="n"/>
      <c r="M54" s="18" t="n"/>
      <c r="N54" s="42" t="inlineStr">
        <is>
          <t>삼일절 대체공휴일</t>
        </is>
      </c>
    </row>
    <row r="55">
      <c r="A55" s="19" t="n">
        <v>46084</v>
      </c>
      <c r="B55" s="25">
        <f>IF(A55="","",CHOOSE(WEEKDAY(A55,2),"월","화","수","목","금","토","일"))</f>
        <v/>
      </c>
      <c r="C55" s="18" t="inlineStr">
        <is>
          <t>M001</t>
        </is>
      </c>
      <c r="D55" s="25">
        <f>IFERROR(IF(C55="","",INDEX(직원명부!$B$5:$B$24,MATCH(C55,직원명부!$A$5:$A$24,0))),"사번 확인")</f>
        <v/>
      </c>
      <c r="E55" s="34" t="n">
        <v>0.375</v>
      </c>
      <c r="F55" s="34" t="n">
        <v>0.75</v>
      </c>
      <c r="G55" s="28" t="n">
        <v>1</v>
      </c>
      <c r="H55" s="33">
        <f>IF(OR(E55="",F55=""),"",ROUND(MOD(F55-E55,1)*24-N(G55),2))</f>
        <v/>
      </c>
      <c r="I55" s="33">
        <f>IF(H55="","",ROUND(MAX(0,H55-8),2))</f>
        <v/>
      </c>
      <c r="J55" s="33">
        <f>IF(OR(E55="",F55=""),"",ROUND(IF(MOD(F55,1)&gt;=TIME(22,0,0),(MOD(F55,1)-TIME(22,0,0))*24,IF(MOD(F55,1)&lt;TIME(6,0,0),(MOD(F55,1)+1-TIME(22,0,0))*24,0)),2))</f>
        <v/>
      </c>
      <c r="K55" s="33">
        <f>IF(H55="","",ROUND(IF(L55="휴일근로",MIN(H55,8)*1.5+MAX(0,H55-8)*2,I55*1.5)+N(J55)*0.5,2))</f>
        <v/>
      </c>
      <c r="L55" s="18" t="inlineStr">
        <is>
          <t>정상</t>
        </is>
      </c>
      <c r="M55" s="18" t="n"/>
      <c r="N55" s="22" t="n"/>
    </row>
    <row r="56">
      <c r="A56" s="19" t="n">
        <v>46085</v>
      </c>
      <c r="B56" s="25">
        <f>IF(A56="","",CHOOSE(WEEKDAY(A56,2),"월","화","수","목","금","토","일"))</f>
        <v/>
      </c>
      <c r="C56" s="18" t="inlineStr">
        <is>
          <t>M001</t>
        </is>
      </c>
      <c r="D56" s="25">
        <f>IFERROR(IF(C56="","",INDEX(직원명부!$B$5:$B$24,MATCH(C56,직원명부!$A$5:$A$24,0))),"사번 확인")</f>
        <v/>
      </c>
      <c r="E56" s="34" t="n">
        <v>0.375</v>
      </c>
      <c r="F56" s="34" t="n">
        <v>0.75</v>
      </c>
      <c r="G56" s="28" t="n">
        <v>1</v>
      </c>
      <c r="H56" s="33">
        <f>IF(OR(E56="",F56=""),"",ROUND(MOD(F56-E56,1)*24-N(G56),2))</f>
        <v/>
      </c>
      <c r="I56" s="33">
        <f>IF(H56="","",ROUND(MAX(0,H56-8),2))</f>
        <v/>
      </c>
      <c r="J56" s="33">
        <f>IF(OR(E56="",F56=""),"",ROUND(IF(MOD(F56,1)&gt;=TIME(22,0,0),(MOD(F56,1)-TIME(22,0,0))*24,IF(MOD(F56,1)&lt;TIME(6,0,0),(MOD(F56,1)+1-TIME(22,0,0))*24,0)),2))</f>
        <v/>
      </c>
      <c r="K56" s="33">
        <f>IF(H56="","",ROUND(IF(L56="휴일근로",MIN(H56,8)*1.5+MAX(0,H56-8)*2,I56*1.5)+N(J56)*0.5,2))</f>
        <v/>
      </c>
      <c r="L56" s="18" t="inlineStr">
        <is>
          <t>정상</t>
        </is>
      </c>
      <c r="M56" s="18" t="n"/>
      <c r="N56" s="22" t="n"/>
    </row>
    <row r="57">
      <c r="A57" s="19" t="n">
        <v>46086</v>
      </c>
      <c r="B57" s="25">
        <f>IF(A57="","",CHOOSE(WEEKDAY(A57,2),"월","화","수","목","금","토","일"))</f>
        <v/>
      </c>
      <c r="C57" s="18" t="inlineStr">
        <is>
          <t>M001</t>
        </is>
      </c>
      <c r="D57" s="25">
        <f>IFERROR(IF(C57="","",INDEX(직원명부!$B$5:$B$24,MATCH(C57,직원명부!$A$5:$A$24,0))),"사번 확인")</f>
        <v/>
      </c>
      <c r="E57" s="34" t="n">
        <v>0.375</v>
      </c>
      <c r="F57" s="34" t="n">
        <v>0.75</v>
      </c>
      <c r="G57" s="28" t="n">
        <v>1</v>
      </c>
      <c r="H57" s="33">
        <f>IF(OR(E57="",F57=""),"",ROUND(MOD(F57-E57,1)*24-N(G57),2))</f>
        <v/>
      </c>
      <c r="I57" s="33">
        <f>IF(H57="","",ROUND(MAX(0,H57-8),2))</f>
        <v/>
      </c>
      <c r="J57" s="33">
        <f>IF(OR(E57="",F57=""),"",ROUND(IF(MOD(F57,1)&gt;=TIME(22,0,0),(MOD(F57,1)-TIME(22,0,0))*24,IF(MOD(F57,1)&lt;TIME(6,0,0),(MOD(F57,1)+1-TIME(22,0,0))*24,0)),2))</f>
        <v/>
      </c>
      <c r="K57" s="33">
        <f>IF(H57="","",ROUND(IF(L57="휴일근로",MIN(H57,8)*1.5+MAX(0,H57-8)*2,I57*1.5)+N(J57)*0.5,2))</f>
        <v/>
      </c>
      <c r="L57" s="18" t="inlineStr">
        <is>
          <t>정상</t>
        </is>
      </c>
      <c r="M57" s="18" t="n"/>
      <c r="N57" s="22" t="n"/>
    </row>
    <row r="58">
      <c r="A58" s="19" t="n">
        <v>46087</v>
      </c>
      <c r="B58" s="25">
        <f>IF(A58="","",CHOOSE(WEEKDAY(A58,2),"월","화","수","목","금","토","일"))</f>
        <v/>
      </c>
      <c r="C58" s="18" t="inlineStr">
        <is>
          <t>M001</t>
        </is>
      </c>
      <c r="D58" s="25">
        <f>IFERROR(IF(C58="","",INDEX(직원명부!$B$5:$B$24,MATCH(C58,직원명부!$A$5:$A$24,0))),"사번 확인")</f>
        <v/>
      </c>
      <c r="E58" s="34" t="n">
        <v>0.375</v>
      </c>
      <c r="F58" s="34" t="n">
        <v>0.75</v>
      </c>
      <c r="G58" s="28" t="n">
        <v>1</v>
      </c>
      <c r="H58" s="33">
        <f>IF(OR(E58="",F58=""),"",ROUND(MOD(F58-E58,1)*24-N(G58),2))</f>
        <v/>
      </c>
      <c r="I58" s="33">
        <f>IF(H58="","",ROUND(MAX(0,H58-8),2))</f>
        <v/>
      </c>
      <c r="J58" s="33">
        <f>IF(OR(E58="",F58=""),"",ROUND(IF(MOD(F58,1)&gt;=TIME(22,0,0),(MOD(F58,1)-TIME(22,0,0))*24,IF(MOD(F58,1)&lt;TIME(6,0,0),(MOD(F58,1)+1-TIME(22,0,0))*24,0)),2))</f>
        <v/>
      </c>
      <c r="K58" s="33">
        <f>IF(H58="","",ROUND(IF(L58="휴일근로",MIN(H58,8)*1.5+MAX(0,H58-8)*2,I58*1.5)+N(J58)*0.5,2))</f>
        <v/>
      </c>
      <c r="L58" s="18" t="inlineStr">
        <is>
          <t>정상</t>
        </is>
      </c>
      <c r="M58" s="18" t="n"/>
      <c r="N58" s="22" t="n"/>
    </row>
    <row r="59">
      <c r="A59" s="19" t="n">
        <v>46088</v>
      </c>
      <c r="B59" s="25">
        <f>IF(A59="","",CHOOSE(WEEKDAY(A59,2),"월","화","수","목","금","토","일"))</f>
        <v/>
      </c>
      <c r="C59" s="18" t="inlineStr">
        <is>
          <t>M001</t>
        </is>
      </c>
      <c r="D59" s="25">
        <f>IFERROR(IF(C59="","",INDEX(직원명부!$B$5:$B$24,MATCH(C59,직원명부!$A$5:$A$24,0))),"사번 확인")</f>
        <v/>
      </c>
      <c r="E59" s="34" t="n"/>
      <c r="F59" s="34" t="n"/>
      <c r="G59" s="28" t="n"/>
      <c r="H59" s="33">
        <f>IF(OR(E59="",F59=""),"",ROUND(MOD(F59-E59,1)*24-N(G59),2))</f>
        <v/>
      </c>
      <c r="I59" s="33">
        <f>IF(H59="","",ROUND(MAX(0,H59-8),2))</f>
        <v/>
      </c>
      <c r="J59" s="33">
        <f>IF(OR(E59="",F59=""),"",ROUND(IF(MOD(F59,1)&gt;=TIME(22,0,0),(MOD(F59,1)-TIME(22,0,0))*24,IF(MOD(F59,1)&lt;TIME(6,0,0),(MOD(F59,1)+1-TIME(22,0,0))*24,0)),2))</f>
        <v/>
      </c>
      <c r="K59" s="33">
        <f>IF(H59="","",ROUND(IF(L59="휴일근로",MIN(H59,8)*1.5+MAX(0,H59-8)*2,I59*1.5)+N(J59)*0.5,2))</f>
        <v/>
      </c>
      <c r="L59" s="18" t="n"/>
      <c r="M59" s="18" t="n"/>
      <c r="N59" s="42" t="inlineStr">
        <is>
          <t>주말</t>
        </is>
      </c>
    </row>
    <row r="60">
      <c r="A60" s="19" t="n">
        <v>46089</v>
      </c>
      <c r="B60" s="25">
        <f>IF(A60="","",CHOOSE(WEEKDAY(A60,2),"월","화","수","목","금","토","일"))</f>
        <v/>
      </c>
      <c r="C60" s="18" t="inlineStr">
        <is>
          <t>M001</t>
        </is>
      </c>
      <c r="D60" s="25">
        <f>IFERROR(IF(C60="","",INDEX(직원명부!$B$5:$B$24,MATCH(C60,직원명부!$A$5:$A$24,0))),"사번 확인")</f>
        <v/>
      </c>
      <c r="E60" s="34" t="n"/>
      <c r="F60" s="34" t="n"/>
      <c r="G60" s="28" t="n"/>
      <c r="H60" s="33">
        <f>IF(OR(E60="",F60=""),"",ROUND(MOD(F60-E60,1)*24-N(G60),2))</f>
        <v/>
      </c>
      <c r="I60" s="33">
        <f>IF(H60="","",ROUND(MAX(0,H60-8),2))</f>
        <v/>
      </c>
      <c r="J60" s="33">
        <f>IF(OR(E60="",F60=""),"",ROUND(IF(MOD(F60,1)&gt;=TIME(22,0,0),(MOD(F60,1)-TIME(22,0,0))*24,IF(MOD(F60,1)&lt;TIME(6,0,0),(MOD(F60,1)+1-TIME(22,0,0))*24,0)),2))</f>
        <v/>
      </c>
      <c r="K60" s="33">
        <f>IF(H60="","",ROUND(IF(L60="휴일근로",MIN(H60,8)*1.5+MAX(0,H60-8)*2,I60*1.5)+N(J60)*0.5,2))</f>
        <v/>
      </c>
      <c r="L60" s="18" t="n"/>
      <c r="M60" s="18" t="n"/>
      <c r="N60" s="42" t="inlineStr">
        <is>
          <t>주말</t>
        </is>
      </c>
    </row>
    <row r="61">
      <c r="A61" s="19" t="n">
        <v>46090</v>
      </c>
      <c r="B61" s="25">
        <f>IF(A61="","",CHOOSE(WEEKDAY(A61,2),"월","화","수","목","금","토","일"))</f>
        <v/>
      </c>
      <c r="C61" s="18" t="inlineStr">
        <is>
          <t>M001</t>
        </is>
      </c>
      <c r="D61" s="25">
        <f>IFERROR(IF(C61="","",INDEX(직원명부!$B$5:$B$24,MATCH(C61,직원명부!$A$5:$A$24,0))),"사번 확인")</f>
        <v/>
      </c>
      <c r="E61" s="34" t="n">
        <v>0.375</v>
      </c>
      <c r="F61" s="34" t="n">
        <v>0.75</v>
      </c>
      <c r="G61" s="28" t="n">
        <v>1</v>
      </c>
      <c r="H61" s="33">
        <f>IF(OR(E61="",F61=""),"",ROUND(MOD(F61-E61,1)*24-N(G61),2))</f>
        <v/>
      </c>
      <c r="I61" s="33">
        <f>IF(H61="","",ROUND(MAX(0,H61-8),2))</f>
        <v/>
      </c>
      <c r="J61" s="33">
        <f>IF(OR(E61="",F61=""),"",ROUND(IF(MOD(F61,1)&gt;=TIME(22,0,0),(MOD(F61,1)-TIME(22,0,0))*24,IF(MOD(F61,1)&lt;TIME(6,0,0),(MOD(F61,1)+1-TIME(22,0,0))*24,0)),2))</f>
        <v/>
      </c>
      <c r="K61" s="33">
        <f>IF(H61="","",ROUND(IF(L61="휴일근로",MIN(H61,8)*1.5+MAX(0,H61-8)*2,I61*1.5)+N(J61)*0.5,2))</f>
        <v/>
      </c>
      <c r="L61" s="18" t="inlineStr">
        <is>
          <t>정상</t>
        </is>
      </c>
      <c r="M61" s="18" t="n"/>
      <c r="N61" s="22" t="n"/>
    </row>
    <row r="62">
      <c r="A62" s="19" t="n">
        <v>46091</v>
      </c>
      <c r="B62" s="25">
        <f>IF(A62="","",CHOOSE(WEEKDAY(A62,2),"월","화","수","목","금","토","일"))</f>
        <v/>
      </c>
      <c r="C62" s="18" t="inlineStr">
        <is>
          <t>M001</t>
        </is>
      </c>
      <c r="D62" s="25">
        <f>IFERROR(IF(C62="","",INDEX(직원명부!$B$5:$B$24,MATCH(C62,직원명부!$A$5:$A$24,0))),"사번 확인")</f>
        <v/>
      </c>
      <c r="E62" s="34" t="n">
        <v>0.375</v>
      </c>
      <c r="F62" s="34" t="n">
        <v>0.75</v>
      </c>
      <c r="G62" s="28" t="n">
        <v>1</v>
      </c>
      <c r="H62" s="33">
        <f>IF(OR(E62="",F62=""),"",ROUND(MOD(F62-E62,1)*24-N(G62),2))</f>
        <v/>
      </c>
      <c r="I62" s="33">
        <f>IF(H62="","",ROUND(MAX(0,H62-8),2))</f>
        <v/>
      </c>
      <c r="J62" s="33">
        <f>IF(OR(E62="",F62=""),"",ROUND(IF(MOD(F62,1)&gt;=TIME(22,0,0),(MOD(F62,1)-TIME(22,0,0))*24,IF(MOD(F62,1)&lt;TIME(6,0,0),(MOD(F62,1)+1-TIME(22,0,0))*24,0)),2))</f>
        <v/>
      </c>
      <c r="K62" s="33">
        <f>IF(H62="","",ROUND(IF(L62="휴일근로",MIN(H62,8)*1.5+MAX(0,H62-8)*2,I62*1.5)+N(J62)*0.5,2))</f>
        <v/>
      </c>
      <c r="L62" s="18" t="inlineStr">
        <is>
          <t>정상</t>
        </is>
      </c>
      <c r="M62" s="18" t="n"/>
      <c r="N62" s="22" t="n"/>
    </row>
    <row r="63">
      <c r="A63" s="19" t="n">
        <v>46092</v>
      </c>
      <c r="B63" s="25">
        <f>IF(A63="","",CHOOSE(WEEKDAY(A63,2),"월","화","수","목","금","토","일"))</f>
        <v/>
      </c>
      <c r="C63" s="18" t="inlineStr">
        <is>
          <t>M001</t>
        </is>
      </c>
      <c r="D63" s="25">
        <f>IFERROR(IF(C63="","",INDEX(직원명부!$B$5:$B$24,MATCH(C63,직원명부!$A$5:$A$24,0))),"사번 확인")</f>
        <v/>
      </c>
      <c r="E63" s="34" t="n">
        <v>0.375</v>
      </c>
      <c r="F63" s="34" t="n">
        <v>0.75</v>
      </c>
      <c r="G63" s="28" t="n">
        <v>1</v>
      </c>
      <c r="H63" s="33">
        <f>IF(OR(E63="",F63=""),"",ROUND(MOD(F63-E63,1)*24-N(G63),2))</f>
        <v/>
      </c>
      <c r="I63" s="33">
        <f>IF(H63="","",ROUND(MAX(0,H63-8),2))</f>
        <v/>
      </c>
      <c r="J63" s="33">
        <f>IF(OR(E63="",F63=""),"",ROUND(IF(MOD(F63,1)&gt;=TIME(22,0,0),(MOD(F63,1)-TIME(22,0,0))*24,IF(MOD(F63,1)&lt;TIME(6,0,0),(MOD(F63,1)+1-TIME(22,0,0))*24,0)),2))</f>
        <v/>
      </c>
      <c r="K63" s="33">
        <f>IF(H63="","",ROUND(IF(L63="휴일근로",MIN(H63,8)*1.5+MAX(0,H63-8)*2,I63*1.5)+N(J63)*0.5,2))</f>
        <v/>
      </c>
      <c r="L63" s="18" t="inlineStr">
        <is>
          <t>정상</t>
        </is>
      </c>
      <c r="M63" s="18" t="n"/>
      <c r="N63" s="22" t="n"/>
    </row>
    <row r="64">
      <c r="A64" s="19" t="n">
        <v>46093</v>
      </c>
      <c r="B64" s="25">
        <f>IF(A64="","",CHOOSE(WEEKDAY(A64,2),"월","화","수","목","금","토","일"))</f>
        <v/>
      </c>
      <c r="C64" s="18" t="inlineStr">
        <is>
          <t>M001</t>
        </is>
      </c>
      <c r="D64" s="25">
        <f>IFERROR(IF(C64="","",INDEX(직원명부!$B$5:$B$24,MATCH(C64,직원명부!$A$5:$A$24,0))),"사번 확인")</f>
        <v/>
      </c>
      <c r="E64" s="34" t="n">
        <v>0.375</v>
      </c>
      <c r="F64" s="34" t="n">
        <v>0.75</v>
      </c>
      <c r="G64" s="28" t="n">
        <v>1</v>
      </c>
      <c r="H64" s="33">
        <f>IF(OR(E64="",F64=""),"",ROUND(MOD(F64-E64,1)*24-N(G64),2))</f>
        <v/>
      </c>
      <c r="I64" s="33">
        <f>IF(H64="","",ROUND(MAX(0,H64-8),2))</f>
        <v/>
      </c>
      <c r="J64" s="33">
        <f>IF(OR(E64="",F64=""),"",ROUND(IF(MOD(F64,1)&gt;=TIME(22,0,0),(MOD(F64,1)-TIME(22,0,0))*24,IF(MOD(F64,1)&lt;TIME(6,0,0),(MOD(F64,1)+1-TIME(22,0,0))*24,0)),2))</f>
        <v/>
      </c>
      <c r="K64" s="33">
        <f>IF(H64="","",ROUND(IF(L64="휴일근로",MIN(H64,8)*1.5+MAX(0,H64-8)*2,I64*1.5)+N(J64)*0.5,2))</f>
        <v/>
      </c>
      <c r="L64" s="18" t="inlineStr">
        <is>
          <t>정상</t>
        </is>
      </c>
      <c r="M64" s="18" t="n"/>
      <c r="N64" s="22" t="n"/>
    </row>
    <row r="65">
      <c r="A65" s="19" t="n">
        <v>46094</v>
      </c>
      <c r="B65" s="25">
        <f>IF(A65="","",CHOOSE(WEEKDAY(A65,2),"월","화","수","목","금","토","일"))</f>
        <v/>
      </c>
      <c r="C65" s="18" t="inlineStr">
        <is>
          <t>M001</t>
        </is>
      </c>
      <c r="D65" s="25">
        <f>IFERROR(IF(C65="","",INDEX(직원명부!$B$5:$B$24,MATCH(C65,직원명부!$A$5:$A$24,0))),"사번 확인")</f>
        <v/>
      </c>
      <c r="E65" s="34" t="n">
        <v>0.375</v>
      </c>
      <c r="F65" s="34" t="n">
        <v>0.75</v>
      </c>
      <c r="G65" s="28" t="n">
        <v>1</v>
      </c>
      <c r="H65" s="33">
        <f>IF(OR(E65="",F65=""),"",ROUND(MOD(F65-E65,1)*24-N(G65),2))</f>
        <v/>
      </c>
      <c r="I65" s="33">
        <f>IF(H65="","",ROUND(MAX(0,H65-8),2))</f>
        <v/>
      </c>
      <c r="J65" s="33">
        <f>IF(OR(E65="",F65=""),"",ROUND(IF(MOD(F65,1)&gt;=TIME(22,0,0),(MOD(F65,1)-TIME(22,0,0))*24,IF(MOD(F65,1)&lt;TIME(6,0,0),(MOD(F65,1)+1-TIME(22,0,0))*24,0)),2))</f>
        <v/>
      </c>
      <c r="K65" s="33">
        <f>IF(H65="","",ROUND(IF(L65="휴일근로",MIN(H65,8)*1.5+MAX(0,H65-8)*2,I65*1.5)+N(J65)*0.5,2))</f>
        <v/>
      </c>
      <c r="L65" s="18" t="inlineStr">
        <is>
          <t>정상</t>
        </is>
      </c>
      <c r="M65" s="18" t="n"/>
      <c r="N65" s="22" t="n"/>
    </row>
    <row r="66">
      <c r="A66" s="19" t="n">
        <v>46095</v>
      </c>
      <c r="B66" s="25">
        <f>IF(A66="","",CHOOSE(WEEKDAY(A66,2),"월","화","수","목","금","토","일"))</f>
        <v/>
      </c>
      <c r="C66" s="18" t="inlineStr">
        <is>
          <t>M001</t>
        </is>
      </c>
      <c r="D66" s="25">
        <f>IFERROR(IF(C66="","",INDEX(직원명부!$B$5:$B$24,MATCH(C66,직원명부!$A$5:$A$24,0))),"사번 확인")</f>
        <v/>
      </c>
      <c r="E66" s="34" t="n"/>
      <c r="F66" s="34" t="n"/>
      <c r="G66" s="28" t="n"/>
      <c r="H66" s="33">
        <f>IF(OR(E66="",F66=""),"",ROUND(MOD(F66-E66,1)*24-N(G66),2))</f>
        <v/>
      </c>
      <c r="I66" s="33">
        <f>IF(H66="","",ROUND(MAX(0,H66-8),2))</f>
        <v/>
      </c>
      <c r="J66" s="33">
        <f>IF(OR(E66="",F66=""),"",ROUND(IF(MOD(F66,1)&gt;=TIME(22,0,0),(MOD(F66,1)-TIME(22,0,0))*24,IF(MOD(F66,1)&lt;TIME(6,0,0),(MOD(F66,1)+1-TIME(22,0,0))*24,0)),2))</f>
        <v/>
      </c>
      <c r="K66" s="33">
        <f>IF(H66="","",ROUND(IF(L66="휴일근로",MIN(H66,8)*1.5+MAX(0,H66-8)*2,I66*1.5)+N(J66)*0.5,2))</f>
        <v/>
      </c>
      <c r="L66" s="18" t="n"/>
      <c r="M66" s="18" t="n"/>
      <c r="N66" s="42" t="inlineStr">
        <is>
          <t>주말</t>
        </is>
      </c>
    </row>
    <row r="67">
      <c r="A67" s="19" t="n">
        <v>46096</v>
      </c>
      <c r="B67" s="25">
        <f>IF(A67="","",CHOOSE(WEEKDAY(A67,2),"월","화","수","목","금","토","일"))</f>
        <v/>
      </c>
      <c r="C67" s="18" t="inlineStr">
        <is>
          <t>M001</t>
        </is>
      </c>
      <c r="D67" s="25">
        <f>IFERROR(IF(C67="","",INDEX(직원명부!$B$5:$B$24,MATCH(C67,직원명부!$A$5:$A$24,0))),"사번 확인")</f>
        <v/>
      </c>
      <c r="E67" s="34" t="n"/>
      <c r="F67" s="34" t="n"/>
      <c r="G67" s="28" t="n"/>
      <c r="H67" s="33">
        <f>IF(OR(E67="",F67=""),"",ROUND(MOD(F67-E67,1)*24-N(G67),2))</f>
        <v/>
      </c>
      <c r="I67" s="33">
        <f>IF(H67="","",ROUND(MAX(0,H67-8),2))</f>
        <v/>
      </c>
      <c r="J67" s="33">
        <f>IF(OR(E67="",F67=""),"",ROUND(IF(MOD(F67,1)&gt;=TIME(22,0,0),(MOD(F67,1)-TIME(22,0,0))*24,IF(MOD(F67,1)&lt;TIME(6,0,0),(MOD(F67,1)+1-TIME(22,0,0))*24,0)),2))</f>
        <v/>
      </c>
      <c r="K67" s="33">
        <f>IF(H67="","",ROUND(IF(L67="휴일근로",MIN(H67,8)*1.5+MAX(0,H67-8)*2,I67*1.5)+N(J67)*0.5,2))</f>
        <v/>
      </c>
      <c r="L67" s="18" t="n"/>
      <c r="M67" s="18" t="n"/>
      <c r="N67" s="42" t="inlineStr">
        <is>
          <t>주말</t>
        </is>
      </c>
    </row>
    <row r="68">
      <c r="A68" s="19" t="n">
        <v>46097</v>
      </c>
      <c r="B68" s="25">
        <f>IF(A68="","",CHOOSE(WEEKDAY(A68,2),"월","화","수","목","금","토","일"))</f>
        <v/>
      </c>
      <c r="C68" s="18" t="inlineStr">
        <is>
          <t>M001</t>
        </is>
      </c>
      <c r="D68" s="25">
        <f>IFERROR(IF(C68="","",INDEX(직원명부!$B$5:$B$24,MATCH(C68,직원명부!$A$5:$A$24,0))),"사번 확인")</f>
        <v/>
      </c>
      <c r="E68" s="34" t="n">
        <v>0.375</v>
      </c>
      <c r="F68" s="34" t="n">
        <v>0.75</v>
      </c>
      <c r="G68" s="28" t="n">
        <v>1</v>
      </c>
      <c r="H68" s="33">
        <f>IF(OR(E68="",F68=""),"",ROUND(MOD(F68-E68,1)*24-N(G68),2))</f>
        <v/>
      </c>
      <c r="I68" s="33">
        <f>IF(H68="","",ROUND(MAX(0,H68-8),2))</f>
        <v/>
      </c>
      <c r="J68" s="33">
        <f>IF(OR(E68="",F68=""),"",ROUND(IF(MOD(F68,1)&gt;=TIME(22,0,0),(MOD(F68,1)-TIME(22,0,0))*24,IF(MOD(F68,1)&lt;TIME(6,0,0),(MOD(F68,1)+1-TIME(22,0,0))*24,0)),2))</f>
        <v/>
      </c>
      <c r="K68" s="33">
        <f>IF(H68="","",ROUND(IF(L68="휴일근로",MIN(H68,8)*1.5+MAX(0,H68-8)*2,I68*1.5)+N(J68)*0.5,2))</f>
        <v/>
      </c>
      <c r="L68" s="18" t="inlineStr">
        <is>
          <t>정상</t>
        </is>
      </c>
      <c r="M68" s="18" t="n"/>
      <c r="N68" s="22" t="n"/>
    </row>
    <row r="69">
      <c r="A69" s="19" t="n">
        <v>46098</v>
      </c>
      <c r="B69" s="25">
        <f>IF(A69="","",CHOOSE(WEEKDAY(A69,2),"월","화","수","목","금","토","일"))</f>
        <v/>
      </c>
      <c r="C69" s="18" t="inlineStr">
        <is>
          <t>M001</t>
        </is>
      </c>
      <c r="D69" s="25">
        <f>IFERROR(IF(C69="","",INDEX(직원명부!$B$5:$B$24,MATCH(C69,직원명부!$A$5:$A$24,0))),"사번 확인")</f>
        <v/>
      </c>
      <c r="E69" s="34" t="n">
        <v>0.375</v>
      </c>
      <c r="F69" s="34" t="n">
        <v>0.75</v>
      </c>
      <c r="G69" s="28" t="n">
        <v>1</v>
      </c>
      <c r="H69" s="33">
        <f>IF(OR(E69="",F69=""),"",ROUND(MOD(F69-E69,1)*24-N(G69),2))</f>
        <v/>
      </c>
      <c r="I69" s="33">
        <f>IF(H69="","",ROUND(MAX(0,H69-8),2))</f>
        <v/>
      </c>
      <c r="J69" s="33">
        <f>IF(OR(E69="",F69=""),"",ROUND(IF(MOD(F69,1)&gt;=TIME(22,0,0),(MOD(F69,1)-TIME(22,0,0))*24,IF(MOD(F69,1)&lt;TIME(6,0,0),(MOD(F69,1)+1-TIME(22,0,0))*24,0)),2))</f>
        <v/>
      </c>
      <c r="K69" s="33">
        <f>IF(H69="","",ROUND(IF(L69="휴일근로",MIN(H69,8)*1.5+MAX(0,H69-8)*2,I69*1.5)+N(J69)*0.5,2))</f>
        <v/>
      </c>
      <c r="L69" s="18" t="inlineStr">
        <is>
          <t>정상</t>
        </is>
      </c>
      <c r="M69" s="18" t="n"/>
      <c r="N69" s="22" t="n"/>
    </row>
    <row r="70">
      <c r="A70" s="19" t="n">
        <v>46099</v>
      </c>
      <c r="B70" s="25">
        <f>IF(A70="","",CHOOSE(WEEKDAY(A70,2),"월","화","수","목","금","토","일"))</f>
        <v/>
      </c>
      <c r="C70" s="18" t="inlineStr">
        <is>
          <t>M001</t>
        </is>
      </c>
      <c r="D70" s="25">
        <f>IFERROR(IF(C70="","",INDEX(직원명부!$B$5:$B$24,MATCH(C70,직원명부!$A$5:$A$24,0))),"사번 확인")</f>
        <v/>
      </c>
      <c r="E70" s="34" t="n">
        <v>0.375</v>
      </c>
      <c r="F70" s="34" t="n">
        <v>0.75</v>
      </c>
      <c r="G70" s="28" t="n">
        <v>1</v>
      </c>
      <c r="H70" s="33">
        <f>IF(OR(E70="",F70=""),"",ROUND(MOD(F70-E70,1)*24-N(G70),2))</f>
        <v/>
      </c>
      <c r="I70" s="33">
        <f>IF(H70="","",ROUND(MAX(0,H70-8),2))</f>
        <v/>
      </c>
      <c r="J70" s="33">
        <f>IF(OR(E70="",F70=""),"",ROUND(IF(MOD(F70,1)&gt;=TIME(22,0,0),(MOD(F70,1)-TIME(22,0,0))*24,IF(MOD(F70,1)&lt;TIME(6,0,0),(MOD(F70,1)+1-TIME(22,0,0))*24,0)),2))</f>
        <v/>
      </c>
      <c r="K70" s="33">
        <f>IF(H70="","",ROUND(IF(L70="휴일근로",MIN(H70,8)*1.5+MAX(0,H70-8)*2,I70*1.5)+N(J70)*0.5,2))</f>
        <v/>
      </c>
      <c r="L70" s="18" t="inlineStr">
        <is>
          <t>정상</t>
        </is>
      </c>
      <c r="M70" s="18" t="n"/>
      <c r="N70" s="22" t="n"/>
    </row>
    <row r="71">
      <c r="A71" s="19" t="n">
        <v>46100</v>
      </c>
      <c r="B71" s="25">
        <f>IF(A71="","",CHOOSE(WEEKDAY(A71,2),"월","화","수","목","금","토","일"))</f>
        <v/>
      </c>
      <c r="C71" s="18" t="inlineStr">
        <is>
          <t>M001</t>
        </is>
      </c>
      <c r="D71" s="25">
        <f>IFERROR(IF(C71="","",INDEX(직원명부!$B$5:$B$24,MATCH(C71,직원명부!$A$5:$A$24,0))),"사번 확인")</f>
        <v/>
      </c>
      <c r="E71" s="34" t="n">
        <v>0.375</v>
      </c>
      <c r="F71" s="34" t="n">
        <v>0.75</v>
      </c>
      <c r="G71" s="28" t="n">
        <v>1</v>
      </c>
      <c r="H71" s="33">
        <f>IF(OR(E71="",F71=""),"",ROUND(MOD(F71-E71,1)*24-N(G71),2))</f>
        <v/>
      </c>
      <c r="I71" s="33">
        <f>IF(H71="","",ROUND(MAX(0,H71-8),2))</f>
        <v/>
      </c>
      <c r="J71" s="33">
        <f>IF(OR(E71="",F71=""),"",ROUND(IF(MOD(F71,1)&gt;=TIME(22,0,0),(MOD(F71,1)-TIME(22,0,0))*24,IF(MOD(F71,1)&lt;TIME(6,0,0),(MOD(F71,1)+1-TIME(22,0,0))*24,0)),2))</f>
        <v/>
      </c>
      <c r="K71" s="33">
        <f>IF(H71="","",ROUND(IF(L71="휴일근로",MIN(H71,8)*1.5+MAX(0,H71-8)*2,I71*1.5)+N(J71)*0.5,2))</f>
        <v/>
      </c>
      <c r="L71" s="18" t="inlineStr">
        <is>
          <t>정상</t>
        </is>
      </c>
      <c r="M71" s="18" t="n"/>
      <c r="N71" s="22" t="n"/>
    </row>
    <row r="72">
      <c r="A72" s="19" t="n">
        <v>46101</v>
      </c>
      <c r="B72" s="25">
        <f>IF(A72="","",CHOOSE(WEEKDAY(A72,2),"월","화","수","목","금","토","일"))</f>
        <v/>
      </c>
      <c r="C72" s="18" t="inlineStr">
        <is>
          <t>M001</t>
        </is>
      </c>
      <c r="D72" s="25">
        <f>IFERROR(IF(C72="","",INDEX(직원명부!$B$5:$B$24,MATCH(C72,직원명부!$A$5:$A$24,0))),"사번 확인")</f>
        <v/>
      </c>
      <c r="E72" s="34" t="n">
        <v>0.375</v>
      </c>
      <c r="F72" s="34" t="n">
        <v>0.75</v>
      </c>
      <c r="G72" s="28" t="n">
        <v>1</v>
      </c>
      <c r="H72" s="33">
        <f>IF(OR(E72="",F72=""),"",ROUND(MOD(F72-E72,1)*24-N(G72),2))</f>
        <v/>
      </c>
      <c r="I72" s="33">
        <f>IF(H72="","",ROUND(MAX(0,H72-8),2))</f>
        <v/>
      </c>
      <c r="J72" s="33">
        <f>IF(OR(E72="",F72=""),"",ROUND(IF(MOD(F72,1)&gt;=TIME(22,0,0),(MOD(F72,1)-TIME(22,0,0))*24,IF(MOD(F72,1)&lt;TIME(6,0,0),(MOD(F72,1)+1-TIME(22,0,0))*24,0)),2))</f>
        <v/>
      </c>
      <c r="K72" s="33">
        <f>IF(H72="","",ROUND(IF(L72="휴일근로",MIN(H72,8)*1.5+MAX(0,H72-8)*2,I72*1.5)+N(J72)*0.5,2))</f>
        <v/>
      </c>
      <c r="L72" s="18" t="inlineStr">
        <is>
          <t>정상</t>
        </is>
      </c>
      <c r="M72" s="18" t="n"/>
      <c r="N72" s="22" t="n"/>
    </row>
    <row r="73">
      <c r="A73" s="19" t="n">
        <v>46102</v>
      </c>
      <c r="B73" s="25">
        <f>IF(A73="","",CHOOSE(WEEKDAY(A73,2),"월","화","수","목","금","토","일"))</f>
        <v/>
      </c>
      <c r="C73" s="18" t="inlineStr">
        <is>
          <t>M001</t>
        </is>
      </c>
      <c r="D73" s="25">
        <f>IFERROR(IF(C73="","",INDEX(직원명부!$B$5:$B$24,MATCH(C73,직원명부!$A$5:$A$24,0))),"사번 확인")</f>
        <v/>
      </c>
      <c r="E73" s="34" t="n"/>
      <c r="F73" s="34" t="n"/>
      <c r="G73" s="28" t="n"/>
      <c r="H73" s="33">
        <f>IF(OR(E73="",F73=""),"",ROUND(MOD(F73-E73,1)*24-N(G73),2))</f>
        <v/>
      </c>
      <c r="I73" s="33">
        <f>IF(H73="","",ROUND(MAX(0,H73-8),2))</f>
        <v/>
      </c>
      <c r="J73" s="33">
        <f>IF(OR(E73="",F73=""),"",ROUND(IF(MOD(F73,1)&gt;=TIME(22,0,0),(MOD(F73,1)-TIME(22,0,0))*24,IF(MOD(F73,1)&lt;TIME(6,0,0),(MOD(F73,1)+1-TIME(22,0,0))*24,0)),2))</f>
        <v/>
      </c>
      <c r="K73" s="33">
        <f>IF(H73="","",ROUND(IF(L73="휴일근로",MIN(H73,8)*1.5+MAX(0,H73-8)*2,I73*1.5)+N(J73)*0.5,2))</f>
        <v/>
      </c>
      <c r="L73" s="18" t="n"/>
      <c r="M73" s="18" t="n"/>
      <c r="N73" s="42" t="inlineStr">
        <is>
          <t>주말</t>
        </is>
      </c>
    </row>
    <row r="74">
      <c r="A74" s="19" t="n">
        <v>46103</v>
      </c>
      <c r="B74" s="25">
        <f>IF(A74="","",CHOOSE(WEEKDAY(A74,2),"월","화","수","목","금","토","일"))</f>
        <v/>
      </c>
      <c r="C74" s="18" t="inlineStr">
        <is>
          <t>M001</t>
        </is>
      </c>
      <c r="D74" s="25">
        <f>IFERROR(IF(C74="","",INDEX(직원명부!$B$5:$B$24,MATCH(C74,직원명부!$A$5:$A$24,0))),"사번 확인")</f>
        <v/>
      </c>
      <c r="E74" s="34" t="n"/>
      <c r="F74" s="34" t="n"/>
      <c r="G74" s="28" t="n"/>
      <c r="H74" s="33">
        <f>IF(OR(E74="",F74=""),"",ROUND(MOD(F74-E74,1)*24-N(G74),2))</f>
        <v/>
      </c>
      <c r="I74" s="33">
        <f>IF(H74="","",ROUND(MAX(0,H74-8),2))</f>
        <v/>
      </c>
      <c r="J74" s="33">
        <f>IF(OR(E74="",F74=""),"",ROUND(IF(MOD(F74,1)&gt;=TIME(22,0,0),(MOD(F74,1)-TIME(22,0,0))*24,IF(MOD(F74,1)&lt;TIME(6,0,0),(MOD(F74,1)+1-TIME(22,0,0))*24,0)),2))</f>
        <v/>
      </c>
      <c r="K74" s="33">
        <f>IF(H74="","",ROUND(IF(L74="휴일근로",MIN(H74,8)*1.5+MAX(0,H74-8)*2,I74*1.5)+N(J74)*0.5,2))</f>
        <v/>
      </c>
      <c r="L74" s="18" t="n"/>
      <c r="M74" s="18" t="n"/>
      <c r="N74" s="42" t="inlineStr">
        <is>
          <t>주말</t>
        </is>
      </c>
    </row>
    <row r="75">
      <c r="A75" s="19" t="n">
        <v>46104</v>
      </c>
      <c r="B75" s="25">
        <f>IF(A75="","",CHOOSE(WEEKDAY(A75,2),"월","화","수","목","금","토","일"))</f>
        <v/>
      </c>
      <c r="C75" s="18" t="inlineStr">
        <is>
          <t>M001</t>
        </is>
      </c>
      <c r="D75" s="25">
        <f>IFERROR(IF(C75="","",INDEX(직원명부!$B$5:$B$24,MATCH(C75,직원명부!$A$5:$A$24,0))),"사번 확인")</f>
        <v/>
      </c>
      <c r="E75" s="34" t="n">
        <v>0.375</v>
      </c>
      <c r="F75" s="34" t="n">
        <v>0.75</v>
      </c>
      <c r="G75" s="28" t="n">
        <v>1</v>
      </c>
      <c r="H75" s="33">
        <f>IF(OR(E75="",F75=""),"",ROUND(MOD(F75-E75,1)*24-N(G75),2))</f>
        <v/>
      </c>
      <c r="I75" s="33">
        <f>IF(H75="","",ROUND(MAX(0,H75-8),2))</f>
        <v/>
      </c>
      <c r="J75" s="33">
        <f>IF(OR(E75="",F75=""),"",ROUND(IF(MOD(F75,1)&gt;=TIME(22,0,0),(MOD(F75,1)-TIME(22,0,0))*24,IF(MOD(F75,1)&lt;TIME(6,0,0),(MOD(F75,1)+1-TIME(22,0,0))*24,0)),2))</f>
        <v/>
      </c>
      <c r="K75" s="33">
        <f>IF(H75="","",ROUND(IF(L75="휴일근로",MIN(H75,8)*1.5+MAX(0,H75-8)*2,I75*1.5)+N(J75)*0.5,2))</f>
        <v/>
      </c>
      <c r="L75" s="18" t="inlineStr">
        <is>
          <t>정상</t>
        </is>
      </c>
      <c r="M75" s="18" t="n"/>
      <c r="N75" s="22" t="n"/>
    </row>
    <row r="76">
      <c r="A76" s="19" t="n">
        <v>46105</v>
      </c>
      <c r="B76" s="25">
        <f>IF(A76="","",CHOOSE(WEEKDAY(A76,2),"월","화","수","목","금","토","일"))</f>
        <v/>
      </c>
      <c r="C76" s="18" t="inlineStr">
        <is>
          <t>M001</t>
        </is>
      </c>
      <c r="D76" s="25">
        <f>IFERROR(IF(C76="","",INDEX(직원명부!$B$5:$B$24,MATCH(C76,직원명부!$A$5:$A$24,0))),"사번 확인")</f>
        <v/>
      </c>
      <c r="E76" s="34" t="n">
        <v>0.375</v>
      </c>
      <c r="F76" s="34" t="n">
        <v>0.75</v>
      </c>
      <c r="G76" s="28" t="n">
        <v>1</v>
      </c>
      <c r="H76" s="33">
        <f>IF(OR(E76="",F76=""),"",ROUND(MOD(F76-E76,1)*24-N(G76),2))</f>
        <v/>
      </c>
      <c r="I76" s="33">
        <f>IF(H76="","",ROUND(MAX(0,H76-8),2))</f>
        <v/>
      </c>
      <c r="J76" s="33">
        <f>IF(OR(E76="",F76=""),"",ROUND(IF(MOD(F76,1)&gt;=TIME(22,0,0),(MOD(F76,1)-TIME(22,0,0))*24,IF(MOD(F76,1)&lt;TIME(6,0,0),(MOD(F76,1)+1-TIME(22,0,0))*24,0)),2))</f>
        <v/>
      </c>
      <c r="K76" s="33">
        <f>IF(H76="","",ROUND(IF(L76="휴일근로",MIN(H76,8)*1.5+MAX(0,H76-8)*2,I76*1.5)+N(J76)*0.5,2))</f>
        <v/>
      </c>
      <c r="L76" s="18" t="inlineStr">
        <is>
          <t>정상</t>
        </is>
      </c>
      <c r="M76" s="18" t="n"/>
      <c r="N76" s="22" t="n"/>
    </row>
    <row r="77">
      <c r="A77" s="19" t="n">
        <v>46106</v>
      </c>
      <c r="B77" s="25">
        <f>IF(A77="","",CHOOSE(WEEKDAY(A77,2),"월","화","수","목","금","토","일"))</f>
        <v/>
      </c>
      <c r="C77" s="18" t="inlineStr">
        <is>
          <t>M001</t>
        </is>
      </c>
      <c r="D77" s="25">
        <f>IFERROR(IF(C77="","",INDEX(직원명부!$B$5:$B$24,MATCH(C77,직원명부!$A$5:$A$24,0))),"사번 확인")</f>
        <v/>
      </c>
      <c r="E77" s="34" t="n">
        <v>0.375</v>
      </c>
      <c r="F77" s="34" t="n">
        <v>0.75</v>
      </c>
      <c r="G77" s="28" t="n">
        <v>1</v>
      </c>
      <c r="H77" s="33">
        <f>IF(OR(E77="",F77=""),"",ROUND(MOD(F77-E77,1)*24-N(G77),2))</f>
        <v/>
      </c>
      <c r="I77" s="33">
        <f>IF(H77="","",ROUND(MAX(0,H77-8),2))</f>
        <v/>
      </c>
      <c r="J77" s="33">
        <f>IF(OR(E77="",F77=""),"",ROUND(IF(MOD(F77,1)&gt;=TIME(22,0,0),(MOD(F77,1)-TIME(22,0,0))*24,IF(MOD(F77,1)&lt;TIME(6,0,0),(MOD(F77,1)+1-TIME(22,0,0))*24,0)),2))</f>
        <v/>
      </c>
      <c r="K77" s="33">
        <f>IF(H77="","",ROUND(IF(L77="휴일근로",MIN(H77,8)*1.5+MAX(0,H77-8)*2,I77*1.5)+N(J77)*0.5,2))</f>
        <v/>
      </c>
      <c r="L77" s="18" t="inlineStr">
        <is>
          <t>정상</t>
        </is>
      </c>
      <c r="M77" s="18" t="n"/>
      <c r="N77" s="22" t="n"/>
    </row>
    <row r="78">
      <c r="A78" s="19" t="n">
        <v>46107</v>
      </c>
      <c r="B78" s="25">
        <f>IF(A78="","",CHOOSE(WEEKDAY(A78,2),"월","화","수","목","금","토","일"))</f>
        <v/>
      </c>
      <c r="C78" s="18" t="inlineStr">
        <is>
          <t>M001</t>
        </is>
      </c>
      <c r="D78" s="25">
        <f>IFERROR(IF(C78="","",INDEX(직원명부!$B$5:$B$24,MATCH(C78,직원명부!$A$5:$A$24,0))),"사번 확인")</f>
        <v/>
      </c>
      <c r="E78" s="34" t="n">
        <v>0.375</v>
      </c>
      <c r="F78" s="34" t="n">
        <v>0.75</v>
      </c>
      <c r="G78" s="28" t="n">
        <v>1</v>
      </c>
      <c r="H78" s="33">
        <f>IF(OR(E78="",F78=""),"",ROUND(MOD(F78-E78,1)*24-N(G78),2))</f>
        <v/>
      </c>
      <c r="I78" s="33">
        <f>IF(H78="","",ROUND(MAX(0,H78-8),2))</f>
        <v/>
      </c>
      <c r="J78" s="33">
        <f>IF(OR(E78="",F78=""),"",ROUND(IF(MOD(F78,1)&gt;=TIME(22,0,0),(MOD(F78,1)-TIME(22,0,0))*24,IF(MOD(F78,1)&lt;TIME(6,0,0),(MOD(F78,1)+1-TIME(22,0,0))*24,0)),2))</f>
        <v/>
      </c>
      <c r="K78" s="33">
        <f>IF(H78="","",ROUND(IF(L78="휴일근로",MIN(H78,8)*1.5+MAX(0,H78-8)*2,I78*1.5)+N(J78)*0.5,2))</f>
        <v/>
      </c>
      <c r="L78" s="18" t="inlineStr">
        <is>
          <t>정상</t>
        </is>
      </c>
      <c r="M78" s="18" t="n"/>
      <c r="N78" s="22" t="n"/>
    </row>
    <row r="79">
      <c r="A79" s="19" t="n">
        <v>46108</v>
      </c>
      <c r="B79" s="25">
        <f>IF(A79="","",CHOOSE(WEEKDAY(A79,2),"월","화","수","목","금","토","일"))</f>
        <v/>
      </c>
      <c r="C79" s="18" t="inlineStr">
        <is>
          <t>M001</t>
        </is>
      </c>
      <c r="D79" s="25">
        <f>IFERROR(IF(C79="","",INDEX(직원명부!$B$5:$B$24,MATCH(C79,직원명부!$A$5:$A$24,0))),"사번 확인")</f>
        <v/>
      </c>
      <c r="E79" s="34" t="n">
        <v>0.375</v>
      </c>
      <c r="F79" s="34" t="n">
        <v>0.75</v>
      </c>
      <c r="G79" s="28" t="n">
        <v>1</v>
      </c>
      <c r="H79" s="33">
        <f>IF(OR(E79="",F79=""),"",ROUND(MOD(F79-E79,1)*24-N(G79),2))</f>
        <v/>
      </c>
      <c r="I79" s="33">
        <f>IF(H79="","",ROUND(MAX(0,H79-8),2))</f>
        <v/>
      </c>
      <c r="J79" s="33">
        <f>IF(OR(E79="",F79=""),"",ROUND(IF(MOD(F79,1)&gt;=TIME(22,0,0),(MOD(F79,1)-TIME(22,0,0))*24,IF(MOD(F79,1)&lt;TIME(6,0,0),(MOD(F79,1)+1-TIME(22,0,0))*24,0)),2))</f>
        <v/>
      </c>
      <c r="K79" s="33">
        <f>IF(H79="","",ROUND(IF(L79="휴일근로",MIN(H79,8)*1.5+MAX(0,H79-8)*2,I79*1.5)+N(J79)*0.5,2))</f>
        <v/>
      </c>
      <c r="L79" s="18" t="inlineStr">
        <is>
          <t>정상</t>
        </is>
      </c>
      <c r="M79" s="18" t="n"/>
      <c r="N79" s="22" t="n"/>
    </row>
    <row r="80">
      <c r="A80" s="19" t="n">
        <v>46109</v>
      </c>
      <c r="B80" s="25">
        <f>IF(A80="","",CHOOSE(WEEKDAY(A80,2),"월","화","수","목","금","토","일"))</f>
        <v/>
      </c>
      <c r="C80" s="18" t="inlineStr">
        <is>
          <t>M001</t>
        </is>
      </c>
      <c r="D80" s="25">
        <f>IFERROR(IF(C80="","",INDEX(직원명부!$B$5:$B$24,MATCH(C80,직원명부!$A$5:$A$24,0))),"사번 확인")</f>
        <v/>
      </c>
      <c r="E80" s="34" t="n"/>
      <c r="F80" s="34" t="n"/>
      <c r="G80" s="28" t="n"/>
      <c r="H80" s="33">
        <f>IF(OR(E80="",F80=""),"",ROUND(MOD(F80-E80,1)*24-N(G80),2))</f>
        <v/>
      </c>
      <c r="I80" s="33">
        <f>IF(H80="","",ROUND(MAX(0,H80-8),2))</f>
        <v/>
      </c>
      <c r="J80" s="33">
        <f>IF(OR(E80="",F80=""),"",ROUND(IF(MOD(F80,1)&gt;=TIME(22,0,0),(MOD(F80,1)-TIME(22,0,0))*24,IF(MOD(F80,1)&lt;TIME(6,0,0),(MOD(F80,1)+1-TIME(22,0,0))*24,0)),2))</f>
        <v/>
      </c>
      <c r="K80" s="33">
        <f>IF(H80="","",ROUND(IF(L80="휴일근로",MIN(H80,8)*1.5+MAX(0,H80-8)*2,I80*1.5)+N(J80)*0.5,2))</f>
        <v/>
      </c>
      <c r="L80" s="18" t="n"/>
      <c r="M80" s="18" t="n"/>
      <c r="N80" s="42" t="inlineStr">
        <is>
          <t>주말</t>
        </is>
      </c>
    </row>
    <row r="81">
      <c r="A81" s="19" t="n">
        <v>46110</v>
      </c>
      <c r="B81" s="25">
        <f>IF(A81="","",CHOOSE(WEEKDAY(A81,2),"월","화","수","목","금","토","일"))</f>
        <v/>
      </c>
      <c r="C81" s="18" t="inlineStr">
        <is>
          <t>M001</t>
        </is>
      </c>
      <c r="D81" s="25">
        <f>IFERROR(IF(C81="","",INDEX(직원명부!$B$5:$B$24,MATCH(C81,직원명부!$A$5:$A$24,0))),"사번 확인")</f>
        <v/>
      </c>
      <c r="E81" s="34" t="n"/>
      <c r="F81" s="34" t="n"/>
      <c r="G81" s="28" t="n"/>
      <c r="H81" s="33">
        <f>IF(OR(E81="",F81=""),"",ROUND(MOD(F81-E81,1)*24-N(G81),2))</f>
        <v/>
      </c>
      <c r="I81" s="33">
        <f>IF(H81="","",ROUND(MAX(0,H81-8),2))</f>
        <v/>
      </c>
      <c r="J81" s="33">
        <f>IF(OR(E81="",F81=""),"",ROUND(IF(MOD(F81,1)&gt;=TIME(22,0,0),(MOD(F81,1)-TIME(22,0,0))*24,IF(MOD(F81,1)&lt;TIME(6,0,0),(MOD(F81,1)+1-TIME(22,0,0))*24,0)),2))</f>
        <v/>
      </c>
      <c r="K81" s="33">
        <f>IF(H81="","",ROUND(IF(L81="휴일근로",MIN(H81,8)*1.5+MAX(0,H81-8)*2,I81*1.5)+N(J81)*0.5,2))</f>
        <v/>
      </c>
      <c r="L81" s="18" t="n"/>
      <c r="M81" s="18" t="n"/>
      <c r="N81" s="42" t="inlineStr">
        <is>
          <t>주말</t>
        </is>
      </c>
    </row>
    <row r="82">
      <c r="A82" s="19" t="n">
        <v>46111</v>
      </c>
      <c r="B82" s="25">
        <f>IF(A82="","",CHOOSE(WEEKDAY(A82,2),"월","화","수","목","금","토","일"))</f>
        <v/>
      </c>
      <c r="C82" s="18" t="inlineStr">
        <is>
          <t>M001</t>
        </is>
      </c>
      <c r="D82" s="25">
        <f>IFERROR(IF(C82="","",INDEX(직원명부!$B$5:$B$24,MATCH(C82,직원명부!$A$5:$A$24,0))),"사번 확인")</f>
        <v/>
      </c>
      <c r="E82" s="34" t="n">
        <v>0.375</v>
      </c>
      <c r="F82" s="34" t="n">
        <v>0.75</v>
      </c>
      <c r="G82" s="28" t="n">
        <v>1</v>
      </c>
      <c r="H82" s="33">
        <f>IF(OR(E82="",F82=""),"",ROUND(MOD(F82-E82,1)*24-N(G82),2))</f>
        <v/>
      </c>
      <c r="I82" s="33">
        <f>IF(H82="","",ROUND(MAX(0,H82-8),2))</f>
        <v/>
      </c>
      <c r="J82" s="33">
        <f>IF(OR(E82="",F82=""),"",ROUND(IF(MOD(F82,1)&gt;=TIME(22,0,0),(MOD(F82,1)-TIME(22,0,0))*24,IF(MOD(F82,1)&lt;TIME(6,0,0),(MOD(F82,1)+1-TIME(22,0,0))*24,0)),2))</f>
        <v/>
      </c>
      <c r="K82" s="33">
        <f>IF(H82="","",ROUND(IF(L82="휴일근로",MIN(H82,8)*1.5+MAX(0,H82-8)*2,I82*1.5)+N(J82)*0.5,2))</f>
        <v/>
      </c>
      <c r="L82" s="18" t="inlineStr">
        <is>
          <t>정상</t>
        </is>
      </c>
      <c r="M82" s="18" t="n"/>
      <c r="N82" s="22" t="n"/>
    </row>
    <row r="83">
      <c r="A83" s="19" t="n">
        <v>46112</v>
      </c>
      <c r="B83" s="25">
        <f>IF(A83="","",CHOOSE(WEEKDAY(A83,2),"월","화","수","목","금","토","일"))</f>
        <v/>
      </c>
      <c r="C83" s="18" t="inlineStr">
        <is>
          <t>M001</t>
        </is>
      </c>
      <c r="D83" s="25">
        <f>IFERROR(IF(C83="","",INDEX(직원명부!$B$5:$B$24,MATCH(C83,직원명부!$A$5:$A$24,0))),"사번 확인")</f>
        <v/>
      </c>
      <c r="E83" s="34" t="n">
        <v>0.375</v>
      </c>
      <c r="F83" s="34" t="n">
        <v>0.75</v>
      </c>
      <c r="G83" s="28" t="n">
        <v>1</v>
      </c>
      <c r="H83" s="33">
        <f>IF(OR(E83="",F83=""),"",ROUND(MOD(F83-E83,1)*24-N(G83),2))</f>
        <v/>
      </c>
      <c r="I83" s="33">
        <f>IF(H83="","",ROUND(MAX(0,H83-8),2))</f>
        <v/>
      </c>
      <c r="J83" s="33">
        <f>IF(OR(E83="",F83=""),"",ROUND(IF(MOD(F83,1)&gt;=TIME(22,0,0),(MOD(F83,1)-TIME(22,0,0))*24,IF(MOD(F83,1)&lt;TIME(6,0,0),(MOD(F83,1)+1-TIME(22,0,0))*24,0)),2))</f>
        <v/>
      </c>
      <c r="K83" s="33">
        <f>IF(H83="","",ROUND(IF(L83="휴일근로",MIN(H83,8)*1.5+MAX(0,H83-8)*2,I83*1.5)+N(J83)*0.5,2))</f>
        <v/>
      </c>
      <c r="L83" s="18" t="inlineStr">
        <is>
          <t>정상</t>
        </is>
      </c>
      <c r="M83" s="18" t="n"/>
      <c r="N83" s="22" t="n"/>
    </row>
    <row r="84">
      <c r="A84" s="19" t="n">
        <v>46113</v>
      </c>
      <c r="B84" s="25">
        <f>IF(A84="","",CHOOSE(WEEKDAY(A84,2),"월","화","수","목","금","토","일"))</f>
        <v/>
      </c>
      <c r="C84" s="18" t="inlineStr">
        <is>
          <t>M001</t>
        </is>
      </c>
      <c r="D84" s="25">
        <f>IFERROR(IF(C84="","",INDEX(직원명부!$B$5:$B$24,MATCH(C84,직원명부!$A$5:$A$24,0))),"사번 확인")</f>
        <v/>
      </c>
      <c r="E84" s="34" t="n">
        <v>0.375</v>
      </c>
      <c r="F84" s="34" t="n">
        <v>0.75</v>
      </c>
      <c r="G84" s="28" t="n">
        <v>1</v>
      </c>
      <c r="H84" s="33">
        <f>IF(OR(E84="",F84=""),"",ROUND(MOD(F84-E84,1)*24-N(G84),2))</f>
        <v/>
      </c>
      <c r="I84" s="33">
        <f>IF(H84="","",ROUND(MAX(0,H84-8),2))</f>
        <v/>
      </c>
      <c r="J84" s="33">
        <f>IF(OR(E84="",F84=""),"",ROUND(IF(MOD(F84,1)&gt;=TIME(22,0,0),(MOD(F84,1)-TIME(22,0,0))*24,IF(MOD(F84,1)&lt;TIME(6,0,0),(MOD(F84,1)+1-TIME(22,0,0))*24,0)),2))</f>
        <v/>
      </c>
      <c r="K84" s="33">
        <f>IF(H84="","",ROUND(IF(L84="휴일근로",MIN(H84,8)*1.5+MAX(0,H84-8)*2,I84*1.5)+N(J84)*0.5,2))</f>
        <v/>
      </c>
      <c r="L84" s="18" t="inlineStr">
        <is>
          <t>정상</t>
        </is>
      </c>
      <c r="M84" s="18" t="n"/>
      <c r="N84" s="22" t="n"/>
    </row>
    <row r="85">
      <c r="A85" s="19" t="n">
        <v>46114</v>
      </c>
      <c r="B85" s="25">
        <f>IF(A85="","",CHOOSE(WEEKDAY(A85,2),"월","화","수","목","금","토","일"))</f>
        <v/>
      </c>
      <c r="C85" s="18" t="inlineStr">
        <is>
          <t>M001</t>
        </is>
      </c>
      <c r="D85" s="25">
        <f>IFERROR(IF(C85="","",INDEX(직원명부!$B$5:$B$24,MATCH(C85,직원명부!$A$5:$A$24,0))),"사번 확인")</f>
        <v/>
      </c>
      <c r="E85" s="34" t="n">
        <v>0.375</v>
      </c>
      <c r="F85" s="34" t="n">
        <v>0.75</v>
      </c>
      <c r="G85" s="28" t="n">
        <v>1</v>
      </c>
      <c r="H85" s="33">
        <f>IF(OR(E85="",F85=""),"",ROUND(MOD(F85-E85,1)*24-N(G85),2))</f>
        <v/>
      </c>
      <c r="I85" s="33">
        <f>IF(H85="","",ROUND(MAX(0,H85-8),2))</f>
        <v/>
      </c>
      <c r="J85" s="33">
        <f>IF(OR(E85="",F85=""),"",ROUND(IF(MOD(F85,1)&gt;=TIME(22,0,0),(MOD(F85,1)-TIME(22,0,0))*24,IF(MOD(F85,1)&lt;TIME(6,0,0),(MOD(F85,1)+1-TIME(22,0,0))*24,0)),2))</f>
        <v/>
      </c>
      <c r="K85" s="33">
        <f>IF(H85="","",ROUND(IF(L85="휴일근로",MIN(H85,8)*1.5+MAX(0,H85-8)*2,I85*1.5)+N(J85)*0.5,2))</f>
        <v/>
      </c>
      <c r="L85" s="18" t="inlineStr">
        <is>
          <t>정상</t>
        </is>
      </c>
      <c r="M85" s="18" t="n"/>
      <c r="N85" s="22" t="n"/>
    </row>
    <row r="86">
      <c r="A86" s="19" t="n">
        <v>46115</v>
      </c>
      <c r="B86" s="25">
        <f>IF(A86="","",CHOOSE(WEEKDAY(A86,2),"월","화","수","목","금","토","일"))</f>
        <v/>
      </c>
      <c r="C86" s="18" t="inlineStr">
        <is>
          <t>M001</t>
        </is>
      </c>
      <c r="D86" s="25">
        <f>IFERROR(IF(C86="","",INDEX(직원명부!$B$5:$B$24,MATCH(C86,직원명부!$A$5:$A$24,0))),"사번 확인")</f>
        <v/>
      </c>
      <c r="E86" s="34" t="n">
        <v>0.375</v>
      </c>
      <c r="F86" s="34" t="n">
        <v>0.75</v>
      </c>
      <c r="G86" s="28" t="n">
        <v>1</v>
      </c>
      <c r="H86" s="33">
        <f>IF(OR(E86="",F86=""),"",ROUND(MOD(F86-E86,1)*24-N(G86),2))</f>
        <v/>
      </c>
      <c r="I86" s="33">
        <f>IF(H86="","",ROUND(MAX(0,H86-8),2))</f>
        <v/>
      </c>
      <c r="J86" s="33">
        <f>IF(OR(E86="",F86=""),"",ROUND(IF(MOD(F86,1)&gt;=TIME(22,0,0),(MOD(F86,1)-TIME(22,0,0))*24,IF(MOD(F86,1)&lt;TIME(6,0,0),(MOD(F86,1)+1-TIME(22,0,0))*24,0)),2))</f>
        <v/>
      </c>
      <c r="K86" s="33">
        <f>IF(H86="","",ROUND(IF(L86="휴일근로",MIN(H86,8)*1.5+MAX(0,H86-8)*2,I86*1.5)+N(J86)*0.5,2))</f>
        <v/>
      </c>
      <c r="L86" s="18" t="inlineStr">
        <is>
          <t>정상</t>
        </is>
      </c>
      <c r="M86" s="18" t="n"/>
      <c r="N86" s="22" t="n"/>
    </row>
    <row r="87">
      <c r="A87" s="19" t="n">
        <v>46116</v>
      </c>
      <c r="B87" s="25">
        <f>IF(A87="","",CHOOSE(WEEKDAY(A87,2),"월","화","수","목","금","토","일"))</f>
        <v/>
      </c>
      <c r="C87" s="18" t="inlineStr">
        <is>
          <t>M001</t>
        </is>
      </c>
      <c r="D87" s="25">
        <f>IFERROR(IF(C87="","",INDEX(직원명부!$B$5:$B$24,MATCH(C87,직원명부!$A$5:$A$24,0))),"사번 확인")</f>
        <v/>
      </c>
      <c r="E87" s="34" t="n"/>
      <c r="F87" s="34" t="n"/>
      <c r="G87" s="28" t="n"/>
      <c r="H87" s="33">
        <f>IF(OR(E87="",F87=""),"",ROUND(MOD(F87-E87,1)*24-N(G87),2))</f>
        <v/>
      </c>
      <c r="I87" s="33">
        <f>IF(H87="","",ROUND(MAX(0,H87-8),2))</f>
        <v/>
      </c>
      <c r="J87" s="33">
        <f>IF(OR(E87="",F87=""),"",ROUND(IF(MOD(F87,1)&gt;=TIME(22,0,0),(MOD(F87,1)-TIME(22,0,0))*24,IF(MOD(F87,1)&lt;TIME(6,0,0),(MOD(F87,1)+1-TIME(22,0,0))*24,0)),2))</f>
        <v/>
      </c>
      <c r="K87" s="33">
        <f>IF(H87="","",ROUND(IF(L87="휴일근로",MIN(H87,8)*1.5+MAX(0,H87-8)*2,I87*1.5)+N(J87)*0.5,2))</f>
        <v/>
      </c>
      <c r="L87" s="18" t="n"/>
      <c r="M87" s="18" t="n"/>
      <c r="N87" s="42" t="inlineStr">
        <is>
          <t>주말</t>
        </is>
      </c>
    </row>
    <row r="88">
      <c r="A88" s="19" t="n">
        <v>46117</v>
      </c>
      <c r="B88" s="25">
        <f>IF(A88="","",CHOOSE(WEEKDAY(A88,2),"월","화","수","목","금","토","일"))</f>
        <v/>
      </c>
      <c r="C88" s="18" t="inlineStr">
        <is>
          <t>M001</t>
        </is>
      </c>
      <c r="D88" s="25">
        <f>IFERROR(IF(C88="","",INDEX(직원명부!$B$5:$B$24,MATCH(C88,직원명부!$A$5:$A$24,0))),"사번 확인")</f>
        <v/>
      </c>
      <c r="E88" s="34" t="n"/>
      <c r="F88" s="34" t="n"/>
      <c r="G88" s="28" t="n"/>
      <c r="H88" s="33">
        <f>IF(OR(E88="",F88=""),"",ROUND(MOD(F88-E88,1)*24-N(G88),2))</f>
        <v/>
      </c>
      <c r="I88" s="33">
        <f>IF(H88="","",ROUND(MAX(0,H88-8),2))</f>
        <v/>
      </c>
      <c r="J88" s="33">
        <f>IF(OR(E88="",F88=""),"",ROUND(IF(MOD(F88,1)&gt;=TIME(22,0,0),(MOD(F88,1)-TIME(22,0,0))*24,IF(MOD(F88,1)&lt;TIME(6,0,0),(MOD(F88,1)+1-TIME(22,0,0))*24,0)),2))</f>
        <v/>
      </c>
      <c r="K88" s="33">
        <f>IF(H88="","",ROUND(IF(L88="휴일근로",MIN(H88,8)*1.5+MAX(0,H88-8)*2,I88*1.5)+N(J88)*0.5,2))</f>
        <v/>
      </c>
      <c r="L88" s="18" t="n"/>
      <c r="M88" s="18" t="n"/>
      <c r="N88" s="42" t="inlineStr">
        <is>
          <t>주말</t>
        </is>
      </c>
    </row>
    <row r="89">
      <c r="A89" s="19" t="n">
        <v>46118</v>
      </c>
      <c r="B89" s="25">
        <f>IF(A89="","",CHOOSE(WEEKDAY(A89,2),"월","화","수","목","금","토","일"))</f>
        <v/>
      </c>
      <c r="C89" s="18" t="inlineStr">
        <is>
          <t>M001</t>
        </is>
      </c>
      <c r="D89" s="25">
        <f>IFERROR(IF(C89="","",INDEX(직원명부!$B$5:$B$24,MATCH(C89,직원명부!$A$5:$A$24,0))),"사번 확인")</f>
        <v/>
      </c>
      <c r="E89" s="34" t="n">
        <v>0.375</v>
      </c>
      <c r="F89" s="34" t="n">
        <v>0.75</v>
      </c>
      <c r="G89" s="28" t="n">
        <v>1</v>
      </c>
      <c r="H89" s="33">
        <f>IF(OR(E89="",F89=""),"",ROUND(MOD(F89-E89,1)*24-N(G89),2))</f>
        <v/>
      </c>
      <c r="I89" s="33">
        <f>IF(H89="","",ROUND(MAX(0,H89-8),2))</f>
        <v/>
      </c>
      <c r="J89" s="33">
        <f>IF(OR(E89="",F89=""),"",ROUND(IF(MOD(F89,1)&gt;=TIME(22,0,0),(MOD(F89,1)-TIME(22,0,0))*24,IF(MOD(F89,1)&lt;TIME(6,0,0),(MOD(F89,1)+1-TIME(22,0,0))*24,0)),2))</f>
        <v/>
      </c>
      <c r="K89" s="33">
        <f>IF(H89="","",ROUND(IF(L89="휴일근로",MIN(H89,8)*1.5+MAX(0,H89-8)*2,I89*1.5)+N(J89)*0.5,2))</f>
        <v/>
      </c>
      <c r="L89" s="18" t="inlineStr">
        <is>
          <t>정상</t>
        </is>
      </c>
      <c r="M89" s="18" t="n"/>
      <c r="N89" s="22" t="n"/>
    </row>
    <row r="90">
      <c r="A90" s="19" t="n">
        <v>46119</v>
      </c>
      <c r="B90" s="25">
        <f>IF(A90="","",CHOOSE(WEEKDAY(A90,2),"월","화","수","목","금","토","일"))</f>
        <v/>
      </c>
      <c r="C90" s="18" t="inlineStr">
        <is>
          <t>M001</t>
        </is>
      </c>
      <c r="D90" s="25">
        <f>IFERROR(IF(C90="","",INDEX(직원명부!$B$5:$B$24,MATCH(C90,직원명부!$A$5:$A$24,0))),"사번 확인")</f>
        <v/>
      </c>
      <c r="E90" s="34" t="n">
        <v>0.375</v>
      </c>
      <c r="F90" s="34" t="n">
        <v>0.75</v>
      </c>
      <c r="G90" s="28" t="n">
        <v>1</v>
      </c>
      <c r="H90" s="33">
        <f>IF(OR(E90="",F90=""),"",ROUND(MOD(F90-E90,1)*24-N(G90),2))</f>
        <v/>
      </c>
      <c r="I90" s="33">
        <f>IF(H90="","",ROUND(MAX(0,H90-8),2))</f>
        <v/>
      </c>
      <c r="J90" s="33">
        <f>IF(OR(E90="",F90=""),"",ROUND(IF(MOD(F90,1)&gt;=TIME(22,0,0),(MOD(F90,1)-TIME(22,0,0))*24,IF(MOD(F90,1)&lt;TIME(6,0,0),(MOD(F90,1)+1-TIME(22,0,0))*24,0)),2))</f>
        <v/>
      </c>
      <c r="K90" s="33">
        <f>IF(H90="","",ROUND(IF(L90="휴일근로",MIN(H90,8)*1.5+MAX(0,H90-8)*2,I90*1.5)+N(J90)*0.5,2))</f>
        <v/>
      </c>
      <c r="L90" s="18" t="inlineStr">
        <is>
          <t>정상</t>
        </is>
      </c>
      <c r="M90" s="18" t="n"/>
      <c r="N90" s="22" t="n"/>
    </row>
    <row r="91">
      <c r="A91" s="19" t="n">
        <v>46120</v>
      </c>
      <c r="B91" s="25">
        <f>IF(A91="","",CHOOSE(WEEKDAY(A91,2),"월","화","수","목","금","토","일"))</f>
        <v/>
      </c>
      <c r="C91" s="18" t="inlineStr">
        <is>
          <t>M001</t>
        </is>
      </c>
      <c r="D91" s="25">
        <f>IFERROR(IF(C91="","",INDEX(직원명부!$B$5:$B$24,MATCH(C91,직원명부!$A$5:$A$24,0))),"사번 확인")</f>
        <v/>
      </c>
      <c r="E91" s="34" t="n">
        <v>0.375</v>
      </c>
      <c r="F91" s="34" t="n">
        <v>0.75</v>
      </c>
      <c r="G91" s="28" t="n">
        <v>1</v>
      </c>
      <c r="H91" s="33">
        <f>IF(OR(E91="",F91=""),"",ROUND(MOD(F91-E91,1)*24-N(G91),2))</f>
        <v/>
      </c>
      <c r="I91" s="33">
        <f>IF(H91="","",ROUND(MAX(0,H91-8),2))</f>
        <v/>
      </c>
      <c r="J91" s="33">
        <f>IF(OR(E91="",F91=""),"",ROUND(IF(MOD(F91,1)&gt;=TIME(22,0,0),(MOD(F91,1)-TIME(22,0,0))*24,IF(MOD(F91,1)&lt;TIME(6,0,0),(MOD(F91,1)+1-TIME(22,0,0))*24,0)),2))</f>
        <v/>
      </c>
      <c r="K91" s="33">
        <f>IF(H91="","",ROUND(IF(L91="휴일근로",MIN(H91,8)*1.5+MAX(0,H91-8)*2,I91*1.5)+N(J91)*0.5,2))</f>
        <v/>
      </c>
      <c r="L91" s="18" t="inlineStr">
        <is>
          <t>정상</t>
        </is>
      </c>
      <c r="M91" s="18" t="n"/>
      <c r="N91" s="22" t="n"/>
    </row>
    <row r="92">
      <c r="A92" s="19" t="n">
        <v>46121</v>
      </c>
      <c r="B92" s="25">
        <f>IF(A92="","",CHOOSE(WEEKDAY(A92,2),"월","화","수","목","금","토","일"))</f>
        <v/>
      </c>
      <c r="C92" s="18" t="inlineStr">
        <is>
          <t>M001</t>
        </is>
      </c>
      <c r="D92" s="25">
        <f>IFERROR(IF(C92="","",INDEX(직원명부!$B$5:$B$24,MATCH(C92,직원명부!$A$5:$A$24,0))),"사번 확인")</f>
        <v/>
      </c>
      <c r="E92" s="34" t="n">
        <v>0.375</v>
      </c>
      <c r="F92" s="34" t="n">
        <v>0.75</v>
      </c>
      <c r="G92" s="28" t="n">
        <v>1</v>
      </c>
      <c r="H92" s="33">
        <f>IF(OR(E92="",F92=""),"",ROUND(MOD(F92-E92,1)*24-N(G92),2))</f>
        <v/>
      </c>
      <c r="I92" s="33">
        <f>IF(H92="","",ROUND(MAX(0,H92-8),2))</f>
        <v/>
      </c>
      <c r="J92" s="33">
        <f>IF(OR(E92="",F92=""),"",ROUND(IF(MOD(F92,1)&gt;=TIME(22,0,0),(MOD(F92,1)-TIME(22,0,0))*24,IF(MOD(F92,1)&lt;TIME(6,0,0),(MOD(F92,1)+1-TIME(22,0,0))*24,0)),2))</f>
        <v/>
      </c>
      <c r="K92" s="33">
        <f>IF(H92="","",ROUND(IF(L92="휴일근로",MIN(H92,8)*1.5+MAX(0,H92-8)*2,I92*1.5)+N(J92)*0.5,2))</f>
        <v/>
      </c>
      <c r="L92" s="18" t="inlineStr">
        <is>
          <t>정상</t>
        </is>
      </c>
      <c r="M92" s="18" t="n"/>
      <c r="N92" s="22" t="n"/>
    </row>
    <row r="93">
      <c r="A93" s="19" t="n">
        <v>46122</v>
      </c>
      <c r="B93" s="25">
        <f>IF(A93="","",CHOOSE(WEEKDAY(A93,2),"월","화","수","목","금","토","일"))</f>
        <v/>
      </c>
      <c r="C93" s="18" t="inlineStr">
        <is>
          <t>M001</t>
        </is>
      </c>
      <c r="D93" s="25">
        <f>IFERROR(IF(C93="","",INDEX(직원명부!$B$5:$B$24,MATCH(C93,직원명부!$A$5:$A$24,0))),"사번 확인")</f>
        <v/>
      </c>
      <c r="E93" s="34" t="n">
        <v>0.375</v>
      </c>
      <c r="F93" s="34" t="n">
        <v>0.75</v>
      </c>
      <c r="G93" s="28" t="n">
        <v>1</v>
      </c>
      <c r="H93" s="33">
        <f>IF(OR(E93="",F93=""),"",ROUND(MOD(F93-E93,1)*24-N(G93),2))</f>
        <v/>
      </c>
      <c r="I93" s="33">
        <f>IF(H93="","",ROUND(MAX(0,H93-8),2))</f>
        <v/>
      </c>
      <c r="J93" s="33">
        <f>IF(OR(E93="",F93=""),"",ROUND(IF(MOD(F93,1)&gt;=TIME(22,0,0),(MOD(F93,1)-TIME(22,0,0))*24,IF(MOD(F93,1)&lt;TIME(6,0,0),(MOD(F93,1)+1-TIME(22,0,0))*24,0)),2))</f>
        <v/>
      </c>
      <c r="K93" s="33">
        <f>IF(H93="","",ROUND(IF(L93="휴일근로",MIN(H93,8)*1.5+MAX(0,H93-8)*2,I93*1.5)+N(J93)*0.5,2))</f>
        <v/>
      </c>
      <c r="L93" s="18" t="inlineStr">
        <is>
          <t>정상</t>
        </is>
      </c>
      <c r="M93" s="18" t="n"/>
      <c r="N93" s="22" t="n"/>
    </row>
    <row r="94">
      <c r="A94" s="19" t="n">
        <v>46123</v>
      </c>
      <c r="B94" s="25">
        <f>IF(A94="","",CHOOSE(WEEKDAY(A94,2),"월","화","수","목","금","토","일"))</f>
        <v/>
      </c>
      <c r="C94" s="18" t="inlineStr">
        <is>
          <t>M001</t>
        </is>
      </c>
      <c r="D94" s="25">
        <f>IFERROR(IF(C94="","",INDEX(직원명부!$B$5:$B$24,MATCH(C94,직원명부!$A$5:$A$24,0))),"사번 확인")</f>
        <v/>
      </c>
      <c r="E94" s="34" t="n"/>
      <c r="F94" s="34" t="n"/>
      <c r="G94" s="28" t="n"/>
      <c r="H94" s="33">
        <f>IF(OR(E94="",F94=""),"",ROUND(MOD(F94-E94,1)*24-N(G94),2))</f>
        <v/>
      </c>
      <c r="I94" s="33">
        <f>IF(H94="","",ROUND(MAX(0,H94-8),2))</f>
        <v/>
      </c>
      <c r="J94" s="33">
        <f>IF(OR(E94="",F94=""),"",ROUND(IF(MOD(F94,1)&gt;=TIME(22,0,0),(MOD(F94,1)-TIME(22,0,0))*24,IF(MOD(F94,1)&lt;TIME(6,0,0),(MOD(F94,1)+1-TIME(22,0,0))*24,0)),2))</f>
        <v/>
      </c>
      <c r="K94" s="33">
        <f>IF(H94="","",ROUND(IF(L94="휴일근로",MIN(H94,8)*1.5+MAX(0,H94-8)*2,I94*1.5)+N(J94)*0.5,2))</f>
        <v/>
      </c>
      <c r="L94" s="18" t="n"/>
      <c r="M94" s="18" t="n"/>
      <c r="N94" s="42" t="inlineStr">
        <is>
          <t>주말</t>
        </is>
      </c>
    </row>
    <row r="95">
      <c r="A95" s="19" t="n">
        <v>46124</v>
      </c>
      <c r="B95" s="25">
        <f>IF(A95="","",CHOOSE(WEEKDAY(A95,2),"월","화","수","목","금","토","일"))</f>
        <v/>
      </c>
      <c r="C95" s="18" t="inlineStr">
        <is>
          <t>M001</t>
        </is>
      </c>
      <c r="D95" s="25">
        <f>IFERROR(IF(C95="","",INDEX(직원명부!$B$5:$B$24,MATCH(C95,직원명부!$A$5:$A$24,0))),"사번 확인")</f>
        <v/>
      </c>
      <c r="E95" s="34" t="n"/>
      <c r="F95" s="34" t="n"/>
      <c r="G95" s="28" t="n"/>
      <c r="H95" s="33">
        <f>IF(OR(E95="",F95=""),"",ROUND(MOD(F95-E95,1)*24-N(G95),2))</f>
        <v/>
      </c>
      <c r="I95" s="33">
        <f>IF(H95="","",ROUND(MAX(0,H95-8),2))</f>
        <v/>
      </c>
      <c r="J95" s="33">
        <f>IF(OR(E95="",F95=""),"",ROUND(IF(MOD(F95,1)&gt;=TIME(22,0,0),(MOD(F95,1)-TIME(22,0,0))*24,IF(MOD(F95,1)&lt;TIME(6,0,0),(MOD(F95,1)+1-TIME(22,0,0))*24,0)),2))</f>
        <v/>
      </c>
      <c r="K95" s="33">
        <f>IF(H95="","",ROUND(IF(L95="휴일근로",MIN(H95,8)*1.5+MAX(0,H95-8)*2,I95*1.5)+N(J95)*0.5,2))</f>
        <v/>
      </c>
      <c r="L95" s="18" t="n"/>
      <c r="M95" s="18" t="n"/>
      <c r="N95" s="42" t="inlineStr">
        <is>
          <t>주말</t>
        </is>
      </c>
    </row>
    <row r="96">
      <c r="A96" s="19" t="n">
        <v>46125</v>
      </c>
      <c r="B96" s="25">
        <f>IF(A96="","",CHOOSE(WEEKDAY(A96,2),"월","화","수","목","금","토","일"))</f>
        <v/>
      </c>
      <c r="C96" s="18" t="inlineStr">
        <is>
          <t>M001</t>
        </is>
      </c>
      <c r="D96" s="25">
        <f>IFERROR(IF(C96="","",INDEX(직원명부!$B$5:$B$24,MATCH(C96,직원명부!$A$5:$A$24,0))),"사번 확인")</f>
        <v/>
      </c>
      <c r="E96" s="34" t="n">
        <v>0.375</v>
      </c>
      <c r="F96" s="34" t="n">
        <v>0.75</v>
      </c>
      <c r="G96" s="28" t="n">
        <v>1</v>
      </c>
      <c r="H96" s="33">
        <f>IF(OR(E96="",F96=""),"",ROUND(MOD(F96-E96,1)*24-N(G96),2))</f>
        <v/>
      </c>
      <c r="I96" s="33">
        <f>IF(H96="","",ROUND(MAX(0,H96-8),2))</f>
        <v/>
      </c>
      <c r="J96" s="33">
        <f>IF(OR(E96="",F96=""),"",ROUND(IF(MOD(F96,1)&gt;=TIME(22,0,0),(MOD(F96,1)-TIME(22,0,0))*24,IF(MOD(F96,1)&lt;TIME(6,0,0),(MOD(F96,1)+1-TIME(22,0,0))*24,0)),2))</f>
        <v/>
      </c>
      <c r="K96" s="33">
        <f>IF(H96="","",ROUND(IF(L96="휴일근로",MIN(H96,8)*1.5+MAX(0,H96-8)*2,I96*1.5)+N(J96)*0.5,2))</f>
        <v/>
      </c>
      <c r="L96" s="18" t="inlineStr">
        <is>
          <t>정상</t>
        </is>
      </c>
      <c r="M96" s="18" t="n"/>
      <c r="N96" s="22" t="n"/>
    </row>
    <row r="97">
      <c r="A97" s="19" t="n">
        <v>46126</v>
      </c>
      <c r="B97" s="25">
        <f>IF(A97="","",CHOOSE(WEEKDAY(A97,2),"월","화","수","목","금","토","일"))</f>
        <v/>
      </c>
      <c r="C97" s="18" t="inlineStr">
        <is>
          <t>M001</t>
        </is>
      </c>
      <c r="D97" s="25">
        <f>IFERROR(IF(C97="","",INDEX(직원명부!$B$5:$B$24,MATCH(C97,직원명부!$A$5:$A$24,0))),"사번 확인")</f>
        <v/>
      </c>
      <c r="E97" s="34" t="n">
        <v>0.375</v>
      </c>
      <c r="F97" s="34" t="n">
        <v>0.75</v>
      </c>
      <c r="G97" s="28" t="n">
        <v>1</v>
      </c>
      <c r="H97" s="33">
        <f>IF(OR(E97="",F97=""),"",ROUND(MOD(F97-E97,1)*24-N(G97),2))</f>
        <v/>
      </c>
      <c r="I97" s="33">
        <f>IF(H97="","",ROUND(MAX(0,H97-8),2))</f>
        <v/>
      </c>
      <c r="J97" s="33">
        <f>IF(OR(E97="",F97=""),"",ROUND(IF(MOD(F97,1)&gt;=TIME(22,0,0),(MOD(F97,1)-TIME(22,0,0))*24,IF(MOD(F97,1)&lt;TIME(6,0,0),(MOD(F97,1)+1-TIME(22,0,0))*24,0)),2))</f>
        <v/>
      </c>
      <c r="K97" s="33">
        <f>IF(H97="","",ROUND(IF(L97="휴일근로",MIN(H97,8)*1.5+MAX(0,H97-8)*2,I97*1.5)+N(J97)*0.5,2))</f>
        <v/>
      </c>
      <c r="L97" s="18" t="inlineStr">
        <is>
          <t>정상</t>
        </is>
      </c>
      <c r="M97" s="18" t="n"/>
      <c r="N97" s="22" t="n"/>
    </row>
    <row r="98">
      <c r="A98" s="19" t="n">
        <v>46127</v>
      </c>
      <c r="B98" s="25">
        <f>IF(A98="","",CHOOSE(WEEKDAY(A98,2),"월","화","수","목","금","토","일"))</f>
        <v/>
      </c>
      <c r="C98" s="18" t="inlineStr">
        <is>
          <t>M001</t>
        </is>
      </c>
      <c r="D98" s="25">
        <f>IFERROR(IF(C98="","",INDEX(직원명부!$B$5:$B$24,MATCH(C98,직원명부!$A$5:$A$24,0))),"사번 확인")</f>
        <v/>
      </c>
      <c r="E98" s="34" t="n">
        <v>0.375</v>
      </c>
      <c r="F98" s="34" t="n">
        <v>0.75</v>
      </c>
      <c r="G98" s="28" t="n">
        <v>1</v>
      </c>
      <c r="H98" s="33">
        <f>IF(OR(E98="",F98=""),"",ROUND(MOD(F98-E98,1)*24-N(G98),2))</f>
        <v/>
      </c>
      <c r="I98" s="33">
        <f>IF(H98="","",ROUND(MAX(0,H98-8),2))</f>
        <v/>
      </c>
      <c r="J98" s="33">
        <f>IF(OR(E98="",F98=""),"",ROUND(IF(MOD(F98,1)&gt;=TIME(22,0,0),(MOD(F98,1)-TIME(22,0,0))*24,IF(MOD(F98,1)&lt;TIME(6,0,0),(MOD(F98,1)+1-TIME(22,0,0))*24,0)),2))</f>
        <v/>
      </c>
      <c r="K98" s="33">
        <f>IF(H98="","",ROUND(IF(L98="휴일근로",MIN(H98,8)*1.5+MAX(0,H98-8)*2,I98*1.5)+N(J98)*0.5,2))</f>
        <v/>
      </c>
      <c r="L98" s="18" t="inlineStr">
        <is>
          <t>정상</t>
        </is>
      </c>
      <c r="M98" s="18" t="n"/>
      <c r="N98" s="22" t="n"/>
    </row>
    <row r="99">
      <c r="A99" s="19" t="n">
        <v>46128</v>
      </c>
      <c r="B99" s="25">
        <f>IF(A99="","",CHOOSE(WEEKDAY(A99,2),"월","화","수","목","금","토","일"))</f>
        <v/>
      </c>
      <c r="C99" s="18" t="inlineStr">
        <is>
          <t>M001</t>
        </is>
      </c>
      <c r="D99" s="25">
        <f>IFERROR(IF(C99="","",INDEX(직원명부!$B$5:$B$24,MATCH(C99,직원명부!$A$5:$A$24,0))),"사번 확인")</f>
        <v/>
      </c>
      <c r="E99" s="34" t="n">
        <v>0.375</v>
      </c>
      <c r="F99" s="34" t="n">
        <v>0.75</v>
      </c>
      <c r="G99" s="28" t="n">
        <v>1</v>
      </c>
      <c r="H99" s="33">
        <f>IF(OR(E99="",F99=""),"",ROUND(MOD(F99-E99,1)*24-N(G99),2))</f>
        <v/>
      </c>
      <c r="I99" s="33">
        <f>IF(H99="","",ROUND(MAX(0,H99-8),2))</f>
        <v/>
      </c>
      <c r="J99" s="33">
        <f>IF(OR(E99="",F99=""),"",ROUND(IF(MOD(F99,1)&gt;=TIME(22,0,0),(MOD(F99,1)-TIME(22,0,0))*24,IF(MOD(F99,1)&lt;TIME(6,0,0),(MOD(F99,1)+1-TIME(22,0,0))*24,0)),2))</f>
        <v/>
      </c>
      <c r="K99" s="33">
        <f>IF(H99="","",ROUND(IF(L99="휴일근로",MIN(H99,8)*1.5+MAX(0,H99-8)*2,I99*1.5)+N(J99)*0.5,2))</f>
        <v/>
      </c>
      <c r="L99" s="18" t="inlineStr">
        <is>
          <t>정상</t>
        </is>
      </c>
      <c r="M99" s="18" t="n"/>
      <c r="N99" s="22" t="n"/>
    </row>
    <row r="100">
      <c r="A100" s="19" t="n">
        <v>46129</v>
      </c>
      <c r="B100" s="25">
        <f>IF(A100="","",CHOOSE(WEEKDAY(A100,2),"월","화","수","목","금","토","일"))</f>
        <v/>
      </c>
      <c r="C100" s="18" t="inlineStr">
        <is>
          <t>M001</t>
        </is>
      </c>
      <c r="D100" s="25">
        <f>IFERROR(IF(C100="","",INDEX(직원명부!$B$5:$B$24,MATCH(C100,직원명부!$A$5:$A$24,0))),"사번 확인")</f>
        <v/>
      </c>
      <c r="E100" s="34" t="n">
        <v>0.375</v>
      </c>
      <c r="F100" s="34" t="n">
        <v>0.75</v>
      </c>
      <c r="G100" s="28" t="n">
        <v>1</v>
      </c>
      <c r="H100" s="33">
        <f>IF(OR(E100="",F100=""),"",ROUND(MOD(F100-E100,1)*24-N(G100),2))</f>
        <v/>
      </c>
      <c r="I100" s="33">
        <f>IF(H100="","",ROUND(MAX(0,H100-8),2))</f>
        <v/>
      </c>
      <c r="J100" s="33">
        <f>IF(OR(E100="",F100=""),"",ROUND(IF(MOD(F100,1)&gt;=TIME(22,0,0),(MOD(F100,1)-TIME(22,0,0))*24,IF(MOD(F100,1)&lt;TIME(6,0,0),(MOD(F100,1)+1-TIME(22,0,0))*24,0)),2))</f>
        <v/>
      </c>
      <c r="K100" s="33">
        <f>IF(H100="","",ROUND(IF(L100="휴일근로",MIN(H100,8)*1.5+MAX(0,H100-8)*2,I100*1.5)+N(J100)*0.5,2))</f>
        <v/>
      </c>
      <c r="L100" s="18" t="inlineStr">
        <is>
          <t>정상</t>
        </is>
      </c>
      <c r="M100" s="18" t="n"/>
      <c r="N100" s="22" t="n"/>
    </row>
    <row r="101">
      <c r="A101" s="19" t="n">
        <v>46130</v>
      </c>
      <c r="B101" s="25">
        <f>IF(A101="","",CHOOSE(WEEKDAY(A101,2),"월","화","수","목","금","토","일"))</f>
        <v/>
      </c>
      <c r="C101" s="18" t="inlineStr">
        <is>
          <t>M001</t>
        </is>
      </c>
      <c r="D101" s="25">
        <f>IFERROR(IF(C101="","",INDEX(직원명부!$B$5:$B$24,MATCH(C101,직원명부!$A$5:$A$24,0))),"사번 확인")</f>
        <v/>
      </c>
      <c r="E101" s="34" t="n"/>
      <c r="F101" s="34" t="n"/>
      <c r="G101" s="28" t="n"/>
      <c r="H101" s="33">
        <f>IF(OR(E101="",F101=""),"",ROUND(MOD(F101-E101,1)*24-N(G101),2))</f>
        <v/>
      </c>
      <c r="I101" s="33">
        <f>IF(H101="","",ROUND(MAX(0,H101-8),2))</f>
        <v/>
      </c>
      <c r="J101" s="33">
        <f>IF(OR(E101="",F101=""),"",ROUND(IF(MOD(F101,1)&gt;=TIME(22,0,0),(MOD(F101,1)-TIME(22,0,0))*24,IF(MOD(F101,1)&lt;TIME(6,0,0),(MOD(F101,1)+1-TIME(22,0,0))*24,0)),2))</f>
        <v/>
      </c>
      <c r="K101" s="33">
        <f>IF(H101="","",ROUND(IF(L101="휴일근로",MIN(H101,8)*1.5+MAX(0,H101-8)*2,I101*1.5)+N(J101)*0.5,2))</f>
        <v/>
      </c>
      <c r="L101" s="18" t="n"/>
      <c r="M101" s="18" t="n"/>
      <c r="N101" s="42" t="inlineStr">
        <is>
          <t>주말</t>
        </is>
      </c>
    </row>
    <row r="102">
      <c r="A102" s="19" t="n">
        <v>46131</v>
      </c>
      <c r="B102" s="25">
        <f>IF(A102="","",CHOOSE(WEEKDAY(A102,2),"월","화","수","목","금","토","일"))</f>
        <v/>
      </c>
      <c r="C102" s="18" t="inlineStr">
        <is>
          <t>M001</t>
        </is>
      </c>
      <c r="D102" s="25">
        <f>IFERROR(IF(C102="","",INDEX(직원명부!$B$5:$B$24,MATCH(C102,직원명부!$A$5:$A$24,0))),"사번 확인")</f>
        <v/>
      </c>
      <c r="E102" s="34" t="n"/>
      <c r="F102" s="34" t="n"/>
      <c r="G102" s="28" t="n"/>
      <c r="H102" s="33">
        <f>IF(OR(E102="",F102=""),"",ROUND(MOD(F102-E102,1)*24-N(G102),2))</f>
        <v/>
      </c>
      <c r="I102" s="33">
        <f>IF(H102="","",ROUND(MAX(0,H102-8),2))</f>
        <v/>
      </c>
      <c r="J102" s="33">
        <f>IF(OR(E102="",F102=""),"",ROUND(IF(MOD(F102,1)&gt;=TIME(22,0,0),(MOD(F102,1)-TIME(22,0,0))*24,IF(MOD(F102,1)&lt;TIME(6,0,0),(MOD(F102,1)+1-TIME(22,0,0))*24,0)),2))</f>
        <v/>
      </c>
      <c r="K102" s="33">
        <f>IF(H102="","",ROUND(IF(L102="휴일근로",MIN(H102,8)*1.5+MAX(0,H102-8)*2,I102*1.5)+N(J102)*0.5,2))</f>
        <v/>
      </c>
      <c r="L102" s="18" t="n"/>
      <c r="M102" s="18" t="n"/>
      <c r="N102" s="42" t="inlineStr">
        <is>
          <t>주말</t>
        </is>
      </c>
    </row>
    <row r="103">
      <c r="A103" s="19" t="n">
        <v>46132</v>
      </c>
      <c r="B103" s="25">
        <f>IF(A103="","",CHOOSE(WEEKDAY(A103,2),"월","화","수","목","금","토","일"))</f>
        <v/>
      </c>
      <c r="C103" s="18" t="inlineStr">
        <is>
          <t>M001</t>
        </is>
      </c>
      <c r="D103" s="25">
        <f>IFERROR(IF(C103="","",INDEX(직원명부!$B$5:$B$24,MATCH(C103,직원명부!$A$5:$A$24,0))),"사번 확인")</f>
        <v/>
      </c>
      <c r="E103" s="34" t="n">
        <v>0.375</v>
      </c>
      <c r="F103" s="34" t="n">
        <v>0.75</v>
      </c>
      <c r="G103" s="28" t="n">
        <v>1</v>
      </c>
      <c r="H103" s="33">
        <f>IF(OR(E103="",F103=""),"",ROUND(MOD(F103-E103,1)*24-N(G103),2))</f>
        <v/>
      </c>
      <c r="I103" s="33">
        <f>IF(H103="","",ROUND(MAX(0,H103-8),2))</f>
        <v/>
      </c>
      <c r="J103" s="33">
        <f>IF(OR(E103="",F103=""),"",ROUND(IF(MOD(F103,1)&gt;=TIME(22,0,0),(MOD(F103,1)-TIME(22,0,0))*24,IF(MOD(F103,1)&lt;TIME(6,0,0),(MOD(F103,1)+1-TIME(22,0,0))*24,0)),2))</f>
        <v/>
      </c>
      <c r="K103" s="33">
        <f>IF(H103="","",ROUND(IF(L103="휴일근로",MIN(H103,8)*1.5+MAX(0,H103-8)*2,I103*1.5)+N(J103)*0.5,2))</f>
        <v/>
      </c>
      <c r="L103" s="18" t="inlineStr">
        <is>
          <t>정상</t>
        </is>
      </c>
      <c r="M103" s="18" t="n"/>
      <c r="N103" s="22" t="n"/>
    </row>
    <row r="104">
      <c r="A104" s="19" t="n">
        <v>46133</v>
      </c>
      <c r="B104" s="25">
        <f>IF(A104="","",CHOOSE(WEEKDAY(A104,2),"월","화","수","목","금","토","일"))</f>
        <v/>
      </c>
      <c r="C104" s="18" t="inlineStr">
        <is>
          <t>M001</t>
        </is>
      </c>
      <c r="D104" s="25">
        <f>IFERROR(IF(C104="","",INDEX(직원명부!$B$5:$B$24,MATCH(C104,직원명부!$A$5:$A$24,0))),"사번 확인")</f>
        <v/>
      </c>
      <c r="E104" s="34" t="n">
        <v>0.375</v>
      </c>
      <c r="F104" s="34" t="n">
        <v>0.75</v>
      </c>
      <c r="G104" s="28" t="n">
        <v>1</v>
      </c>
      <c r="H104" s="33">
        <f>IF(OR(E104="",F104=""),"",ROUND(MOD(F104-E104,1)*24-N(G104),2))</f>
        <v/>
      </c>
      <c r="I104" s="33">
        <f>IF(H104="","",ROUND(MAX(0,H104-8),2))</f>
        <v/>
      </c>
      <c r="J104" s="33">
        <f>IF(OR(E104="",F104=""),"",ROUND(IF(MOD(F104,1)&gt;=TIME(22,0,0),(MOD(F104,1)-TIME(22,0,0))*24,IF(MOD(F104,1)&lt;TIME(6,0,0),(MOD(F104,1)+1-TIME(22,0,0))*24,0)),2))</f>
        <v/>
      </c>
      <c r="K104" s="33">
        <f>IF(H104="","",ROUND(IF(L104="휴일근로",MIN(H104,8)*1.5+MAX(0,H104-8)*2,I104*1.5)+N(J104)*0.5,2))</f>
        <v/>
      </c>
      <c r="L104" s="18" t="inlineStr">
        <is>
          <t>정상</t>
        </is>
      </c>
      <c r="M104" s="18" t="n"/>
      <c r="N104" s="22" t="n"/>
    </row>
    <row r="105">
      <c r="A105" s="19" t="n">
        <v>46134</v>
      </c>
      <c r="B105" s="25">
        <f>IF(A105="","",CHOOSE(WEEKDAY(A105,2),"월","화","수","목","금","토","일"))</f>
        <v/>
      </c>
      <c r="C105" s="18" t="inlineStr">
        <is>
          <t>M001</t>
        </is>
      </c>
      <c r="D105" s="25">
        <f>IFERROR(IF(C105="","",INDEX(직원명부!$B$5:$B$24,MATCH(C105,직원명부!$A$5:$A$24,0))),"사번 확인")</f>
        <v/>
      </c>
      <c r="E105" s="34" t="n">
        <v>0.375</v>
      </c>
      <c r="F105" s="34" t="n">
        <v>0.75</v>
      </c>
      <c r="G105" s="28" t="n">
        <v>1</v>
      </c>
      <c r="H105" s="33">
        <f>IF(OR(E105="",F105=""),"",ROUND(MOD(F105-E105,1)*24-N(G105),2))</f>
        <v/>
      </c>
      <c r="I105" s="33">
        <f>IF(H105="","",ROUND(MAX(0,H105-8),2))</f>
        <v/>
      </c>
      <c r="J105" s="33">
        <f>IF(OR(E105="",F105=""),"",ROUND(IF(MOD(F105,1)&gt;=TIME(22,0,0),(MOD(F105,1)-TIME(22,0,0))*24,IF(MOD(F105,1)&lt;TIME(6,0,0),(MOD(F105,1)+1-TIME(22,0,0))*24,0)),2))</f>
        <v/>
      </c>
      <c r="K105" s="33">
        <f>IF(H105="","",ROUND(IF(L105="휴일근로",MIN(H105,8)*1.5+MAX(0,H105-8)*2,I105*1.5)+N(J105)*0.5,2))</f>
        <v/>
      </c>
      <c r="L105" s="18" t="inlineStr">
        <is>
          <t>정상</t>
        </is>
      </c>
      <c r="M105" s="18" t="n"/>
      <c r="N105" s="22" t="n"/>
    </row>
    <row r="106">
      <c r="A106" s="19" t="n">
        <v>46135</v>
      </c>
      <c r="B106" s="25">
        <f>IF(A106="","",CHOOSE(WEEKDAY(A106,2),"월","화","수","목","금","토","일"))</f>
        <v/>
      </c>
      <c r="C106" s="18" t="inlineStr">
        <is>
          <t>M001</t>
        </is>
      </c>
      <c r="D106" s="25">
        <f>IFERROR(IF(C106="","",INDEX(직원명부!$B$5:$B$24,MATCH(C106,직원명부!$A$5:$A$24,0))),"사번 확인")</f>
        <v/>
      </c>
      <c r="E106" s="34" t="n">
        <v>0.375</v>
      </c>
      <c r="F106" s="34" t="n">
        <v>0.75</v>
      </c>
      <c r="G106" s="28" t="n">
        <v>1</v>
      </c>
      <c r="H106" s="33">
        <f>IF(OR(E106="",F106=""),"",ROUND(MOD(F106-E106,1)*24-N(G106),2))</f>
        <v/>
      </c>
      <c r="I106" s="33">
        <f>IF(H106="","",ROUND(MAX(0,H106-8),2))</f>
        <v/>
      </c>
      <c r="J106" s="33">
        <f>IF(OR(E106="",F106=""),"",ROUND(IF(MOD(F106,1)&gt;=TIME(22,0,0),(MOD(F106,1)-TIME(22,0,0))*24,IF(MOD(F106,1)&lt;TIME(6,0,0),(MOD(F106,1)+1-TIME(22,0,0))*24,0)),2))</f>
        <v/>
      </c>
      <c r="K106" s="33">
        <f>IF(H106="","",ROUND(IF(L106="휴일근로",MIN(H106,8)*1.5+MAX(0,H106-8)*2,I106*1.5)+N(J106)*0.5,2))</f>
        <v/>
      </c>
      <c r="L106" s="18" t="inlineStr">
        <is>
          <t>정상</t>
        </is>
      </c>
      <c r="M106" s="18" t="n"/>
      <c r="N106" s="22" t="n"/>
    </row>
    <row r="107">
      <c r="A107" s="19" t="n">
        <v>46136</v>
      </c>
      <c r="B107" s="25">
        <f>IF(A107="","",CHOOSE(WEEKDAY(A107,2),"월","화","수","목","금","토","일"))</f>
        <v/>
      </c>
      <c r="C107" s="18" t="inlineStr">
        <is>
          <t>M001</t>
        </is>
      </c>
      <c r="D107" s="25">
        <f>IFERROR(IF(C107="","",INDEX(직원명부!$B$5:$B$24,MATCH(C107,직원명부!$A$5:$A$24,0))),"사번 확인")</f>
        <v/>
      </c>
      <c r="E107" s="34" t="n">
        <v>0.375</v>
      </c>
      <c r="F107" s="34" t="n">
        <v>0.75</v>
      </c>
      <c r="G107" s="28" t="n">
        <v>1</v>
      </c>
      <c r="H107" s="33">
        <f>IF(OR(E107="",F107=""),"",ROUND(MOD(F107-E107,1)*24-N(G107),2))</f>
        <v/>
      </c>
      <c r="I107" s="33">
        <f>IF(H107="","",ROUND(MAX(0,H107-8),2))</f>
        <v/>
      </c>
      <c r="J107" s="33">
        <f>IF(OR(E107="",F107=""),"",ROUND(IF(MOD(F107,1)&gt;=TIME(22,0,0),(MOD(F107,1)-TIME(22,0,0))*24,IF(MOD(F107,1)&lt;TIME(6,0,0),(MOD(F107,1)+1-TIME(22,0,0))*24,0)),2))</f>
        <v/>
      </c>
      <c r="K107" s="33">
        <f>IF(H107="","",ROUND(IF(L107="휴일근로",MIN(H107,8)*1.5+MAX(0,H107-8)*2,I107*1.5)+N(J107)*0.5,2))</f>
        <v/>
      </c>
      <c r="L107" s="18" t="inlineStr">
        <is>
          <t>정상</t>
        </is>
      </c>
      <c r="M107" s="18" t="n"/>
      <c r="N107" s="22" t="n"/>
    </row>
    <row r="108">
      <c r="A108" s="19" t="n">
        <v>46137</v>
      </c>
      <c r="B108" s="25">
        <f>IF(A108="","",CHOOSE(WEEKDAY(A108,2),"월","화","수","목","금","토","일"))</f>
        <v/>
      </c>
      <c r="C108" s="18" t="inlineStr">
        <is>
          <t>M001</t>
        </is>
      </c>
      <c r="D108" s="25">
        <f>IFERROR(IF(C108="","",INDEX(직원명부!$B$5:$B$24,MATCH(C108,직원명부!$A$5:$A$24,0))),"사번 확인")</f>
        <v/>
      </c>
      <c r="E108" s="34" t="n"/>
      <c r="F108" s="34" t="n"/>
      <c r="G108" s="28" t="n"/>
      <c r="H108" s="33">
        <f>IF(OR(E108="",F108=""),"",ROUND(MOD(F108-E108,1)*24-N(G108),2))</f>
        <v/>
      </c>
      <c r="I108" s="33">
        <f>IF(H108="","",ROUND(MAX(0,H108-8),2))</f>
        <v/>
      </c>
      <c r="J108" s="33">
        <f>IF(OR(E108="",F108=""),"",ROUND(IF(MOD(F108,1)&gt;=TIME(22,0,0),(MOD(F108,1)-TIME(22,0,0))*24,IF(MOD(F108,1)&lt;TIME(6,0,0),(MOD(F108,1)+1-TIME(22,0,0))*24,0)),2))</f>
        <v/>
      </c>
      <c r="K108" s="33">
        <f>IF(H108="","",ROUND(IF(L108="휴일근로",MIN(H108,8)*1.5+MAX(0,H108-8)*2,I108*1.5)+N(J108)*0.5,2))</f>
        <v/>
      </c>
      <c r="L108" s="18" t="n"/>
      <c r="M108" s="18" t="n"/>
      <c r="N108" s="42" t="inlineStr">
        <is>
          <t>주말</t>
        </is>
      </c>
    </row>
    <row r="109">
      <c r="A109" s="19" t="n">
        <v>46138</v>
      </c>
      <c r="B109" s="25">
        <f>IF(A109="","",CHOOSE(WEEKDAY(A109,2),"월","화","수","목","금","토","일"))</f>
        <v/>
      </c>
      <c r="C109" s="18" t="inlineStr">
        <is>
          <t>M001</t>
        </is>
      </c>
      <c r="D109" s="25">
        <f>IFERROR(IF(C109="","",INDEX(직원명부!$B$5:$B$24,MATCH(C109,직원명부!$A$5:$A$24,0))),"사번 확인")</f>
        <v/>
      </c>
      <c r="E109" s="34" t="n"/>
      <c r="F109" s="34" t="n"/>
      <c r="G109" s="28" t="n"/>
      <c r="H109" s="33">
        <f>IF(OR(E109="",F109=""),"",ROUND(MOD(F109-E109,1)*24-N(G109),2))</f>
        <v/>
      </c>
      <c r="I109" s="33">
        <f>IF(H109="","",ROUND(MAX(0,H109-8),2))</f>
        <v/>
      </c>
      <c r="J109" s="33">
        <f>IF(OR(E109="",F109=""),"",ROUND(IF(MOD(F109,1)&gt;=TIME(22,0,0),(MOD(F109,1)-TIME(22,0,0))*24,IF(MOD(F109,1)&lt;TIME(6,0,0),(MOD(F109,1)+1-TIME(22,0,0))*24,0)),2))</f>
        <v/>
      </c>
      <c r="K109" s="33">
        <f>IF(H109="","",ROUND(IF(L109="휴일근로",MIN(H109,8)*1.5+MAX(0,H109-8)*2,I109*1.5)+N(J109)*0.5,2))</f>
        <v/>
      </c>
      <c r="L109" s="18" t="n"/>
      <c r="M109" s="18" t="n"/>
      <c r="N109" s="42" t="inlineStr">
        <is>
          <t>주말</t>
        </is>
      </c>
    </row>
    <row r="110">
      <c r="A110" s="19" t="n">
        <v>46139</v>
      </c>
      <c r="B110" s="25">
        <f>IF(A110="","",CHOOSE(WEEKDAY(A110,2),"월","화","수","목","금","토","일"))</f>
        <v/>
      </c>
      <c r="C110" s="18" t="inlineStr">
        <is>
          <t>M001</t>
        </is>
      </c>
      <c r="D110" s="25">
        <f>IFERROR(IF(C110="","",INDEX(직원명부!$B$5:$B$24,MATCH(C110,직원명부!$A$5:$A$24,0))),"사번 확인")</f>
        <v/>
      </c>
      <c r="E110" s="34" t="n">
        <v>0.375</v>
      </c>
      <c r="F110" s="34" t="n">
        <v>0.75</v>
      </c>
      <c r="G110" s="28" t="n">
        <v>1</v>
      </c>
      <c r="H110" s="33">
        <f>IF(OR(E110="",F110=""),"",ROUND(MOD(F110-E110,1)*24-N(G110),2))</f>
        <v/>
      </c>
      <c r="I110" s="33">
        <f>IF(H110="","",ROUND(MAX(0,H110-8),2))</f>
        <v/>
      </c>
      <c r="J110" s="33">
        <f>IF(OR(E110="",F110=""),"",ROUND(IF(MOD(F110,1)&gt;=TIME(22,0,0),(MOD(F110,1)-TIME(22,0,0))*24,IF(MOD(F110,1)&lt;TIME(6,0,0),(MOD(F110,1)+1-TIME(22,0,0))*24,0)),2))</f>
        <v/>
      </c>
      <c r="K110" s="33">
        <f>IF(H110="","",ROUND(IF(L110="휴일근로",MIN(H110,8)*1.5+MAX(0,H110-8)*2,I110*1.5)+N(J110)*0.5,2))</f>
        <v/>
      </c>
      <c r="L110" s="18" t="inlineStr">
        <is>
          <t>정상</t>
        </is>
      </c>
      <c r="M110" s="18" t="n"/>
      <c r="N110" s="22" t="n"/>
    </row>
    <row r="111">
      <c r="A111" s="19" t="n">
        <v>46140</v>
      </c>
      <c r="B111" s="25">
        <f>IF(A111="","",CHOOSE(WEEKDAY(A111,2),"월","화","수","목","금","토","일"))</f>
        <v/>
      </c>
      <c r="C111" s="18" t="inlineStr">
        <is>
          <t>M001</t>
        </is>
      </c>
      <c r="D111" s="25">
        <f>IFERROR(IF(C111="","",INDEX(직원명부!$B$5:$B$24,MATCH(C111,직원명부!$A$5:$A$24,0))),"사번 확인")</f>
        <v/>
      </c>
      <c r="E111" s="34" t="n">
        <v>0.375</v>
      </c>
      <c r="F111" s="34" t="n">
        <v>0.75</v>
      </c>
      <c r="G111" s="28" t="n">
        <v>1</v>
      </c>
      <c r="H111" s="33">
        <f>IF(OR(E111="",F111=""),"",ROUND(MOD(F111-E111,1)*24-N(G111),2))</f>
        <v/>
      </c>
      <c r="I111" s="33">
        <f>IF(H111="","",ROUND(MAX(0,H111-8),2))</f>
        <v/>
      </c>
      <c r="J111" s="33">
        <f>IF(OR(E111="",F111=""),"",ROUND(IF(MOD(F111,1)&gt;=TIME(22,0,0),(MOD(F111,1)-TIME(22,0,0))*24,IF(MOD(F111,1)&lt;TIME(6,0,0),(MOD(F111,1)+1-TIME(22,0,0))*24,0)),2))</f>
        <v/>
      </c>
      <c r="K111" s="33">
        <f>IF(H111="","",ROUND(IF(L111="휴일근로",MIN(H111,8)*1.5+MAX(0,H111-8)*2,I111*1.5)+N(J111)*0.5,2))</f>
        <v/>
      </c>
      <c r="L111" s="18" t="inlineStr">
        <is>
          <t>정상</t>
        </is>
      </c>
      <c r="M111" s="18" t="n"/>
      <c r="N111" s="22" t="n"/>
    </row>
    <row r="112">
      <c r="A112" s="19" t="n">
        <v>46141</v>
      </c>
      <c r="B112" s="25">
        <f>IF(A112="","",CHOOSE(WEEKDAY(A112,2),"월","화","수","목","금","토","일"))</f>
        <v/>
      </c>
      <c r="C112" s="18" t="inlineStr">
        <is>
          <t>M001</t>
        </is>
      </c>
      <c r="D112" s="25">
        <f>IFERROR(IF(C112="","",INDEX(직원명부!$B$5:$B$24,MATCH(C112,직원명부!$A$5:$A$24,0))),"사번 확인")</f>
        <v/>
      </c>
      <c r="E112" s="34" t="n">
        <v>0.375</v>
      </c>
      <c r="F112" s="34" t="n">
        <v>0.75</v>
      </c>
      <c r="G112" s="28" t="n">
        <v>1</v>
      </c>
      <c r="H112" s="33">
        <f>IF(OR(E112="",F112=""),"",ROUND(MOD(F112-E112,1)*24-N(G112),2))</f>
        <v/>
      </c>
      <c r="I112" s="33">
        <f>IF(H112="","",ROUND(MAX(0,H112-8),2))</f>
        <v/>
      </c>
      <c r="J112" s="33">
        <f>IF(OR(E112="",F112=""),"",ROUND(IF(MOD(F112,1)&gt;=TIME(22,0,0),(MOD(F112,1)-TIME(22,0,0))*24,IF(MOD(F112,1)&lt;TIME(6,0,0),(MOD(F112,1)+1-TIME(22,0,0))*24,0)),2))</f>
        <v/>
      </c>
      <c r="K112" s="33">
        <f>IF(H112="","",ROUND(IF(L112="휴일근로",MIN(H112,8)*1.5+MAX(0,H112-8)*2,I112*1.5)+N(J112)*0.5,2))</f>
        <v/>
      </c>
      <c r="L112" s="18" t="inlineStr">
        <is>
          <t>정상</t>
        </is>
      </c>
      <c r="M112" s="18" t="n"/>
      <c r="N112" s="22" t="n"/>
    </row>
    <row r="113">
      <c r="A113" s="19" t="n">
        <v>46142</v>
      </c>
      <c r="B113" s="25">
        <f>IF(A113="","",CHOOSE(WEEKDAY(A113,2),"월","화","수","목","금","토","일"))</f>
        <v/>
      </c>
      <c r="C113" s="18" t="inlineStr">
        <is>
          <t>M001</t>
        </is>
      </c>
      <c r="D113" s="25">
        <f>IFERROR(IF(C113="","",INDEX(직원명부!$B$5:$B$24,MATCH(C113,직원명부!$A$5:$A$24,0))),"사번 확인")</f>
        <v/>
      </c>
      <c r="E113" s="34" t="n">
        <v>0.375</v>
      </c>
      <c r="F113" s="34" t="n">
        <v>0.75</v>
      </c>
      <c r="G113" s="28" t="n">
        <v>1</v>
      </c>
      <c r="H113" s="33">
        <f>IF(OR(E113="",F113=""),"",ROUND(MOD(F113-E113,1)*24-N(G113),2))</f>
        <v/>
      </c>
      <c r="I113" s="33">
        <f>IF(H113="","",ROUND(MAX(0,H113-8),2))</f>
        <v/>
      </c>
      <c r="J113" s="33">
        <f>IF(OR(E113="",F113=""),"",ROUND(IF(MOD(F113,1)&gt;=TIME(22,0,0),(MOD(F113,1)-TIME(22,0,0))*24,IF(MOD(F113,1)&lt;TIME(6,0,0),(MOD(F113,1)+1-TIME(22,0,0))*24,0)),2))</f>
        <v/>
      </c>
      <c r="K113" s="33">
        <f>IF(H113="","",ROUND(IF(L113="휴일근로",MIN(H113,8)*1.5+MAX(0,H113-8)*2,I113*1.5)+N(J113)*0.5,2))</f>
        <v/>
      </c>
      <c r="L113" s="18" t="inlineStr">
        <is>
          <t>정상</t>
        </is>
      </c>
      <c r="M113" s="18" t="n"/>
      <c r="N113" s="22" t="n"/>
    </row>
    <row r="114">
      <c r="A114" s="19" t="n">
        <v>46143</v>
      </c>
      <c r="B114" s="25">
        <f>IF(A114="","",CHOOSE(WEEKDAY(A114,2),"월","화","수","목","금","토","일"))</f>
        <v/>
      </c>
      <c r="C114" s="18" t="inlineStr">
        <is>
          <t>M001</t>
        </is>
      </c>
      <c r="D114" s="25">
        <f>IFERROR(IF(C114="","",INDEX(직원명부!$B$5:$B$24,MATCH(C114,직원명부!$A$5:$A$24,0))),"사번 확인")</f>
        <v/>
      </c>
      <c r="E114" s="34" t="n"/>
      <c r="F114" s="34" t="n"/>
      <c r="G114" s="28" t="n"/>
      <c r="H114" s="33">
        <f>IF(OR(E114="",F114=""),"",ROUND(MOD(F114-E114,1)*24-N(G114),2))</f>
        <v/>
      </c>
      <c r="I114" s="33">
        <f>IF(H114="","",ROUND(MAX(0,H114-8),2))</f>
        <v/>
      </c>
      <c r="J114" s="33">
        <f>IF(OR(E114="",F114=""),"",ROUND(IF(MOD(F114,1)&gt;=TIME(22,0,0),(MOD(F114,1)-TIME(22,0,0))*24,IF(MOD(F114,1)&lt;TIME(6,0,0),(MOD(F114,1)+1-TIME(22,0,0))*24,0)),2))</f>
        <v/>
      </c>
      <c r="K114" s="33">
        <f>IF(H114="","",ROUND(IF(L114="휴일근로",MIN(H114,8)*1.5+MAX(0,H114-8)*2,I114*1.5)+N(J114)*0.5,2))</f>
        <v/>
      </c>
      <c r="L114" s="18" t="n"/>
      <c r="M114" s="18" t="n"/>
      <c r="N114" s="42" t="inlineStr">
        <is>
          <t>근로자의 날</t>
        </is>
      </c>
    </row>
    <row r="115">
      <c r="A115" s="19" t="n">
        <v>46144</v>
      </c>
      <c r="B115" s="25">
        <f>IF(A115="","",CHOOSE(WEEKDAY(A115,2),"월","화","수","목","금","토","일"))</f>
        <v/>
      </c>
      <c r="C115" s="18" t="inlineStr">
        <is>
          <t>M001</t>
        </is>
      </c>
      <c r="D115" s="25">
        <f>IFERROR(IF(C115="","",INDEX(직원명부!$B$5:$B$24,MATCH(C115,직원명부!$A$5:$A$24,0))),"사번 확인")</f>
        <v/>
      </c>
      <c r="E115" s="34" t="n"/>
      <c r="F115" s="34" t="n"/>
      <c r="G115" s="28" t="n"/>
      <c r="H115" s="33">
        <f>IF(OR(E115="",F115=""),"",ROUND(MOD(F115-E115,1)*24-N(G115),2))</f>
        <v/>
      </c>
      <c r="I115" s="33">
        <f>IF(H115="","",ROUND(MAX(0,H115-8),2))</f>
        <v/>
      </c>
      <c r="J115" s="33">
        <f>IF(OR(E115="",F115=""),"",ROUND(IF(MOD(F115,1)&gt;=TIME(22,0,0),(MOD(F115,1)-TIME(22,0,0))*24,IF(MOD(F115,1)&lt;TIME(6,0,0),(MOD(F115,1)+1-TIME(22,0,0))*24,0)),2))</f>
        <v/>
      </c>
      <c r="K115" s="33">
        <f>IF(H115="","",ROUND(IF(L115="휴일근로",MIN(H115,8)*1.5+MAX(0,H115-8)*2,I115*1.5)+N(J115)*0.5,2))</f>
        <v/>
      </c>
      <c r="L115" s="18" t="n"/>
      <c r="M115" s="18" t="n"/>
      <c r="N115" s="42" t="inlineStr">
        <is>
          <t>주말</t>
        </is>
      </c>
    </row>
    <row r="116">
      <c r="A116" s="19" t="n">
        <v>46145</v>
      </c>
      <c r="B116" s="25">
        <f>IF(A116="","",CHOOSE(WEEKDAY(A116,2),"월","화","수","목","금","토","일"))</f>
        <v/>
      </c>
      <c r="C116" s="18" t="inlineStr">
        <is>
          <t>M001</t>
        </is>
      </c>
      <c r="D116" s="25">
        <f>IFERROR(IF(C116="","",INDEX(직원명부!$B$5:$B$24,MATCH(C116,직원명부!$A$5:$A$24,0))),"사번 확인")</f>
        <v/>
      </c>
      <c r="E116" s="34" t="n"/>
      <c r="F116" s="34" t="n"/>
      <c r="G116" s="28" t="n"/>
      <c r="H116" s="33">
        <f>IF(OR(E116="",F116=""),"",ROUND(MOD(F116-E116,1)*24-N(G116),2))</f>
        <v/>
      </c>
      <c r="I116" s="33">
        <f>IF(H116="","",ROUND(MAX(0,H116-8),2))</f>
        <v/>
      </c>
      <c r="J116" s="33">
        <f>IF(OR(E116="",F116=""),"",ROUND(IF(MOD(F116,1)&gt;=TIME(22,0,0),(MOD(F116,1)-TIME(22,0,0))*24,IF(MOD(F116,1)&lt;TIME(6,0,0),(MOD(F116,1)+1-TIME(22,0,0))*24,0)),2))</f>
        <v/>
      </c>
      <c r="K116" s="33">
        <f>IF(H116="","",ROUND(IF(L116="휴일근로",MIN(H116,8)*1.5+MAX(0,H116-8)*2,I116*1.5)+N(J116)*0.5,2))</f>
        <v/>
      </c>
      <c r="L116" s="18" t="n"/>
      <c r="M116" s="18" t="n"/>
      <c r="N116" s="42" t="inlineStr">
        <is>
          <t>주말</t>
        </is>
      </c>
    </row>
    <row r="117">
      <c r="A117" s="19" t="n">
        <v>46146</v>
      </c>
      <c r="B117" s="25">
        <f>IF(A117="","",CHOOSE(WEEKDAY(A117,2),"월","화","수","목","금","토","일"))</f>
        <v/>
      </c>
      <c r="C117" s="18" t="inlineStr">
        <is>
          <t>M001</t>
        </is>
      </c>
      <c r="D117" s="25">
        <f>IFERROR(IF(C117="","",INDEX(직원명부!$B$5:$B$24,MATCH(C117,직원명부!$A$5:$A$24,0))),"사번 확인")</f>
        <v/>
      </c>
      <c r="E117" s="34" t="n">
        <v>0.375</v>
      </c>
      <c r="F117" s="34" t="n">
        <v>0.75</v>
      </c>
      <c r="G117" s="28" t="n">
        <v>1</v>
      </c>
      <c r="H117" s="33">
        <f>IF(OR(E117="",F117=""),"",ROUND(MOD(F117-E117,1)*24-N(G117),2))</f>
        <v/>
      </c>
      <c r="I117" s="33">
        <f>IF(H117="","",ROUND(MAX(0,H117-8),2))</f>
        <v/>
      </c>
      <c r="J117" s="33">
        <f>IF(OR(E117="",F117=""),"",ROUND(IF(MOD(F117,1)&gt;=TIME(22,0,0),(MOD(F117,1)-TIME(22,0,0))*24,IF(MOD(F117,1)&lt;TIME(6,0,0),(MOD(F117,1)+1-TIME(22,0,0))*24,0)),2))</f>
        <v/>
      </c>
      <c r="K117" s="33">
        <f>IF(H117="","",ROUND(IF(L117="휴일근로",MIN(H117,8)*1.5+MAX(0,H117-8)*2,I117*1.5)+N(J117)*0.5,2))</f>
        <v/>
      </c>
      <c r="L117" s="18" t="inlineStr">
        <is>
          <t>정상</t>
        </is>
      </c>
      <c r="M117" s="18" t="n"/>
      <c r="N117" s="22" t="n"/>
    </row>
    <row r="118">
      <c r="A118" s="19" t="n">
        <v>46147</v>
      </c>
      <c r="B118" s="25">
        <f>IF(A118="","",CHOOSE(WEEKDAY(A118,2),"월","화","수","목","금","토","일"))</f>
        <v/>
      </c>
      <c r="C118" s="18" t="inlineStr">
        <is>
          <t>M001</t>
        </is>
      </c>
      <c r="D118" s="25">
        <f>IFERROR(IF(C118="","",INDEX(직원명부!$B$5:$B$24,MATCH(C118,직원명부!$A$5:$A$24,0))),"사번 확인")</f>
        <v/>
      </c>
      <c r="E118" s="34" t="n"/>
      <c r="F118" s="34" t="n"/>
      <c r="G118" s="28" t="n"/>
      <c r="H118" s="33">
        <f>IF(OR(E118="",F118=""),"",ROUND(MOD(F118-E118,1)*24-N(G118),2))</f>
        <v/>
      </c>
      <c r="I118" s="33">
        <f>IF(H118="","",ROUND(MAX(0,H118-8),2))</f>
        <v/>
      </c>
      <c r="J118" s="33">
        <f>IF(OR(E118="",F118=""),"",ROUND(IF(MOD(F118,1)&gt;=TIME(22,0,0),(MOD(F118,1)-TIME(22,0,0))*24,IF(MOD(F118,1)&lt;TIME(6,0,0),(MOD(F118,1)+1-TIME(22,0,0))*24,0)),2))</f>
        <v/>
      </c>
      <c r="K118" s="33">
        <f>IF(H118="","",ROUND(IF(L118="휴일근로",MIN(H118,8)*1.5+MAX(0,H118-8)*2,I118*1.5)+N(J118)*0.5,2))</f>
        <v/>
      </c>
      <c r="L118" s="18" t="n"/>
      <c r="M118" s="18" t="n"/>
      <c r="N118" s="42" t="inlineStr">
        <is>
          <t>어린이날</t>
        </is>
      </c>
    </row>
    <row r="119">
      <c r="A119" s="19" t="n">
        <v>46148</v>
      </c>
      <c r="B119" s="25">
        <f>IF(A119="","",CHOOSE(WEEKDAY(A119,2),"월","화","수","목","금","토","일"))</f>
        <v/>
      </c>
      <c r="C119" s="18" t="inlineStr">
        <is>
          <t>M001</t>
        </is>
      </c>
      <c r="D119" s="25">
        <f>IFERROR(IF(C119="","",INDEX(직원명부!$B$5:$B$24,MATCH(C119,직원명부!$A$5:$A$24,0))),"사번 확인")</f>
        <v/>
      </c>
      <c r="E119" s="34" t="n">
        <v>0.375</v>
      </c>
      <c r="F119" s="34" t="n">
        <v>0.75</v>
      </c>
      <c r="G119" s="28" t="n">
        <v>1</v>
      </c>
      <c r="H119" s="33">
        <f>IF(OR(E119="",F119=""),"",ROUND(MOD(F119-E119,1)*24-N(G119),2))</f>
        <v/>
      </c>
      <c r="I119" s="33">
        <f>IF(H119="","",ROUND(MAX(0,H119-8),2))</f>
        <v/>
      </c>
      <c r="J119" s="33">
        <f>IF(OR(E119="",F119=""),"",ROUND(IF(MOD(F119,1)&gt;=TIME(22,0,0),(MOD(F119,1)-TIME(22,0,0))*24,IF(MOD(F119,1)&lt;TIME(6,0,0),(MOD(F119,1)+1-TIME(22,0,0))*24,0)),2))</f>
        <v/>
      </c>
      <c r="K119" s="33">
        <f>IF(H119="","",ROUND(IF(L119="휴일근로",MIN(H119,8)*1.5+MAX(0,H119-8)*2,I119*1.5)+N(J119)*0.5,2))</f>
        <v/>
      </c>
      <c r="L119" s="18" t="inlineStr">
        <is>
          <t>정상</t>
        </is>
      </c>
      <c r="M119" s="18" t="n"/>
      <c r="N119" s="22" t="n"/>
    </row>
    <row r="120">
      <c r="A120" s="19" t="n">
        <v>46149</v>
      </c>
      <c r="B120" s="25">
        <f>IF(A120="","",CHOOSE(WEEKDAY(A120,2),"월","화","수","목","금","토","일"))</f>
        <v/>
      </c>
      <c r="C120" s="18" t="inlineStr">
        <is>
          <t>M001</t>
        </is>
      </c>
      <c r="D120" s="25">
        <f>IFERROR(IF(C120="","",INDEX(직원명부!$B$5:$B$24,MATCH(C120,직원명부!$A$5:$A$24,0))),"사번 확인")</f>
        <v/>
      </c>
      <c r="E120" s="34" t="n">
        <v>0.375</v>
      </c>
      <c r="F120" s="34" t="n">
        <v>0.75</v>
      </c>
      <c r="G120" s="28" t="n">
        <v>1</v>
      </c>
      <c r="H120" s="33">
        <f>IF(OR(E120="",F120=""),"",ROUND(MOD(F120-E120,1)*24-N(G120),2))</f>
        <v/>
      </c>
      <c r="I120" s="33">
        <f>IF(H120="","",ROUND(MAX(0,H120-8),2))</f>
        <v/>
      </c>
      <c r="J120" s="33">
        <f>IF(OR(E120="",F120=""),"",ROUND(IF(MOD(F120,1)&gt;=TIME(22,0,0),(MOD(F120,1)-TIME(22,0,0))*24,IF(MOD(F120,1)&lt;TIME(6,0,0),(MOD(F120,1)+1-TIME(22,0,0))*24,0)),2))</f>
        <v/>
      </c>
      <c r="K120" s="33">
        <f>IF(H120="","",ROUND(IF(L120="휴일근로",MIN(H120,8)*1.5+MAX(0,H120-8)*2,I120*1.5)+N(J120)*0.5,2))</f>
        <v/>
      </c>
      <c r="L120" s="18" t="inlineStr">
        <is>
          <t>정상</t>
        </is>
      </c>
      <c r="M120" s="18" t="n"/>
      <c r="N120" s="22" t="n"/>
    </row>
    <row r="121">
      <c r="A121" s="19" t="n">
        <v>46150</v>
      </c>
      <c r="B121" s="25">
        <f>IF(A121="","",CHOOSE(WEEKDAY(A121,2),"월","화","수","목","금","토","일"))</f>
        <v/>
      </c>
      <c r="C121" s="18" t="inlineStr">
        <is>
          <t>M001</t>
        </is>
      </c>
      <c r="D121" s="25">
        <f>IFERROR(IF(C121="","",INDEX(직원명부!$B$5:$B$24,MATCH(C121,직원명부!$A$5:$A$24,0))),"사번 확인")</f>
        <v/>
      </c>
      <c r="E121" s="34" t="n">
        <v>0.375</v>
      </c>
      <c r="F121" s="34" t="n">
        <v>0.75</v>
      </c>
      <c r="G121" s="28" t="n">
        <v>1</v>
      </c>
      <c r="H121" s="33">
        <f>IF(OR(E121="",F121=""),"",ROUND(MOD(F121-E121,1)*24-N(G121),2))</f>
        <v/>
      </c>
      <c r="I121" s="33">
        <f>IF(H121="","",ROUND(MAX(0,H121-8),2))</f>
        <v/>
      </c>
      <c r="J121" s="33">
        <f>IF(OR(E121="",F121=""),"",ROUND(IF(MOD(F121,1)&gt;=TIME(22,0,0),(MOD(F121,1)-TIME(22,0,0))*24,IF(MOD(F121,1)&lt;TIME(6,0,0),(MOD(F121,1)+1-TIME(22,0,0))*24,0)),2))</f>
        <v/>
      </c>
      <c r="K121" s="33">
        <f>IF(H121="","",ROUND(IF(L121="휴일근로",MIN(H121,8)*1.5+MAX(0,H121-8)*2,I121*1.5)+N(J121)*0.5,2))</f>
        <v/>
      </c>
      <c r="L121" s="18" t="inlineStr">
        <is>
          <t>정상</t>
        </is>
      </c>
      <c r="M121" s="18" t="n"/>
      <c r="N121" s="22" t="n"/>
    </row>
    <row r="122">
      <c r="A122" s="19" t="n">
        <v>46151</v>
      </c>
      <c r="B122" s="25">
        <f>IF(A122="","",CHOOSE(WEEKDAY(A122,2),"월","화","수","목","금","토","일"))</f>
        <v/>
      </c>
      <c r="C122" s="18" t="inlineStr">
        <is>
          <t>M001</t>
        </is>
      </c>
      <c r="D122" s="25">
        <f>IFERROR(IF(C122="","",INDEX(직원명부!$B$5:$B$24,MATCH(C122,직원명부!$A$5:$A$24,0))),"사번 확인")</f>
        <v/>
      </c>
      <c r="E122" s="34" t="n"/>
      <c r="F122" s="34" t="n"/>
      <c r="G122" s="28" t="n"/>
      <c r="H122" s="33">
        <f>IF(OR(E122="",F122=""),"",ROUND(MOD(F122-E122,1)*24-N(G122),2))</f>
        <v/>
      </c>
      <c r="I122" s="33">
        <f>IF(H122="","",ROUND(MAX(0,H122-8),2))</f>
        <v/>
      </c>
      <c r="J122" s="33">
        <f>IF(OR(E122="",F122=""),"",ROUND(IF(MOD(F122,1)&gt;=TIME(22,0,0),(MOD(F122,1)-TIME(22,0,0))*24,IF(MOD(F122,1)&lt;TIME(6,0,0),(MOD(F122,1)+1-TIME(22,0,0))*24,0)),2))</f>
        <v/>
      </c>
      <c r="K122" s="33">
        <f>IF(H122="","",ROUND(IF(L122="휴일근로",MIN(H122,8)*1.5+MAX(0,H122-8)*2,I122*1.5)+N(J122)*0.5,2))</f>
        <v/>
      </c>
      <c r="L122" s="18" t="n"/>
      <c r="M122" s="18" t="n"/>
      <c r="N122" s="42" t="inlineStr">
        <is>
          <t>주말</t>
        </is>
      </c>
    </row>
    <row r="123">
      <c r="A123" s="19" t="n">
        <v>46152</v>
      </c>
      <c r="B123" s="25">
        <f>IF(A123="","",CHOOSE(WEEKDAY(A123,2),"월","화","수","목","금","토","일"))</f>
        <v/>
      </c>
      <c r="C123" s="18" t="inlineStr">
        <is>
          <t>M001</t>
        </is>
      </c>
      <c r="D123" s="25">
        <f>IFERROR(IF(C123="","",INDEX(직원명부!$B$5:$B$24,MATCH(C123,직원명부!$A$5:$A$24,0))),"사번 확인")</f>
        <v/>
      </c>
      <c r="E123" s="34" t="n"/>
      <c r="F123" s="34" t="n"/>
      <c r="G123" s="28" t="n"/>
      <c r="H123" s="33">
        <f>IF(OR(E123="",F123=""),"",ROUND(MOD(F123-E123,1)*24-N(G123),2))</f>
        <v/>
      </c>
      <c r="I123" s="33">
        <f>IF(H123="","",ROUND(MAX(0,H123-8),2))</f>
        <v/>
      </c>
      <c r="J123" s="33">
        <f>IF(OR(E123="",F123=""),"",ROUND(IF(MOD(F123,1)&gt;=TIME(22,0,0),(MOD(F123,1)-TIME(22,0,0))*24,IF(MOD(F123,1)&lt;TIME(6,0,0),(MOD(F123,1)+1-TIME(22,0,0))*24,0)),2))</f>
        <v/>
      </c>
      <c r="K123" s="33">
        <f>IF(H123="","",ROUND(IF(L123="휴일근로",MIN(H123,8)*1.5+MAX(0,H123-8)*2,I123*1.5)+N(J123)*0.5,2))</f>
        <v/>
      </c>
      <c r="L123" s="18" t="n"/>
      <c r="M123" s="18" t="n"/>
      <c r="N123" s="42" t="inlineStr">
        <is>
          <t>주말</t>
        </is>
      </c>
    </row>
    <row r="124">
      <c r="A124" s="19" t="n">
        <v>46153</v>
      </c>
      <c r="B124" s="25">
        <f>IF(A124="","",CHOOSE(WEEKDAY(A124,2),"월","화","수","목","금","토","일"))</f>
        <v/>
      </c>
      <c r="C124" s="18" t="inlineStr">
        <is>
          <t>M001</t>
        </is>
      </c>
      <c r="D124" s="25">
        <f>IFERROR(IF(C124="","",INDEX(직원명부!$B$5:$B$24,MATCH(C124,직원명부!$A$5:$A$24,0))),"사번 확인")</f>
        <v/>
      </c>
      <c r="E124" s="34" t="n">
        <v>0.375</v>
      </c>
      <c r="F124" s="34" t="n">
        <v>0.75</v>
      </c>
      <c r="G124" s="28" t="n">
        <v>1</v>
      </c>
      <c r="H124" s="33">
        <f>IF(OR(E124="",F124=""),"",ROUND(MOD(F124-E124,1)*24-N(G124),2))</f>
        <v/>
      </c>
      <c r="I124" s="33">
        <f>IF(H124="","",ROUND(MAX(0,H124-8),2))</f>
        <v/>
      </c>
      <c r="J124" s="33">
        <f>IF(OR(E124="",F124=""),"",ROUND(IF(MOD(F124,1)&gt;=TIME(22,0,0),(MOD(F124,1)-TIME(22,0,0))*24,IF(MOD(F124,1)&lt;TIME(6,0,0),(MOD(F124,1)+1-TIME(22,0,0))*24,0)),2))</f>
        <v/>
      </c>
      <c r="K124" s="33">
        <f>IF(H124="","",ROUND(IF(L124="휴일근로",MIN(H124,8)*1.5+MAX(0,H124-8)*2,I124*1.5)+N(J124)*0.5,2))</f>
        <v/>
      </c>
      <c r="L124" s="18" t="inlineStr">
        <is>
          <t>정상</t>
        </is>
      </c>
      <c r="M124" s="18" t="n"/>
      <c r="N124" s="22" t="n"/>
    </row>
    <row r="125">
      <c r="A125" s="19" t="n">
        <v>46154</v>
      </c>
      <c r="B125" s="25">
        <f>IF(A125="","",CHOOSE(WEEKDAY(A125,2),"월","화","수","목","금","토","일"))</f>
        <v/>
      </c>
      <c r="C125" s="18" t="inlineStr">
        <is>
          <t>M001</t>
        </is>
      </c>
      <c r="D125" s="25">
        <f>IFERROR(IF(C125="","",INDEX(직원명부!$B$5:$B$24,MATCH(C125,직원명부!$A$5:$A$24,0))),"사번 확인")</f>
        <v/>
      </c>
      <c r="E125" s="34" t="n">
        <v>0.375</v>
      </c>
      <c r="F125" s="34" t="n">
        <v>0.75</v>
      </c>
      <c r="G125" s="28" t="n">
        <v>1</v>
      </c>
      <c r="H125" s="33">
        <f>IF(OR(E125="",F125=""),"",ROUND(MOD(F125-E125,1)*24-N(G125),2))</f>
        <v/>
      </c>
      <c r="I125" s="33">
        <f>IF(H125="","",ROUND(MAX(0,H125-8),2))</f>
        <v/>
      </c>
      <c r="J125" s="33">
        <f>IF(OR(E125="",F125=""),"",ROUND(IF(MOD(F125,1)&gt;=TIME(22,0,0),(MOD(F125,1)-TIME(22,0,0))*24,IF(MOD(F125,1)&lt;TIME(6,0,0),(MOD(F125,1)+1-TIME(22,0,0))*24,0)),2))</f>
        <v/>
      </c>
      <c r="K125" s="33">
        <f>IF(H125="","",ROUND(IF(L125="휴일근로",MIN(H125,8)*1.5+MAX(0,H125-8)*2,I125*1.5)+N(J125)*0.5,2))</f>
        <v/>
      </c>
      <c r="L125" s="18" t="inlineStr">
        <is>
          <t>정상</t>
        </is>
      </c>
      <c r="M125" s="18" t="n"/>
      <c r="N125" s="22" t="n"/>
    </row>
    <row r="126">
      <c r="A126" s="19" t="n">
        <v>46155</v>
      </c>
      <c r="B126" s="25">
        <f>IF(A126="","",CHOOSE(WEEKDAY(A126,2),"월","화","수","목","금","토","일"))</f>
        <v/>
      </c>
      <c r="C126" s="18" t="inlineStr">
        <is>
          <t>M001</t>
        </is>
      </c>
      <c r="D126" s="25">
        <f>IFERROR(IF(C126="","",INDEX(직원명부!$B$5:$B$24,MATCH(C126,직원명부!$A$5:$A$24,0))),"사번 확인")</f>
        <v/>
      </c>
      <c r="E126" s="34" t="n">
        <v>0.375</v>
      </c>
      <c r="F126" s="34" t="n">
        <v>0.75</v>
      </c>
      <c r="G126" s="28" t="n">
        <v>1</v>
      </c>
      <c r="H126" s="33">
        <f>IF(OR(E126="",F126=""),"",ROUND(MOD(F126-E126,1)*24-N(G126),2))</f>
        <v/>
      </c>
      <c r="I126" s="33">
        <f>IF(H126="","",ROUND(MAX(0,H126-8),2))</f>
        <v/>
      </c>
      <c r="J126" s="33">
        <f>IF(OR(E126="",F126=""),"",ROUND(IF(MOD(F126,1)&gt;=TIME(22,0,0),(MOD(F126,1)-TIME(22,0,0))*24,IF(MOD(F126,1)&lt;TIME(6,0,0),(MOD(F126,1)+1-TIME(22,0,0))*24,0)),2))</f>
        <v/>
      </c>
      <c r="K126" s="33">
        <f>IF(H126="","",ROUND(IF(L126="휴일근로",MIN(H126,8)*1.5+MAX(0,H126-8)*2,I126*1.5)+N(J126)*0.5,2))</f>
        <v/>
      </c>
      <c r="L126" s="18" t="inlineStr">
        <is>
          <t>정상</t>
        </is>
      </c>
      <c r="M126" s="18" t="n"/>
      <c r="N126" s="22" t="n"/>
    </row>
    <row r="127">
      <c r="A127" s="19" t="n">
        <v>46156</v>
      </c>
      <c r="B127" s="25">
        <f>IF(A127="","",CHOOSE(WEEKDAY(A127,2),"월","화","수","목","금","토","일"))</f>
        <v/>
      </c>
      <c r="C127" s="18" t="inlineStr">
        <is>
          <t>M001</t>
        </is>
      </c>
      <c r="D127" s="25">
        <f>IFERROR(IF(C127="","",INDEX(직원명부!$B$5:$B$24,MATCH(C127,직원명부!$A$5:$A$24,0))),"사번 확인")</f>
        <v/>
      </c>
      <c r="E127" s="34" t="n">
        <v>0.375</v>
      </c>
      <c r="F127" s="34" t="n">
        <v>0.75</v>
      </c>
      <c r="G127" s="28" t="n">
        <v>1</v>
      </c>
      <c r="H127" s="33">
        <f>IF(OR(E127="",F127=""),"",ROUND(MOD(F127-E127,1)*24-N(G127),2))</f>
        <v/>
      </c>
      <c r="I127" s="33">
        <f>IF(H127="","",ROUND(MAX(0,H127-8),2))</f>
        <v/>
      </c>
      <c r="J127" s="33">
        <f>IF(OR(E127="",F127=""),"",ROUND(IF(MOD(F127,1)&gt;=TIME(22,0,0),(MOD(F127,1)-TIME(22,0,0))*24,IF(MOD(F127,1)&lt;TIME(6,0,0),(MOD(F127,1)+1-TIME(22,0,0))*24,0)),2))</f>
        <v/>
      </c>
      <c r="K127" s="33">
        <f>IF(H127="","",ROUND(IF(L127="휴일근로",MIN(H127,8)*1.5+MAX(0,H127-8)*2,I127*1.5)+N(J127)*0.5,2))</f>
        <v/>
      </c>
      <c r="L127" s="18" t="inlineStr">
        <is>
          <t>정상</t>
        </is>
      </c>
      <c r="M127" s="18" t="n"/>
      <c r="N127" s="22" t="n"/>
    </row>
    <row r="128">
      <c r="A128" s="19" t="n">
        <v>46157</v>
      </c>
      <c r="B128" s="25">
        <f>IF(A128="","",CHOOSE(WEEKDAY(A128,2),"월","화","수","목","금","토","일"))</f>
        <v/>
      </c>
      <c r="C128" s="18" t="inlineStr">
        <is>
          <t>M001</t>
        </is>
      </c>
      <c r="D128" s="25">
        <f>IFERROR(IF(C128="","",INDEX(직원명부!$B$5:$B$24,MATCH(C128,직원명부!$A$5:$A$24,0))),"사번 확인")</f>
        <v/>
      </c>
      <c r="E128" s="34" t="n">
        <v>0.375</v>
      </c>
      <c r="F128" s="34" t="n">
        <v>0.75</v>
      </c>
      <c r="G128" s="28" t="n">
        <v>1</v>
      </c>
      <c r="H128" s="33">
        <f>IF(OR(E128="",F128=""),"",ROUND(MOD(F128-E128,1)*24-N(G128),2))</f>
        <v/>
      </c>
      <c r="I128" s="33">
        <f>IF(H128="","",ROUND(MAX(0,H128-8),2))</f>
        <v/>
      </c>
      <c r="J128" s="33">
        <f>IF(OR(E128="",F128=""),"",ROUND(IF(MOD(F128,1)&gt;=TIME(22,0,0),(MOD(F128,1)-TIME(22,0,0))*24,IF(MOD(F128,1)&lt;TIME(6,0,0),(MOD(F128,1)+1-TIME(22,0,0))*24,0)),2))</f>
        <v/>
      </c>
      <c r="K128" s="33">
        <f>IF(H128="","",ROUND(IF(L128="휴일근로",MIN(H128,8)*1.5+MAX(0,H128-8)*2,I128*1.5)+N(J128)*0.5,2))</f>
        <v/>
      </c>
      <c r="L128" s="18" t="inlineStr">
        <is>
          <t>정상</t>
        </is>
      </c>
      <c r="M128" s="18" t="n"/>
      <c r="N128" s="22" t="n"/>
    </row>
    <row r="129">
      <c r="A129" s="19" t="n">
        <v>46158</v>
      </c>
      <c r="B129" s="25">
        <f>IF(A129="","",CHOOSE(WEEKDAY(A129,2),"월","화","수","목","금","토","일"))</f>
        <v/>
      </c>
      <c r="C129" s="18" t="inlineStr">
        <is>
          <t>M001</t>
        </is>
      </c>
      <c r="D129" s="25">
        <f>IFERROR(IF(C129="","",INDEX(직원명부!$B$5:$B$24,MATCH(C129,직원명부!$A$5:$A$24,0))),"사번 확인")</f>
        <v/>
      </c>
      <c r="E129" s="34" t="n"/>
      <c r="F129" s="34" t="n"/>
      <c r="G129" s="28" t="n"/>
      <c r="H129" s="33">
        <f>IF(OR(E129="",F129=""),"",ROUND(MOD(F129-E129,1)*24-N(G129),2))</f>
        <v/>
      </c>
      <c r="I129" s="33">
        <f>IF(H129="","",ROUND(MAX(0,H129-8),2))</f>
        <v/>
      </c>
      <c r="J129" s="33">
        <f>IF(OR(E129="",F129=""),"",ROUND(IF(MOD(F129,1)&gt;=TIME(22,0,0),(MOD(F129,1)-TIME(22,0,0))*24,IF(MOD(F129,1)&lt;TIME(6,0,0),(MOD(F129,1)+1-TIME(22,0,0))*24,0)),2))</f>
        <v/>
      </c>
      <c r="K129" s="33">
        <f>IF(H129="","",ROUND(IF(L129="휴일근로",MIN(H129,8)*1.5+MAX(0,H129-8)*2,I129*1.5)+N(J129)*0.5,2))</f>
        <v/>
      </c>
      <c r="L129" s="18" t="n"/>
      <c r="M129" s="18" t="n"/>
      <c r="N129" s="42" t="inlineStr">
        <is>
          <t>주말</t>
        </is>
      </c>
    </row>
    <row r="130">
      <c r="A130" s="19" t="n">
        <v>46159</v>
      </c>
      <c r="B130" s="25">
        <f>IF(A130="","",CHOOSE(WEEKDAY(A130,2),"월","화","수","목","금","토","일"))</f>
        <v/>
      </c>
      <c r="C130" s="18" t="inlineStr">
        <is>
          <t>M001</t>
        </is>
      </c>
      <c r="D130" s="25">
        <f>IFERROR(IF(C130="","",INDEX(직원명부!$B$5:$B$24,MATCH(C130,직원명부!$A$5:$A$24,0))),"사번 확인")</f>
        <v/>
      </c>
      <c r="E130" s="34" t="n"/>
      <c r="F130" s="34" t="n"/>
      <c r="G130" s="28" t="n"/>
      <c r="H130" s="33">
        <f>IF(OR(E130="",F130=""),"",ROUND(MOD(F130-E130,1)*24-N(G130),2))</f>
        <v/>
      </c>
      <c r="I130" s="33">
        <f>IF(H130="","",ROUND(MAX(0,H130-8),2))</f>
        <v/>
      </c>
      <c r="J130" s="33">
        <f>IF(OR(E130="",F130=""),"",ROUND(IF(MOD(F130,1)&gt;=TIME(22,0,0),(MOD(F130,1)-TIME(22,0,0))*24,IF(MOD(F130,1)&lt;TIME(6,0,0),(MOD(F130,1)+1-TIME(22,0,0))*24,0)),2))</f>
        <v/>
      </c>
      <c r="K130" s="33">
        <f>IF(H130="","",ROUND(IF(L130="휴일근로",MIN(H130,8)*1.5+MAX(0,H130-8)*2,I130*1.5)+N(J130)*0.5,2))</f>
        <v/>
      </c>
      <c r="L130" s="18" t="n"/>
      <c r="M130" s="18" t="n"/>
      <c r="N130" s="42" t="inlineStr">
        <is>
          <t>주말</t>
        </is>
      </c>
    </row>
    <row r="131">
      <c r="A131" s="19" t="n">
        <v>46160</v>
      </c>
      <c r="B131" s="25">
        <f>IF(A131="","",CHOOSE(WEEKDAY(A131,2),"월","화","수","목","금","토","일"))</f>
        <v/>
      </c>
      <c r="C131" s="18" t="inlineStr">
        <is>
          <t>M001</t>
        </is>
      </c>
      <c r="D131" s="25">
        <f>IFERROR(IF(C131="","",INDEX(직원명부!$B$5:$B$24,MATCH(C131,직원명부!$A$5:$A$24,0))),"사번 확인")</f>
        <v/>
      </c>
      <c r="E131" s="34" t="n">
        <v>0.375</v>
      </c>
      <c r="F131" s="34" t="n">
        <v>0.75</v>
      </c>
      <c r="G131" s="28" t="n">
        <v>1</v>
      </c>
      <c r="H131" s="33">
        <f>IF(OR(E131="",F131=""),"",ROUND(MOD(F131-E131,1)*24-N(G131),2))</f>
        <v/>
      </c>
      <c r="I131" s="33">
        <f>IF(H131="","",ROUND(MAX(0,H131-8),2))</f>
        <v/>
      </c>
      <c r="J131" s="33">
        <f>IF(OR(E131="",F131=""),"",ROUND(IF(MOD(F131,1)&gt;=TIME(22,0,0),(MOD(F131,1)-TIME(22,0,0))*24,IF(MOD(F131,1)&lt;TIME(6,0,0),(MOD(F131,1)+1-TIME(22,0,0))*24,0)),2))</f>
        <v/>
      </c>
      <c r="K131" s="33">
        <f>IF(H131="","",ROUND(IF(L131="휴일근로",MIN(H131,8)*1.5+MAX(0,H131-8)*2,I131*1.5)+N(J131)*0.5,2))</f>
        <v/>
      </c>
      <c r="L131" s="18" t="inlineStr">
        <is>
          <t>정상</t>
        </is>
      </c>
      <c r="M131" s="18" t="n"/>
      <c r="N131" s="22" t="n"/>
    </row>
    <row r="132">
      <c r="A132" s="19" t="n">
        <v>46161</v>
      </c>
      <c r="B132" s="25">
        <f>IF(A132="","",CHOOSE(WEEKDAY(A132,2),"월","화","수","목","금","토","일"))</f>
        <v/>
      </c>
      <c r="C132" s="18" t="inlineStr">
        <is>
          <t>M001</t>
        </is>
      </c>
      <c r="D132" s="25">
        <f>IFERROR(IF(C132="","",INDEX(직원명부!$B$5:$B$24,MATCH(C132,직원명부!$A$5:$A$24,0))),"사번 확인")</f>
        <v/>
      </c>
      <c r="E132" s="34" t="n">
        <v>0.375</v>
      </c>
      <c r="F132" s="34" t="n">
        <v>0.75</v>
      </c>
      <c r="G132" s="28" t="n">
        <v>1</v>
      </c>
      <c r="H132" s="33">
        <f>IF(OR(E132="",F132=""),"",ROUND(MOD(F132-E132,1)*24-N(G132),2))</f>
        <v/>
      </c>
      <c r="I132" s="33">
        <f>IF(H132="","",ROUND(MAX(0,H132-8),2))</f>
        <v/>
      </c>
      <c r="J132" s="33">
        <f>IF(OR(E132="",F132=""),"",ROUND(IF(MOD(F132,1)&gt;=TIME(22,0,0),(MOD(F132,1)-TIME(22,0,0))*24,IF(MOD(F132,1)&lt;TIME(6,0,0),(MOD(F132,1)+1-TIME(22,0,0))*24,0)),2))</f>
        <v/>
      </c>
      <c r="K132" s="33">
        <f>IF(H132="","",ROUND(IF(L132="휴일근로",MIN(H132,8)*1.5+MAX(0,H132-8)*2,I132*1.5)+N(J132)*0.5,2))</f>
        <v/>
      </c>
      <c r="L132" s="18" t="inlineStr">
        <is>
          <t>정상</t>
        </is>
      </c>
      <c r="M132" s="18" t="n"/>
      <c r="N132" s="22" t="n"/>
    </row>
    <row r="133">
      <c r="A133" s="19" t="n">
        <v>46162</v>
      </c>
      <c r="B133" s="25">
        <f>IF(A133="","",CHOOSE(WEEKDAY(A133,2),"월","화","수","목","금","토","일"))</f>
        <v/>
      </c>
      <c r="C133" s="18" t="inlineStr">
        <is>
          <t>M001</t>
        </is>
      </c>
      <c r="D133" s="25">
        <f>IFERROR(IF(C133="","",INDEX(직원명부!$B$5:$B$24,MATCH(C133,직원명부!$A$5:$A$24,0))),"사번 확인")</f>
        <v/>
      </c>
      <c r="E133" s="34" t="n">
        <v>0.375</v>
      </c>
      <c r="F133" s="34" t="n">
        <v>0.75</v>
      </c>
      <c r="G133" s="28" t="n">
        <v>1</v>
      </c>
      <c r="H133" s="33">
        <f>IF(OR(E133="",F133=""),"",ROUND(MOD(F133-E133,1)*24-N(G133),2))</f>
        <v/>
      </c>
      <c r="I133" s="33">
        <f>IF(H133="","",ROUND(MAX(0,H133-8),2))</f>
        <v/>
      </c>
      <c r="J133" s="33">
        <f>IF(OR(E133="",F133=""),"",ROUND(IF(MOD(F133,1)&gt;=TIME(22,0,0),(MOD(F133,1)-TIME(22,0,0))*24,IF(MOD(F133,1)&lt;TIME(6,0,0),(MOD(F133,1)+1-TIME(22,0,0))*24,0)),2))</f>
        <v/>
      </c>
      <c r="K133" s="33">
        <f>IF(H133="","",ROUND(IF(L133="휴일근로",MIN(H133,8)*1.5+MAX(0,H133-8)*2,I133*1.5)+N(J133)*0.5,2))</f>
        <v/>
      </c>
      <c r="L133" s="18" t="inlineStr">
        <is>
          <t>정상</t>
        </is>
      </c>
      <c r="M133" s="18" t="n"/>
      <c r="N133" s="22" t="n"/>
    </row>
    <row r="134">
      <c r="A134" s="19" t="n">
        <v>46163</v>
      </c>
      <c r="B134" s="25">
        <f>IF(A134="","",CHOOSE(WEEKDAY(A134,2),"월","화","수","목","금","토","일"))</f>
        <v/>
      </c>
      <c r="C134" s="18" t="inlineStr">
        <is>
          <t>M001</t>
        </is>
      </c>
      <c r="D134" s="25">
        <f>IFERROR(IF(C134="","",INDEX(직원명부!$B$5:$B$24,MATCH(C134,직원명부!$A$5:$A$24,0))),"사번 확인")</f>
        <v/>
      </c>
      <c r="E134" s="34" t="n">
        <v>0.375</v>
      </c>
      <c r="F134" s="34" t="n">
        <v>0.75</v>
      </c>
      <c r="G134" s="28" t="n">
        <v>1</v>
      </c>
      <c r="H134" s="33">
        <f>IF(OR(E134="",F134=""),"",ROUND(MOD(F134-E134,1)*24-N(G134),2))</f>
        <v/>
      </c>
      <c r="I134" s="33">
        <f>IF(H134="","",ROUND(MAX(0,H134-8),2))</f>
        <v/>
      </c>
      <c r="J134" s="33">
        <f>IF(OR(E134="",F134=""),"",ROUND(IF(MOD(F134,1)&gt;=TIME(22,0,0),(MOD(F134,1)-TIME(22,0,0))*24,IF(MOD(F134,1)&lt;TIME(6,0,0),(MOD(F134,1)+1-TIME(22,0,0))*24,0)),2))</f>
        <v/>
      </c>
      <c r="K134" s="33">
        <f>IF(H134="","",ROUND(IF(L134="휴일근로",MIN(H134,8)*1.5+MAX(0,H134-8)*2,I134*1.5)+N(J134)*0.5,2))</f>
        <v/>
      </c>
      <c r="L134" s="18" t="inlineStr">
        <is>
          <t>정상</t>
        </is>
      </c>
      <c r="M134" s="18" t="n"/>
      <c r="N134" s="22" t="n"/>
    </row>
    <row r="135">
      <c r="A135" s="19" t="n">
        <v>46164</v>
      </c>
      <c r="B135" s="25">
        <f>IF(A135="","",CHOOSE(WEEKDAY(A135,2),"월","화","수","목","금","토","일"))</f>
        <v/>
      </c>
      <c r="C135" s="18" t="inlineStr">
        <is>
          <t>M001</t>
        </is>
      </c>
      <c r="D135" s="25">
        <f>IFERROR(IF(C135="","",INDEX(직원명부!$B$5:$B$24,MATCH(C135,직원명부!$A$5:$A$24,0))),"사번 확인")</f>
        <v/>
      </c>
      <c r="E135" s="34" t="n">
        <v>0.375</v>
      </c>
      <c r="F135" s="34" t="n">
        <v>0.75</v>
      </c>
      <c r="G135" s="28" t="n">
        <v>1</v>
      </c>
      <c r="H135" s="33">
        <f>IF(OR(E135="",F135=""),"",ROUND(MOD(F135-E135,1)*24-N(G135),2))</f>
        <v/>
      </c>
      <c r="I135" s="33">
        <f>IF(H135="","",ROUND(MAX(0,H135-8),2))</f>
        <v/>
      </c>
      <c r="J135" s="33">
        <f>IF(OR(E135="",F135=""),"",ROUND(IF(MOD(F135,1)&gt;=TIME(22,0,0),(MOD(F135,1)-TIME(22,0,0))*24,IF(MOD(F135,1)&lt;TIME(6,0,0),(MOD(F135,1)+1-TIME(22,0,0))*24,0)),2))</f>
        <v/>
      </c>
      <c r="K135" s="33">
        <f>IF(H135="","",ROUND(IF(L135="휴일근로",MIN(H135,8)*1.5+MAX(0,H135-8)*2,I135*1.5)+N(J135)*0.5,2))</f>
        <v/>
      </c>
      <c r="L135" s="18" t="inlineStr">
        <is>
          <t>정상</t>
        </is>
      </c>
      <c r="M135" s="18" t="n"/>
      <c r="N135" s="22" t="n"/>
    </row>
    <row r="136">
      <c r="A136" s="19" t="n">
        <v>46165</v>
      </c>
      <c r="B136" s="25">
        <f>IF(A136="","",CHOOSE(WEEKDAY(A136,2),"월","화","수","목","금","토","일"))</f>
        <v/>
      </c>
      <c r="C136" s="18" t="inlineStr">
        <is>
          <t>M001</t>
        </is>
      </c>
      <c r="D136" s="25">
        <f>IFERROR(IF(C136="","",INDEX(직원명부!$B$5:$B$24,MATCH(C136,직원명부!$A$5:$A$24,0))),"사번 확인")</f>
        <v/>
      </c>
      <c r="E136" s="34" t="n"/>
      <c r="F136" s="34" t="n"/>
      <c r="G136" s="28" t="n"/>
      <c r="H136" s="33">
        <f>IF(OR(E136="",F136=""),"",ROUND(MOD(F136-E136,1)*24-N(G136),2))</f>
        <v/>
      </c>
      <c r="I136" s="33">
        <f>IF(H136="","",ROUND(MAX(0,H136-8),2))</f>
        <v/>
      </c>
      <c r="J136" s="33">
        <f>IF(OR(E136="",F136=""),"",ROUND(IF(MOD(F136,1)&gt;=TIME(22,0,0),(MOD(F136,1)-TIME(22,0,0))*24,IF(MOD(F136,1)&lt;TIME(6,0,0),(MOD(F136,1)+1-TIME(22,0,0))*24,0)),2))</f>
        <v/>
      </c>
      <c r="K136" s="33">
        <f>IF(H136="","",ROUND(IF(L136="휴일근로",MIN(H136,8)*1.5+MAX(0,H136-8)*2,I136*1.5)+N(J136)*0.5,2))</f>
        <v/>
      </c>
      <c r="L136" s="18" t="n"/>
      <c r="M136" s="18" t="n"/>
      <c r="N136" s="42" t="inlineStr">
        <is>
          <t>주말</t>
        </is>
      </c>
    </row>
    <row r="137">
      <c r="A137" s="19" t="n">
        <v>46166</v>
      </c>
      <c r="B137" s="25">
        <f>IF(A137="","",CHOOSE(WEEKDAY(A137,2),"월","화","수","목","금","토","일"))</f>
        <v/>
      </c>
      <c r="C137" s="18" t="inlineStr">
        <is>
          <t>M001</t>
        </is>
      </c>
      <c r="D137" s="25">
        <f>IFERROR(IF(C137="","",INDEX(직원명부!$B$5:$B$24,MATCH(C137,직원명부!$A$5:$A$24,0))),"사번 확인")</f>
        <v/>
      </c>
      <c r="E137" s="34" t="n"/>
      <c r="F137" s="34" t="n"/>
      <c r="G137" s="28" t="n"/>
      <c r="H137" s="33">
        <f>IF(OR(E137="",F137=""),"",ROUND(MOD(F137-E137,1)*24-N(G137),2))</f>
        <v/>
      </c>
      <c r="I137" s="33">
        <f>IF(H137="","",ROUND(MAX(0,H137-8),2))</f>
        <v/>
      </c>
      <c r="J137" s="33">
        <f>IF(OR(E137="",F137=""),"",ROUND(IF(MOD(F137,1)&gt;=TIME(22,0,0),(MOD(F137,1)-TIME(22,0,0))*24,IF(MOD(F137,1)&lt;TIME(6,0,0),(MOD(F137,1)+1-TIME(22,0,0))*24,0)),2))</f>
        <v/>
      </c>
      <c r="K137" s="33">
        <f>IF(H137="","",ROUND(IF(L137="휴일근로",MIN(H137,8)*1.5+MAX(0,H137-8)*2,I137*1.5)+N(J137)*0.5,2))</f>
        <v/>
      </c>
      <c r="L137" s="18" t="n"/>
      <c r="M137" s="18" t="n"/>
      <c r="N137" s="42" t="inlineStr">
        <is>
          <t>부처님오신날</t>
        </is>
      </c>
    </row>
    <row r="138">
      <c r="A138" s="19" t="n">
        <v>46167</v>
      </c>
      <c r="B138" s="25">
        <f>IF(A138="","",CHOOSE(WEEKDAY(A138,2),"월","화","수","목","금","토","일"))</f>
        <v/>
      </c>
      <c r="C138" s="18" t="inlineStr">
        <is>
          <t>M001</t>
        </is>
      </c>
      <c r="D138" s="25">
        <f>IFERROR(IF(C138="","",INDEX(직원명부!$B$5:$B$24,MATCH(C138,직원명부!$A$5:$A$24,0))),"사번 확인")</f>
        <v/>
      </c>
      <c r="E138" s="34" t="n"/>
      <c r="F138" s="34" t="n"/>
      <c r="G138" s="28" t="n"/>
      <c r="H138" s="33">
        <f>IF(OR(E138="",F138=""),"",ROUND(MOD(F138-E138,1)*24-N(G138),2))</f>
        <v/>
      </c>
      <c r="I138" s="33">
        <f>IF(H138="","",ROUND(MAX(0,H138-8),2))</f>
        <v/>
      </c>
      <c r="J138" s="33">
        <f>IF(OR(E138="",F138=""),"",ROUND(IF(MOD(F138,1)&gt;=TIME(22,0,0),(MOD(F138,1)-TIME(22,0,0))*24,IF(MOD(F138,1)&lt;TIME(6,0,0),(MOD(F138,1)+1-TIME(22,0,0))*24,0)),2))</f>
        <v/>
      </c>
      <c r="K138" s="33">
        <f>IF(H138="","",ROUND(IF(L138="휴일근로",MIN(H138,8)*1.5+MAX(0,H138-8)*2,I138*1.5)+N(J138)*0.5,2))</f>
        <v/>
      </c>
      <c r="L138" s="18" t="n"/>
      <c r="M138" s="18" t="n"/>
      <c r="N138" s="42" t="inlineStr">
        <is>
          <t>부처님오신날 대체공휴일</t>
        </is>
      </c>
    </row>
    <row r="139">
      <c r="A139" s="19" t="n">
        <v>46168</v>
      </c>
      <c r="B139" s="25">
        <f>IF(A139="","",CHOOSE(WEEKDAY(A139,2),"월","화","수","목","금","토","일"))</f>
        <v/>
      </c>
      <c r="C139" s="18" t="inlineStr">
        <is>
          <t>M001</t>
        </is>
      </c>
      <c r="D139" s="25">
        <f>IFERROR(IF(C139="","",INDEX(직원명부!$B$5:$B$24,MATCH(C139,직원명부!$A$5:$A$24,0))),"사번 확인")</f>
        <v/>
      </c>
      <c r="E139" s="34" t="n">
        <v>0.375</v>
      </c>
      <c r="F139" s="34" t="n">
        <v>0.75</v>
      </c>
      <c r="G139" s="28" t="n">
        <v>1</v>
      </c>
      <c r="H139" s="33">
        <f>IF(OR(E139="",F139=""),"",ROUND(MOD(F139-E139,1)*24-N(G139),2))</f>
        <v/>
      </c>
      <c r="I139" s="33">
        <f>IF(H139="","",ROUND(MAX(0,H139-8),2))</f>
        <v/>
      </c>
      <c r="J139" s="33">
        <f>IF(OR(E139="",F139=""),"",ROUND(IF(MOD(F139,1)&gt;=TIME(22,0,0),(MOD(F139,1)-TIME(22,0,0))*24,IF(MOD(F139,1)&lt;TIME(6,0,0),(MOD(F139,1)+1-TIME(22,0,0))*24,0)),2))</f>
        <v/>
      </c>
      <c r="K139" s="33">
        <f>IF(H139="","",ROUND(IF(L139="휴일근로",MIN(H139,8)*1.5+MAX(0,H139-8)*2,I139*1.5)+N(J139)*0.5,2))</f>
        <v/>
      </c>
      <c r="L139" s="18" t="inlineStr">
        <is>
          <t>정상</t>
        </is>
      </c>
      <c r="M139" s="18" t="n"/>
      <c r="N139" s="22" t="n"/>
    </row>
    <row r="140">
      <c r="A140" s="19" t="n">
        <v>46169</v>
      </c>
      <c r="B140" s="25">
        <f>IF(A140="","",CHOOSE(WEEKDAY(A140,2),"월","화","수","목","금","토","일"))</f>
        <v/>
      </c>
      <c r="C140" s="18" t="inlineStr">
        <is>
          <t>M001</t>
        </is>
      </c>
      <c r="D140" s="25">
        <f>IFERROR(IF(C140="","",INDEX(직원명부!$B$5:$B$24,MATCH(C140,직원명부!$A$5:$A$24,0))),"사번 확인")</f>
        <v/>
      </c>
      <c r="E140" s="34" t="n">
        <v>0.375</v>
      </c>
      <c r="F140" s="34" t="n">
        <v>0.75</v>
      </c>
      <c r="G140" s="28" t="n">
        <v>1</v>
      </c>
      <c r="H140" s="33">
        <f>IF(OR(E140="",F140=""),"",ROUND(MOD(F140-E140,1)*24-N(G140),2))</f>
        <v/>
      </c>
      <c r="I140" s="33">
        <f>IF(H140="","",ROUND(MAX(0,H140-8),2))</f>
        <v/>
      </c>
      <c r="J140" s="33">
        <f>IF(OR(E140="",F140=""),"",ROUND(IF(MOD(F140,1)&gt;=TIME(22,0,0),(MOD(F140,1)-TIME(22,0,0))*24,IF(MOD(F140,1)&lt;TIME(6,0,0),(MOD(F140,1)+1-TIME(22,0,0))*24,0)),2))</f>
        <v/>
      </c>
      <c r="K140" s="33">
        <f>IF(H140="","",ROUND(IF(L140="휴일근로",MIN(H140,8)*1.5+MAX(0,H140-8)*2,I140*1.5)+N(J140)*0.5,2))</f>
        <v/>
      </c>
      <c r="L140" s="18" t="inlineStr">
        <is>
          <t>정상</t>
        </is>
      </c>
      <c r="M140" s="18" t="n"/>
      <c r="N140" s="22" t="n"/>
    </row>
    <row r="141">
      <c r="A141" s="19" t="n">
        <v>46170</v>
      </c>
      <c r="B141" s="25">
        <f>IF(A141="","",CHOOSE(WEEKDAY(A141,2),"월","화","수","목","금","토","일"))</f>
        <v/>
      </c>
      <c r="C141" s="18" t="inlineStr">
        <is>
          <t>M001</t>
        </is>
      </c>
      <c r="D141" s="25">
        <f>IFERROR(IF(C141="","",INDEX(직원명부!$B$5:$B$24,MATCH(C141,직원명부!$A$5:$A$24,0))),"사번 확인")</f>
        <v/>
      </c>
      <c r="E141" s="34" t="n">
        <v>0.375</v>
      </c>
      <c r="F141" s="34" t="n">
        <v>0.75</v>
      </c>
      <c r="G141" s="28" t="n">
        <v>1</v>
      </c>
      <c r="H141" s="33">
        <f>IF(OR(E141="",F141=""),"",ROUND(MOD(F141-E141,1)*24-N(G141),2))</f>
        <v/>
      </c>
      <c r="I141" s="33">
        <f>IF(H141="","",ROUND(MAX(0,H141-8),2))</f>
        <v/>
      </c>
      <c r="J141" s="33">
        <f>IF(OR(E141="",F141=""),"",ROUND(IF(MOD(F141,1)&gt;=TIME(22,0,0),(MOD(F141,1)-TIME(22,0,0))*24,IF(MOD(F141,1)&lt;TIME(6,0,0),(MOD(F141,1)+1-TIME(22,0,0))*24,0)),2))</f>
        <v/>
      </c>
      <c r="K141" s="33">
        <f>IF(H141="","",ROUND(IF(L141="휴일근로",MIN(H141,8)*1.5+MAX(0,H141-8)*2,I141*1.5)+N(J141)*0.5,2))</f>
        <v/>
      </c>
      <c r="L141" s="18" t="inlineStr">
        <is>
          <t>정상</t>
        </is>
      </c>
      <c r="M141" s="18" t="n"/>
      <c r="N141" s="22" t="n"/>
    </row>
    <row r="142">
      <c r="A142" s="19" t="n">
        <v>46171</v>
      </c>
      <c r="B142" s="25">
        <f>IF(A142="","",CHOOSE(WEEKDAY(A142,2),"월","화","수","목","금","토","일"))</f>
        <v/>
      </c>
      <c r="C142" s="18" t="inlineStr">
        <is>
          <t>M001</t>
        </is>
      </c>
      <c r="D142" s="25">
        <f>IFERROR(IF(C142="","",INDEX(직원명부!$B$5:$B$24,MATCH(C142,직원명부!$A$5:$A$24,0))),"사번 확인")</f>
        <v/>
      </c>
      <c r="E142" s="34" t="n">
        <v>0.375</v>
      </c>
      <c r="F142" s="34" t="n">
        <v>0.75</v>
      </c>
      <c r="G142" s="28" t="n">
        <v>1</v>
      </c>
      <c r="H142" s="33">
        <f>IF(OR(E142="",F142=""),"",ROUND(MOD(F142-E142,1)*24-N(G142),2))</f>
        <v/>
      </c>
      <c r="I142" s="33">
        <f>IF(H142="","",ROUND(MAX(0,H142-8),2))</f>
        <v/>
      </c>
      <c r="J142" s="33">
        <f>IF(OR(E142="",F142=""),"",ROUND(IF(MOD(F142,1)&gt;=TIME(22,0,0),(MOD(F142,1)-TIME(22,0,0))*24,IF(MOD(F142,1)&lt;TIME(6,0,0),(MOD(F142,1)+1-TIME(22,0,0))*24,0)),2))</f>
        <v/>
      </c>
      <c r="K142" s="33">
        <f>IF(H142="","",ROUND(IF(L142="휴일근로",MIN(H142,8)*1.5+MAX(0,H142-8)*2,I142*1.5)+N(J142)*0.5,2))</f>
        <v/>
      </c>
      <c r="L142" s="18" t="inlineStr">
        <is>
          <t>정상</t>
        </is>
      </c>
      <c r="M142" s="18" t="n"/>
      <c r="N142" s="22" t="n"/>
    </row>
    <row r="143">
      <c r="A143" s="19" t="n">
        <v>46172</v>
      </c>
      <c r="B143" s="25">
        <f>IF(A143="","",CHOOSE(WEEKDAY(A143,2),"월","화","수","목","금","토","일"))</f>
        <v/>
      </c>
      <c r="C143" s="18" t="inlineStr">
        <is>
          <t>M001</t>
        </is>
      </c>
      <c r="D143" s="25">
        <f>IFERROR(IF(C143="","",INDEX(직원명부!$B$5:$B$24,MATCH(C143,직원명부!$A$5:$A$24,0))),"사번 확인")</f>
        <v/>
      </c>
      <c r="E143" s="34" t="n"/>
      <c r="F143" s="34" t="n"/>
      <c r="G143" s="28" t="n"/>
      <c r="H143" s="33">
        <f>IF(OR(E143="",F143=""),"",ROUND(MOD(F143-E143,1)*24-N(G143),2))</f>
        <v/>
      </c>
      <c r="I143" s="33">
        <f>IF(H143="","",ROUND(MAX(0,H143-8),2))</f>
        <v/>
      </c>
      <c r="J143" s="33">
        <f>IF(OR(E143="",F143=""),"",ROUND(IF(MOD(F143,1)&gt;=TIME(22,0,0),(MOD(F143,1)-TIME(22,0,0))*24,IF(MOD(F143,1)&lt;TIME(6,0,0),(MOD(F143,1)+1-TIME(22,0,0))*24,0)),2))</f>
        <v/>
      </c>
      <c r="K143" s="33">
        <f>IF(H143="","",ROUND(IF(L143="휴일근로",MIN(H143,8)*1.5+MAX(0,H143-8)*2,I143*1.5)+N(J143)*0.5,2))</f>
        <v/>
      </c>
      <c r="L143" s="18" t="n"/>
      <c r="M143" s="18" t="n"/>
      <c r="N143" s="42" t="inlineStr">
        <is>
          <t>주말</t>
        </is>
      </c>
    </row>
    <row r="144">
      <c r="A144" s="19" t="n">
        <v>46173</v>
      </c>
      <c r="B144" s="25">
        <f>IF(A144="","",CHOOSE(WEEKDAY(A144,2),"월","화","수","목","금","토","일"))</f>
        <v/>
      </c>
      <c r="C144" s="18" t="inlineStr">
        <is>
          <t>M001</t>
        </is>
      </c>
      <c r="D144" s="25">
        <f>IFERROR(IF(C144="","",INDEX(직원명부!$B$5:$B$24,MATCH(C144,직원명부!$A$5:$A$24,0))),"사번 확인")</f>
        <v/>
      </c>
      <c r="E144" s="34" t="n"/>
      <c r="F144" s="34" t="n"/>
      <c r="G144" s="28" t="n"/>
      <c r="H144" s="33">
        <f>IF(OR(E144="",F144=""),"",ROUND(MOD(F144-E144,1)*24-N(G144),2))</f>
        <v/>
      </c>
      <c r="I144" s="33">
        <f>IF(H144="","",ROUND(MAX(0,H144-8),2))</f>
        <v/>
      </c>
      <c r="J144" s="33">
        <f>IF(OR(E144="",F144=""),"",ROUND(IF(MOD(F144,1)&gt;=TIME(22,0,0),(MOD(F144,1)-TIME(22,0,0))*24,IF(MOD(F144,1)&lt;TIME(6,0,0),(MOD(F144,1)+1-TIME(22,0,0))*24,0)),2))</f>
        <v/>
      </c>
      <c r="K144" s="33">
        <f>IF(H144="","",ROUND(IF(L144="휴일근로",MIN(H144,8)*1.5+MAX(0,H144-8)*2,I144*1.5)+N(J144)*0.5,2))</f>
        <v/>
      </c>
      <c r="L144" s="18" t="n"/>
      <c r="M144" s="18" t="n"/>
      <c r="N144" s="42" t="inlineStr">
        <is>
          <t>주말</t>
        </is>
      </c>
    </row>
    <row r="145">
      <c r="A145" s="19" t="n">
        <v>46174</v>
      </c>
      <c r="B145" s="25">
        <f>IF(A145="","",CHOOSE(WEEKDAY(A145,2),"월","화","수","목","금","토","일"))</f>
        <v/>
      </c>
      <c r="C145" s="18" t="inlineStr">
        <is>
          <t>M001</t>
        </is>
      </c>
      <c r="D145" s="25">
        <f>IFERROR(IF(C145="","",INDEX(직원명부!$B$5:$B$24,MATCH(C145,직원명부!$A$5:$A$24,0))),"사번 확인")</f>
        <v/>
      </c>
      <c r="E145" s="34" t="n">
        <v>0.375</v>
      </c>
      <c r="F145" s="34" t="n">
        <v>0.75</v>
      </c>
      <c r="G145" s="28" t="n">
        <v>1</v>
      </c>
      <c r="H145" s="33">
        <f>IF(OR(E145="",F145=""),"",ROUND(MOD(F145-E145,1)*24-N(G145),2))</f>
        <v/>
      </c>
      <c r="I145" s="33">
        <f>IF(H145="","",ROUND(MAX(0,H145-8),2))</f>
        <v/>
      </c>
      <c r="J145" s="33">
        <f>IF(OR(E145="",F145=""),"",ROUND(IF(MOD(F145,1)&gt;=TIME(22,0,0),(MOD(F145,1)-TIME(22,0,0))*24,IF(MOD(F145,1)&lt;TIME(6,0,0),(MOD(F145,1)+1-TIME(22,0,0))*24,0)),2))</f>
        <v/>
      </c>
      <c r="K145" s="33">
        <f>IF(H145="","",ROUND(IF(L145="휴일근로",MIN(H145,8)*1.5+MAX(0,H145-8)*2,I145*1.5)+N(J145)*0.5,2))</f>
        <v/>
      </c>
      <c r="L145" s="18" t="inlineStr">
        <is>
          <t>정상</t>
        </is>
      </c>
      <c r="M145" s="18" t="n"/>
      <c r="N145" s="22" t="n"/>
    </row>
    <row r="146">
      <c r="A146" s="19" t="n">
        <v>46175</v>
      </c>
      <c r="B146" s="25">
        <f>IF(A146="","",CHOOSE(WEEKDAY(A146,2),"월","화","수","목","금","토","일"))</f>
        <v/>
      </c>
      <c r="C146" s="18" t="inlineStr">
        <is>
          <t>M001</t>
        </is>
      </c>
      <c r="D146" s="25">
        <f>IFERROR(IF(C146="","",INDEX(직원명부!$B$5:$B$24,MATCH(C146,직원명부!$A$5:$A$24,0))),"사번 확인")</f>
        <v/>
      </c>
      <c r="E146" s="34" t="n">
        <v>0.375</v>
      </c>
      <c r="F146" s="34" t="n">
        <v>0.75</v>
      </c>
      <c r="G146" s="28" t="n">
        <v>1</v>
      </c>
      <c r="H146" s="33">
        <f>IF(OR(E146="",F146=""),"",ROUND(MOD(F146-E146,1)*24-N(G146),2))</f>
        <v/>
      </c>
      <c r="I146" s="33">
        <f>IF(H146="","",ROUND(MAX(0,H146-8),2))</f>
        <v/>
      </c>
      <c r="J146" s="33">
        <f>IF(OR(E146="",F146=""),"",ROUND(IF(MOD(F146,1)&gt;=TIME(22,0,0),(MOD(F146,1)-TIME(22,0,0))*24,IF(MOD(F146,1)&lt;TIME(6,0,0),(MOD(F146,1)+1-TIME(22,0,0))*24,0)),2))</f>
        <v/>
      </c>
      <c r="K146" s="33">
        <f>IF(H146="","",ROUND(IF(L146="휴일근로",MIN(H146,8)*1.5+MAX(0,H146-8)*2,I146*1.5)+N(J146)*0.5,2))</f>
        <v/>
      </c>
      <c r="L146" s="18" t="inlineStr">
        <is>
          <t>정상</t>
        </is>
      </c>
      <c r="M146" s="18" t="n"/>
      <c r="N146" s="22" t="n"/>
    </row>
    <row r="147">
      <c r="A147" s="19" t="n">
        <v>46176</v>
      </c>
      <c r="B147" s="25">
        <f>IF(A147="","",CHOOSE(WEEKDAY(A147,2),"월","화","수","목","금","토","일"))</f>
        <v/>
      </c>
      <c r="C147" s="18" t="inlineStr">
        <is>
          <t>M001</t>
        </is>
      </c>
      <c r="D147" s="25">
        <f>IFERROR(IF(C147="","",INDEX(직원명부!$B$5:$B$24,MATCH(C147,직원명부!$A$5:$A$24,0))),"사번 확인")</f>
        <v/>
      </c>
      <c r="E147" s="34" t="n"/>
      <c r="F147" s="34" t="n"/>
      <c r="G147" s="28" t="n"/>
      <c r="H147" s="33">
        <f>IF(OR(E147="",F147=""),"",ROUND(MOD(F147-E147,1)*24-N(G147),2))</f>
        <v/>
      </c>
      <c r="I147" s="33">
        <f>IF(H147="","",ROUND(MAX(0,H147-8),2))</f>
        <v/>
      </c>
      <c r="J147" s="33">
        <f>IF(OR(E147="",F147=""),"",ROUND(IF(MOD(F147,1)&gt;=TIME(22,0,0),(MOD(F147,1)-TIME(22,0,0))*24,IF(MOD(F147,1)&lt;TIME(6,0,0),(MOD(F147,1)+1-TIME(22,0,0))*24,0)),2))</f>
        <v/>
      </c>
      <c r="K147" s="33">
        <f>IF(H147="","",ROUND(IF(L147="휴일근로",MIN(H147,8)*1.5+MAX(0,H147-8)*2,I147*1.5)+N(J147)*0.5,2))</f>
        <v/>
      </c>
      <c r="L147" s="18" t="n"/>
      <c r="M147" s="18" t="n"/>
      <c r="N147" s="42" t="inlineStr">
        <is>
          <t>지방선거일</t>
        </is>
      </c>
    </row>
    <row r="148">
      <c r="A148" s="19" t="n">
        <v>46177</v>
      </c>
      <c r="B148" s="25">
        <f>IF(A148="","",CHOOSE(WEEKDAY(A148,2),"월","화","수","목","금","토","일"))</f>
        <v/>
      </c>
      <c r="C148" s="18" t="inlineStr">
        <is>
          <t>M001</t>
        </is>
      </c>
      <c r="D148" s="25">
        <f>IFERROR(IF(C148="","",INDEX(직원명부!$B$5:$B$24,MATCH(C148,직원명부!$A$5:$A$24,0))),"사번 확인")</f>
        <v/>
      </c>
      <c r="E148" s="34" t="n">
        <v>0.375</v>
      </c>
      <c r="F148" s="34" t="n">
        <v>0.75</v>
      </c>
      <c r="G148" s="28" t="n">
        <v>1</v>
      </c>
      <c r="H148" s="33">
        <f>IF(OR(E148="",F148=""),"",ROUND(MOD(F148-E148,1)*24-N(G148),2))</f>
        <v/>
      </c>
      <c r="I148" s="33">
        <f>IF(H148="","",ROUND(MAX(0,H148-8),2))</f>
        <v/>
      </c>
      <c r="J148" s="33">
        <f>IF(OR(E148="",F148=""),"",ROUND(IF(MOD(F148,1)&gt;=TIME(22,0,0),(MOD(F148,1)-TIME(22,0,0))*24,IF(MOD(F148,1)&lt;TIME(6,0,0),(MOD(F148,1)+1-TIME(22,0,0))*24,0)),2))</f>
        <v/>
      </c>
      <c r="K148" s="33">
        <f>IF(H148="","",ROUND(IF(L148="휴일근로",MIN(H148,8)*1.5+MAX(0,H148-8)*2,I148*1.5)+N(J148)*0.5,2))</f>
        <v/>
      </c>
      <c r="L148" s="18" t="inlineStr">
        <is>
          <t>정상</t>
        </is>
      </c>
      <c r="M148" s="18" t="n"/>
      <c r="N148" s="22" t="n"/>
    </row>
    <row r="149">
      <c r="A149" s="19" t="n">
        <v>46178</v>
      </c>
      <c r="B149" s="25">
        <f>IF(A149="","",CHOOSE(WEEKDAY(A149,2),"월","화","수","목","금","토","일"))</f>
        <v/>
      </c>
      <c r="C149" s="18" t="inlineStr">
        <is>
          <t>M001</t>
        </is>
      </c>
      <c r="D149" s="25">
        <f>IFERROR(IF(C149="","",INDEX(직원명부!$B$5:$B$24,MATCH(C149,직원명부!$A$5:$A$24,0))),"사번 확인")</f>
        <v/>
      </c>
      <c r="E149" s="34" t="n">
        <v>0.375</v>
      </c>
      <c r="F149" s="34" t="n">
        <v>0.75</v>
      </c>
      <c r="G149" s="28" t="n">
        <v>1</v>
      </c>
      <c r="H149" s="33">
        <f>IF(OR(E149="",F149=""),"",ROUND(MOD(F149-E149,1)*24-N(G149),2))</f>
        <v/>
      </c>
      <c r="I149" s="33">
        <f>IF(H149="","",ROUND(MAX(0,H149-8),2))</f>
        <v/>
      </c>
      <c r="J149" s="33">
        <f>IF(OR(E149="",F149=""),"",ROUND(IF(MOD(F149,1)&gt;=TIME(22,0,0),(MOD(F149,1)-TIME(22,0,0))*24,IF(MOD(F149,1)&lt;TIME(6,0,0),(MOD(F149,1)+1-TIME(22,0,0))*24,0)),2))</f>
        <v/>
      </c>
      <c r="K149" s="33">
        <f>IF(H149="","",ROUND(IF(L149="휴일근로",MIN(H149,8)*1.5+MAX(0,H149-8)*2,I149*1.5)+N(J149)*0.5,2))</f>
        <v/>
      </c>
      <c r="L149" s="18" t="inlineStr">
        <is>
          <t>정상</t>
        </is>
      </c>
      <c r="M149" s="18" t="n"/>
      <c r="N149" s="22" t="n"/>
    </row>
    <row r="150">
      <c r="A150" s="19" t="n">
        <v>46179</v>
      </c>
      <c r="B150" s="25">
        <f>IF(A150="","",CHOOSE(WEEKDAY(A150,2),"월","화","수","목","금","토","일"))</f>
        <v/>
      </c>
      <c r="C150" s="18" t="inlineStr">
        <is>
          <t>M001</t>
        </is>
      </c>
      <c r="D150" s="25">
        <f>IFERROR(IF(C150="","",INDEX(직원명부!$B$5:$B$24,MATCH(C150,직원명부!$A$5:$A$24,0))),"사번 확인")</f>
        <v/>
      </c>
      <c r="E150" s="34" t="n"/>
      <c r="F150" s="34" t="n"/>
      <c r="G150" s="28" t="n"/>
      <c r="H150" s="33">
        <f>IF(OR(E150="",F150=""),"",ROUND(MOD(F150-E150,1)*24-N(G150),2))</f>
        <v/>
      </c>
      <c r="I150" s="33">
        <f>IF(H150="","",ROUND(MAX(0,H150-8),2))</f>
        <v/>
      </c>
      <c r="J150" s="33">
        <f>IF(OR(E150="",F150=""),"",ROUND(IF(MOD(F150,1)&gt;=TIME(22,0,0),(MOD(F150,1)-TIME(22,0,0))*24,IF(MOD(F150,1)&lt;TIME(6,0,0),(MOD(F150,1)+1-TIME(22,0,0))*24,0)),2))</f>
        <v/>
      </c>
      <c r="K150" s="33">
        <f>IF(H150="","",ROUND(IF(L150="휴일근로",MIN(H150,8)*1.5+MAX(0,H150-8)*2,I150*1.5)+N(J150)*0.5,2))</f>
        <v/>
      </c>
      <c r="L150" s="18" t="n"/>
      <c r="M150" s="18" t="n"/>
      <c r="N150" s="42" t="inlineStr">
        <is>
          <t>현충일</t>
        </is>
      </c>
    </row>
    <row r="151">
      <c r="A151" s="19" t="n">
        <v>46180</v>
      </c>
      <c r="B151" s="25">
        <f>IF(A151="","",CHOOSE(WEEKDAY(A151,2),"월","화","수","목","금","토","일"))</f>
        <v/>
      </c>
      <c r="C151" s="18" t="inlineStr">
        <is>
          <t>M001</t>
        </is>
      </c>
      <c r="D151" s="25">
        <f>IFERROR(IF(C151="","",INDEX(직원명부!$B$5:$B$24,MATCH(C151,직원명부!$A$5:$A$24,0))),"사번 확인")</f>
        <v/>
      </c>
      <c r="E151" s="34" t="n"/>
      <c r="F151" s="34" t="n"/>
      <c r="G151" s="28" t="n"/>
      <c r="H151" s="33">
        <f>IF(OR(E151="",F151=""),"",ROUND(MOD(F151-E151,1)*24-N(G151),2))</f>
        <v/>
      </c>
      <c r="I151" s="33">
        <f>IF(H151="","",ROUND(MAX(0,H151-8),2))</f>
        <v/>
      </c>
      <c r="J151" s="33">
        <f>IF(OR(E151="",F151=""),"",ROUND(IF(MOD(F151,1)&gt;=TIME(22,0,0),(MOD(F151,1)-TIME(22,0,0))*24,IF(MOD(F151,1)&lt;TIME(6,0,0),(MOD(F151,1)+1-TIME(22,0,0))*24,0)),2))</f>
        <v/>
      </c>
      <c r="K151" s="33">
        <f>IF(H151="","",ROUND(IF(L151="휴일근로",MIN(H151,8)*1.5+MAX(0,H151-8)*2,I151*1.5)+N(J151)*0.5,2))</f>
        <v/>
      </c>
      <c r="L151" s="18" t="n"/>
      <c r="M151" s="18" t="n"/>
      <c r="N151" s="42" t="inlineStr">
        <is>
          <t>주말</t>
        </is>
      </c>
    </row>
    <row r="152">
      <c r="A152" s="19" t="n">
        <v>46181</v>
      </c>
      <c r="B152" s="25">
        <f>IF(A152="","",CHOOSE(WEEKDAY(A152,2),"월","화","수","목","금","토","일"))</f>
        <v/>
      </c>
      <c r="C152" s="18" t="inlineStr">
        <is>
          <t>M001</t>
        </is>
      </c>
      <c r="D152" s="25">
        <f>IFERROR(IF(C152="","",INDEX(직원명부!$B$5:$B$24,MATCH(C152,직원명부!$A$5:$A$24,0))),"사번 확인")</f>
        <v/>
      </c>
      <c r="E152" s="34" t="n">
        <v>0.375</v>
      </c>
      <c r="F152" s="34" t="n">
        <v>0.75</v>
      </c>
      <c r="G152" s="28" t="n">
        <v>1</v>
      </c>
      <c r="H152" s="33">
        <f>IF(OR(E152="",F152=""),"",ROUND(MOD(F152-E152,1)*24-N(G152),2))</f>
        <v/>
      </c>
      <c r="I152" s="33">
        <f>IF(H152="","",ROUND(MAX(0,H152-8),2))</f>
        <v/>
      </c>
      <c r="J152" s="33">
        <f>IF(OR(E152="",F152=""),"",ROUND(IF(MOD(F152,1)&gt;=TIME(22,0,0),(MOD(F152,1)-TIME(22,0,0))*24,IF(MOD(F152,1)&lt;TIME(6,0,0),(MOD(F152,1)+1-TIME(22,0,0))*24,0)),2))</f>
        <v/>
      </c>
      <c r="K152" s="33">
        <f>IF(H152="","",ROUND(IF(L152="휴일근로",MIN(H152,8)*1.5+MAX(0,H152-8)*2,I152*1.5)+N(J152)*0.5,2))</f>
        <v/>
      </c>
      <c r="L152" s="18" t="inlineStr">
        <is>
          <t>정상</t>
        </is>
      </c>
      <c r="M152" s="18" t="n"/>
      <c r="N152" s="22" t="n"/>
    </row>
    <row r="153">
      <c r="A153" s="19" t="n">
        <v>46182</v>
      </c>
      <c r="B153" s="25">
        <f>IF(A153="","",CHOOSE(WEEKDAY(A153,2),"월","화","수","목","금","토","일"))</f>
        <v/>
      </c>
      <c r="C153" s="18" t="inlineStr">
        <is>
          <t>M001</t>
        </is>
      </c>
      <c r="D153" s="25">
        <f>IFERROR(IF(C153="","",INDEX(직원명부!$B$5:$B$24,MATCH(C153,직원명부!$A$5:$A$24,0))),"사번 확인")</f>
        <v/>
      </c>
      <c r="E153" s="34" t="n">
        <v>0.375</v>
      </c>
      <c r="F153" s="34" t="n">
        <v>0.75</v>
      </c>
      <c r="G153" s="28" t="n">
        <v>1</v>
      </c>
      <c r="H153" s="33">
        <f>IF(OR(E153="",F153=""),"",ROUND(MOD(F153-E153,1)*24-N(G153),2))</f>
        <v/>
      </c>
      <c r="I153" s="33">
        <f>IF(H153="","",ROUND(MAX(0,H153-8),2))</f>
        <v/>
      </c>
      <c r="J153" s="33">
        <f>IF(OR(E153="",F153=""),"",ROUND(IF(MOD(F153,1)&gt;=TIME(22,0,0),(MOD(F153,1)-TIME(22,0,0))*24,IF(MOD(F153,1)&lt;TIME(6,0,0),(MOD(F153,1)+1-TIME(22,0,0))*24,0)),2))</f>
        <v/>
      </c>
      <c r="K153" s="33">
        <f>IF(H153="","",ROUND(IF(L153="휴일근로",MIN(H153,8)*1.5+MAX(0,H153-8)*2,I153*1.5)+N(J153)*0.5,2))</f>
        <v/>
      </c>
      <c r="L153" s="18" t="inlineStr">
        <is>
          <t>정상</t>
        </is>
      </c>
      <c r="M153" s="18" t="n"/>
      <c r="N153" s="22" t="n"/>
    </row>
    <row r="154">
      <c r="A154" s="19" t="n">
        <v>46183</v>
      </c>
      <c r="B154" s="25">
        <f>IF(A154="","",CHOOSE(WEEKDAY(A154,2),"월","화","수","목","금","토","일"))</f>
        <v/>
      </c>
      <c r="C154" s="18" t="inlineStr">
        <is>
          <t>M001</t>
        </is>
      </c>
      <c r="D154" s="25">
        <f>IFERROR(IF(C154="","",INDEX(직원명부!$B$5:$B$24,MATCH(C154,직원명부!$A$5:$A$24,0))),"사번 확인")</f>
        <v/>
      </c>
      <c r="E154" s="34" t="n">
        <v>0.375</v>
      </c>
      <c r="F154" s="34" t="n">
        <v>0.75</v>
      </c>
      <c r="G154" s="28" t="n">
        <v>1</v>
      </c>
      <c r="H154" s="33">
        <f>IF(OR(E154="",F154=""),"",ROUND(MOD(F154-E154,1)*24-N(G154),2))</f>
        <v/>
      </c>
      <c r="I154" s="33">
        <f>IF(H154="","",ROUND(MAX(0,H154-8),2))</f>
        <v/>
      </c>
      <c r="J154" s="33">
        <f>IF(OR(E154="",F154=""),"",ROUND(IF(MOD(F154,1)&gt;=TIME(22,0,0),(MOD(F154,1)-TIME(22,0,0))*24,IF(MOD(F154,1)&lt;TIME(6,0,0),(MOD(F154,1)+1-TIME(22,0,0))*24,0)),2))</f>
        <v/>
      </c>
      <c r="K154" s="33">
        <f>IF(H154="","",ROUND(IF(L154="휴일근로",MIN(H154,8)*1.5+MAX(0,H154-8)*2,I154*1.5)+N(J154)*0.5,2))</f>
        <v/>
      </c>
      <c r="L154" s="18" t="inlineStr">
        <is>
          <t>정상</t>
        </is>
      </c>
      <c r="M154" s="18" t="n"/>
      <c r="N154" s="22" t="n"/>
    </row>
    <row r="155">
      <c r="A155" s="19" t="n">
        <v>46184</v>
      </c>
      <c r="B155" s="25">
        <f>IF(A155="","",CHOOSE(WEEKDAY(A155,2),"월","화","수","목","금","토","일"))</f>
        <v/>
      </c>
      <c r="C155" s="18" t="inlineStr">
        <is>
          <t>M001</t>
        </is>
      </c>
      <c r="D155" s="25">
        <f>IFERROR(IF(C155="","",INDEX(직원명부!$B$5:$B$24,MATCH(C155,직원명부!$A$5:$A$24,0))),"사번 확인")</f>
        <v/>
      </c>
      <c r="E155" s="34" t="n">
        <v>0.375</v>
      </c>
      <c r="F155" s="34" t="n">
        <v>0.75</v>
      </c>
      <c r="G155" s="28" t="n">
        <v>1</v>
      </c>
      <c r="H155" s="33">
        <f>IF(OR(E155="",F155=""),"",ROUND(MOD(F155-E155,1)*24-N(G155),2))</f>
        <v/>
      </c>
      <c r="I155" s="33">
        <f>IF(H155="","",ROUND(MAX(0,H155-8),2))</f>
        <v/>
      </c>
      <c r="J155" s="33">
        <f>IF(OR(E155="",F155=""),"",ROUND(IF(MOD(F155,1)&gt;=TIME(22,0,0),(MOD(F155,1)-TIME(22,0,0))*24,IF(MOD(F155,1)&lt;TIME(6,0,0),(MOD(F155,1)+1-TIME(22,0,0))*24,0)),2))</f>
        <v/>
      </c>
      <c r="K155" s="33">
        <f>IF(H155="","",ROUND(IF(L155="휴일근로",MIN(H155,8)*1.5+MAX(0,H155-8)*2,I155*1.5)+N(J155)*0.5,2))</f>
        <v/>
      </c>
      <c r="L155" s="18" t="inlineStr">
        <is>
          <t>정상</t>
        </is>
      </c>
      <c r="M155" s="18" t="n"/>
      <c r="N155" s="22" t="n"/>
    </row>
    <row r="156">
      <c r="A156" s="19" t="n">
        <v>46185</v>
      </c>
      <c r="B156" s="25">
        <f>IF(A156="","",CHOOSE(WEEKDAY(A156,2),"월","화","수","목","금","토","일"))</f>
        <v/>
      </c>
      <c r="C156" s="18" t="inlineStr">
        <is>
          <t>M001</t>
        </is>
      </c>
      <c r="D156" s="25">
        <f>IFERROR(IF(C156="","",INDEX(직원명부!$B$5:$B$24,MATCH(C156,직원명부!$A$5:$A$24,0))),"사번 확인")</f>
        <v/>
      </c>
      <c r="E156" s="34" t="n">
        <v>0.375</v>
      </c>
      <c r="F156" s="34" t="n">
        <v>0.75</v>
      </c>
      <c r="G156" s="28" t="n">
        <v>1</v>
      </c>
      <c r="H156" s="33">
        <f>IF(OR(E156="",F156=""),"",ROUND(MOD(F156-E156,1)*24-N(G156),2))</f>
        <v/>
      </c>
      <c r="I156" s="33">
        <f>IF(H156="","",ROUND(MAX(0,H156-8),2))</f>
        <v/>
      </c>
      <c r="J156" s="33">
        <f>IF(OR(E156="",F156=""),"",ROUND(IF(MOD(F156,1)&gt;=TIME(22,0,0),(MOD(F156,1)-TIME(22,0,0))*24,IF(MOD(F156,1)&lt;TIME(6,0,0),(MOD(F156,1)+1-TIME(22,0,0))*24,0)),2))</f>
        <v/>
      </c>
      <c r="K156" s="33">
        <f>IF(H156="","",ROUND(IF(L156="휴일근로",MIN(H156,8)*1.5+MAX(0,H156-8)*2,I156*1.5)+N(J156)*0.5,2))</f>
        <v/>
      </c>
      <c r="L156" s="18" t="inlineStr">
        <is>
          <t>정상</t>
        </is>
      </c>
      <c r="M156" s="18" t="n"/>
      <c r="N156" s="22" t="n"/>
    </row>
    <row r="157">
      <c r="A157" s="19" t="n">
        <v>46186</v>
      </c>
      <c r="B157" s="25">
        <f>IF(A157="","",CHOOSE(WEEKDAY(A157,2),"월","화","수","목","금","토","일"))</f>
        <v/>
      </c>
      <c r="C157" s="18" t="inlineStr">
        <is>
          <t>M001</t>
        </is>
      </c>
      <c r="D157" s="25">
        <f>IFERROR(IF(C157="","",INDEX(직원명부!$B$5:$B$24,MATCH(C157,직원명부!$A$5:$A$24,0))),"사번 확인")</f>
        <v/>
      </c>
      <c r="E157" s="34" t="n"/>
      <c r="F157" s="34" t="n"/>
      <c r="G157" s="28" t="n"/>
      <c r="H157" s="33">
        <f>IF(OR(E157="",F157=""),"",ROUND(MOD(F157-E157,1)*24-N(G157),2))</f>
        <v/>
      </c>
      <c r="I157" s="33">
        <f>IF(H157="","",ROUND(MAX(0,H157-8),2))</f>
        <v/>
      </c>
      <c r="J157" s="33">
        <f>IF(OR(E157="",F157=""),"",ROUND(IF(MOD(F157,1)&gt;=TIME(22,0,0),(MOD(F157,1)-TIME(22,0,0))*24,IF(MOD(F157,1)&lt;TIME(6,0,0),(MOD(F157,1)+1-TIME(22,0,0))*24,0)),2))</f>
        <v/>
      </c>
      <c r="K157" s="33">
        <f>IF(H157="","",ROUND(IF(L157="휴일근로",MIN(H157,8)*1.5+MAX(0,H157-8)*2,I157*1.5)+N(J157)*0.5,2))</f>
        <v/>
      </c>
      <c r="L157" s="18" t="n"/>
      <c r="M157" s="18" t="n"/>
      <c r="N157" s="42" t="inlineStr">
        <is>
          <t>주말</t>
        </is>
      </c>
    </row>
    <row r="158">
      <c r="A158" s="19" t="n">
        <v>46187</v>
      </c>
      <c r="B158" s="25">
        <f>IF(A158="","",CHOOSE(WEEKDAY(A158,2),"월","화","수","목","금","토","일"))</f>
        <v/>
      </c>
      <c r="C158" s="18" t="inlineStr">
        <is>
          <t>M001</t>
        </is>
      </c>
      <c r="D158" s="25">
        <f>IFERROR(IF(C158="","",INDEX(직원명부!$B$5:$B$24,MATCH(C158,직원명부!$A$5:$A$24,0))),"사번 확인")</f>
        <v/>
      </c>
      <c r="E158" s="34" t="n"/>
      <c r="F158" s="34" t="n"/>
      <c r="G158" s="28" t="n"/>
      <c r="H158" s="33">
        <f>IF(OR(E158="",F158=""),"",ROUND(MOD(F158-E158,1)*24-N(G158),2))</f>
        <v/>
      </c>
      <c r="I158" s="33">
        <f>IF(H158="","",ROUND(MAX(0,H158-8),2))</f>
        <v/>
      </c>
      <c r="J158" s="33">
        <f>IF(OR(E158="",F158=""),"",ROUND(IF(MOD(F158,1)&gt;=TIME(22,0,0),(MOD(F158,1)-TIME(22,0,0))*24,IF(MOD(F158,1)&lt;TIME(6,0,0),(MOD(F158,1)+1-TIME(22,0,0))*24,0)),2))</f>
        <v/>
      </c>
      <c r="K158" s="33">
        <f>IF(H158="","",ROUND(IF(L158="휴일근로",MIN(H158,8)*1.5+MAX(0,H158-8)*2,I158*1.5)+N(J158)*0.5,2))</f>
        <v/>
      </c>
      <c r="L158" s="18" t="n"/>
      <c r="M158" s="18" t="n"/>
      <c r="N158" s="42" t="inlineStr">
        <is>
          <t>주말</t>
        </is>
      </c>
    </row>
    <row r="159">
      <c r="A159" s="19" t="n">
        <v>46188</v>
      </c>
      <c r="B159" s="25">
        <f>IF(A159="","",CHOOSE(WEEKDAY(A159,2),"월","화","수","목","금","토","일"))</f>
        <v/>
      </c>
      <c r="C159" s="18" t="inlineStr">
        <is>
          <t>M001</t>
        </is>
      </c>
      <c r="D159" s="25">
        <f>IFERROR(IF(C159="","",INDEX(직원명부!$B$5:$B$24,MATCH(C159,직원명부!$A$5:$A$24,0))),"사번 확인")</f>
        <v/>
      </c>
      <c r="E159" s="34" t="n">
        <v>0.375</v>
      </c>
      <c r="F159" s="34" t="n">
        <v>0.75</v>
      </c>
      <c r="G159" s="28" t="n">
        <v>1</v>
      </c>
      <c r="H159" s="33">
        <f>IF(OR(E159="",F159=""),"",ROUND(MOD(F159-E159,1)*24-N(G159),2))</f>
        <v/>
      </c>
      <c r="I159" s="33">
        <f>IF(H159="","",ROUND(MAX(0,H159-8),2))</f>
        <v/>
      </c>
      <c r="J159" s="33">
        <f>IF(OR(E159="",F159=""),"",ROUND(IF(MOD(F159,1)&gt;=TIME(22,0,0),(MOD(F159,1)-TIME(22,0,0))*24,IF(MOD(F159,1)&lt;TIME(6,0,0),(MOD(F159,1)+1-TIME(22,0,0))*24,0)),2))</f>
        <v/>
      </c>
      <c r="K159" s="33">
        <f>IF(H159="","",ROUND(IF(L159="휴일근로",MIN(H159,8)*1.5+MAX(0,H159-8)*2,I159*1.5)+N(J159)*0.5,2))</f>
        <v/>
      </c>
      <c r="L159" s="18" t="inlineStr">
        <is>
          <t>정상</t>
        </is>
      </c>
      <c r="M159" s="18" t="n"/>
      <c r="N159" s="22" t="n"/>
    </row>
    <row r="160">
      <c r="A160" s="19" t="n">
        <v>46189</v>
      </c>
      <c r="B160" s="25">
        <f>IF(A160="","",CHOOSE(WEEKDAY(A160,2),"월","화","수","목","금","토","일"))</f>
        <v/>
      </c>
      <c r="C160" s="18" t="inlineStr">
        <is>
          <t>M001</t>
        </is>
      </c>
      <c r="D160" s="25">
        <f>IFERROR(IF(C160="","",INDEX(직원명부!$B$5:$B$24,MATCH(C160,직원명부!$A$5:$A$24,0))),"사번 확인")</f>
        <v/>
      </c>
      <c r="E160" s="34" t="n">
        <v>0.375</v>
      </c>
      <c r="F160" s="34" t="n">
        <v>0.75</v>
      </c>
      <c r="G160" s="28" t="n">
        <v>1</v>
      </c>
      <c r="H160" s="33">
        <f>IF(OR(E160="",F160=""),"",ROUND(MOD(F160-E160,1)*24-N(G160),2))</f>
        <v/>
      </c>
      <c r="I160" s="33">
        <f>IF(H160="","",ROUND(MAX(0,H160-8),2))</f>
        <v/>
      </c>
      <c r="J160" s="33">
        <f>IF(OR(E160="",F160=""),"",ROUND(IF(MOD(F160,1)&gt;=TIME(22,0,0),(MOD(F160,1)-TIME(22,0,0))*24,IF(MOD(F160,1)&lt;TIME(6,0,0),(MOD(F160,1)+1-TIME(22,0,0))*24,0)),2))</f>
        <v/>
      </c>
      <c r="K160" s="33">
        <f>IF(H160="","",ROUND(IF(L160="휴일근로",MIN(H160,8)*1.5+MAX(0,H160-8)*2,I160*1.5)+N(J160)*0.5,2))</f>
        <v/>
      </c>
      <c r="L160" s="18" t="inlineStr">
        <is>
          <t>정상</t>
        </is>
      </c>
      <c r="M160" s="18" t="n"/>
      <c r="N160" s="22" t="n"/>
    </row>
    <row r="161">
      <c r="A161" s="19" t="n">
        <v>46190</v>
      </c>
      <c r="B161" s="25">
        <f>IF(A161="","",CHOOSE(WEEKDAY(A161,2),"월","화","수","목","금","토","일"))</f>
        <v/>
      </c>
      <c r="C161" s="18" t="inlineStr">
        <is>
          <t>M001</t>
        </is>
      </c>
      <c r="D161" s="25">
        <f>IFERROR(IF(C161="","",INDEX(직원명부!$B$5:$B$24,MATCH(C161,직원명부!$A$5:$A$24,0))),"사번 확인")</f>
        <v/>
      </c>
      <c r="E161" s="34" t="n">
        <v>0.375</v>
      </c>
      <c r="F161" s="34" t="n">
        <v>0.75</v>
      </c>
      <c r="G161" s="28" t="n">
        <v>1</v>
      </c>
      <c r="H161" s="33">
        <f>IF(OR(E161="",F161=""),"",ROUND(MOD(F161-E161,1)*24-N(G161),2))</f>
        <v/>
      </c>
      <c r="I161" s="33">
        <f>IF(H161="","",ROUND(MAX(0,H161-8),2))</f>
        <v/>
      </c>
      <c r="J161" s="33">
        <f>IF(OR(E161="",F161=""),"",ROUND(IF(MOD(F161,1)&gt;=TIME(22,0,0),(MOD(F161,1)-TIME(22,0,0))*24,IF(MOD(F161,1)&lt;TIME(6,0,0),(MOD(F161,1)+1-TIME(22,0,0))*24,0)),2))</f>
        <v/>
      </c>
      <c r="K161" s="33">
        <f>IF(H161="","",ROUND(IF(L161="휴일근로",MIN(H161,8)*1.5+MAX(0,H161-8)*2,I161*1.5)+N(J161)*0.5,2))</f>
        <v/>
      </c>
      <c r="L161" s="18" t="inlineStr">
        <is>
          <t>정상</t>
        </is>
      </c>
      <c r="M161" s="18" t="n"/>
      <c r="N161" s="22" t="n"/>
    </row>
    <row r="162">
      <c r="A162" s="19" t="n">
        <v>46191</v>
      </c>
      <c r="B162" s="25">
        <f>IF(A162="","",CHOOSE(WEEKDAY(A162,2),"월","화","수","목","금","토","일"))</f>
        <v/>
      </c>
      <c r="C162" s="18" t="inlineStr">
        <is>
          <t>M001</t>
        </is>
      </c>
      <c r="D162" s="25">
        <f>IFERROR(IF(C162="","",INDEX(직원명부!$B$5:$B$24,MATCH(C162,직원명부!$A$5:$A$24,0))),"사번 확인")</f>
        <v/>
      </c>
      <c r="E162" s="34" t="n">
        <v>0.375</v>
      </c>
      <c r="F162" s="34" t="n">
        <v>0.75</v>
      </c>
      <c r="G162" s="28" t="n">
        <v>1</v>
      </c>
      <c r="H162" s="33">
        <f>IF(OR(E162="",F162=""),"",ROUND(MOD(F162-E162,1)*24-N(G162),2))</f>
        <v/>
      </c>
      <c r="I162" s="33">
        <f>IF(H162="","",ROUND(MAX(0,H162-8),2))</f>
        <v/>
      </c>
      <c r="J162" s="33">
        <f>IF(OR(E162="",F162=""),"",ROUND(IF(MOD(F162,1)&gt;=TIME(22,0,0),(MOD(F162,1)-TIME(22,0,0))*24,IF(MOD(F162,1)&lt;TIME(6,0,0),(MOD(F162,1)+1-TIME(22,0,0))*24,0)),2))</f>
        <v/>
      </c>
      <c r="K162" s="33">
        <f>IF(H162="","",ROUND(IF(L162="휴일근로",MIN(H162,8)*1.5+MAX(0,H162-8)*2,I162*1.5)+N(J162)*0.5,2))</f>
        <v/>
      </c>
      <c r="L162" s="18" t="inlineStr">
        <is>
          <t>정상</t>
        </is>
      </c>
      <c r="M162" s="18" t="n"/>
      <c r="N162" s="22" t="n"/>
    </row>
    <row r="163">
      <c r="A163" s="19" t="n">
        <v>46192</v>
      </c>
      <c r="B163" s="25">
        <f>IF(A163="","",CHOOSE(WEEKDAY(A163,2),"월","화","수","목","금","토","일"))</f>
        <v/>
      </c>
      <c r="C163" s="18" t="inlineStr">
        <is>
          <t>M001</t>
        </is>
      </c>
      <c r="D163" s="25">
        <f>IFERROR(IF(C163="","",INDEX(직원명부!$B$5:$B$24,MATCH(C163,직원명부!$A$5:$A$24,0))),"사번 확인")</f>
        <v/>
      </c>
      <c r="E163" s="34" t="n">
        <v>0.375</v>
      </c>
      <c r="F163" s="34" t="n">
        <v>0.75</v>
      </c>
      <c r="G163" s="28" t="n">
        <v>1</v>
      </c>
      <c r="H163" s="33">
        <f>IF(OR(E163="",F163=""),"",ROUND(MOD(F163-E163,1)*24-N(G163),2))</f>
        <v/>
      </c>
      <c r="I163" s="33">
        <f>IF(H163="","",ROUND(MAX(0,H163-8),2))</f>
        <v/>
      </c>
      <c r="J163" s="33">
        <f>IF(OR(E163="",F163=""),"",ROUND(IF(MOD(F163,1)&gt;=TIME(22,0,0),(MOD(F163,1)-TIME(22,0,0))*24,IF(MOD(F163,1)&lt;TIME(6,0,0),(MOD(F163,1)+1-TIME(22,0,0))*24,0)),2))</f>
        <v/>
      </c>
      <c r="K163" s="33">
        <f>IF(H163="","",ROUND(IF(L163="휴일근로",MIN(H163,8)*1.5+MAX(0,H163-8)*2,I163*1.5)+N(J163)*0.5,2))</f>
        <v/>
      </c>
      <c r="L163" s="18" t="inlineStr">
        <is>
          <t>정상</t>
        </is>
      </c>
      <c r="M163" s="18" t="n"/>
      <c r="N163" s="22" t="n"/>
    </row>
    <row r="164">
      <c r="A164" s="19" t="n">
        <v>46193</v>
      </c>
      <c r="B164" s="25">
        <f>IF(A164="","",CHOOSE(WEEKDAY(A164,2),"월","화","수","목","금","토","일"))</f>
        <v/>
      </c>
      <c r="C164" s="18" t="inlineStr">
        <is>
          <t>M001</t>
        </is>
      </c>
      <c r="D164" s="25">
        <f>IFERROR(IF(C164="","",INDEX(직원명부!$B$5:$B$24,MATCH(C164,직원명부!$A$5:$A$24,0))),"사번 확인")</f>
        <v/>
      </c>
      <c r="E164" s="34" t="n"/>
      <c r="F164" s="34" t="n"/>
      <c r="G164" s="28" t="n"/>
      <c r="H164" s="33">
        <f>IF(OR(E164="",F164=""),"",ROUND(MOD(F164-E164,1)*24-N(G164),2))</f>
        <v/>
      </c>
      <c r="I164" s="33">
        <f>IF(H164="","",ROUND(MAX(0,H164-8),2))</f>
        <v/>
      </c>
      <c r="J164" s="33">
        <f>IF(OR(E164="",F164=""),"",ROUND(IF(MOD(F164,1)&gt;=TIME(22,0,0),(MOD(F164,1)-TIME(22,0,0))*24,IF(MOD(F164,1)&lt;TIME(6,0,0),(MOD(F164,1)+1-TIME(22,0,0))*24,0)),2))</f>
        <v/>
      </c>
      <c r="K164" s="33">
        <f>IF(H164="","",ROUND(IF(L164="휴일근로",MIN(H164,8)*1.5+MAX(0,H164-8)*2,I164*1.5)+N(J164)*0.5,2))</f>
        <v/>
      </c>
      <c r="L164" s="18" t="n"/>
      <c r="M164" s="18" t="n"/>
      <c r="N164" s="42" t="inlineStr">
        <is>
          <t>주말</t>
        </is>
      </c>
    </row>
    <row r="165">
      <c r="A165" s="19" t="n">
        <v>46194</v>
      </c>
      <c r="B165" s="25">
        <f>IF(A165="","",CHOOSE(WEEKDAY(A165,2),"월","화","수","목","금","토","일"))</f>
        <v/>
      </c>
      <c r="C165" s="18" t="inlineStr">
        <is>
          <t>M001</t>
        </is>
      </c>
      <c r="D165" s="25">
        <f>IFERROR(IF(C165="","",INDEX(직원명부!$B$5:$B$24,MATCH(C165,직원명부!$A$5:$A$24,0))),"사번 확인")</f>
        <v/>
      </c>
      <c r="E165" s="34" t="n"/>
      <c r="F165" s="34" t="n"/>
      <c r="G165" s="28" t="n"/>
      <c r="H165" s="33">
        <f>IF(OR(E165="",F165=""),"",ROUND(MOD(F165-E165,1)*24-N(G165),2))</f>
        <v/>
      </c>
      <c r="I165" s="33">
        <f>IF(H165="","",ROUND(MAX(0,H165-8),2))</f>
        <v/>
      </c>
      <c r="J165" s="33">
        <f>IF(OR(E165="",F165=""),"",ROUND(IF(MOD(F165,1)&gt;=TIME(22,0,0),(MOD(F165,1)-TIME(22,0,0))*24,IF(MOD(F165,1)&lt;TIME(6,0,0),(MOD(F165,1)+1-TIME(22,0,0))*24,0)),2))</f>
        <v/>
      </c>
      <c r="K165" s="33">
        <f>IF(H165="","",ROUND(IF(L165="휴일근로",MIN(H165,8)*1.5+MAX(0,H165-8)*2,I165*1.5)+N(J165)*0.5,2))</f>
        <v/>
      </c>
      <c r="L165" s="18" t="n"/>
      <c r="M165" s="18" t="n"/>
      <c r="N165" s="42" t="inlineStr">
        <is>
          <t>주말</t>
        </is>
      </c>
    </row>
    <row r="166">
      <c r="A166" s="19" t="n">
        <v>46195</v>
      </c>
      <c r="B166" s="25">
        <f>IF(A166="","",CHOOSE(WEEKDAY(A166,2),"월","화","수","목","금","토","일"))</f>
        <v/>
      </c>
      <c r="C166" s="18" t="inlineStr">
        <is>
          <t>M001</t>
        </is>
      </c>
      <c r="D166" s="25">
        <f>IFERROR(IF(C166="","",INDEX(직원명부!$B$5:$B$24,MATCH(C166,직원명부!$A$5:$A$24,0))),"사번 확인")</f>
        <v/>
      </c>
      <c r="E166" s="34" t="n">
        <v>0.375</v>
      </c>
      <c r="F166" s="34" t="n">
        <v>0.75</v>
      </c>
      <c r="G166" s="28" t="n">
        <v>1</v>
      </c>
      <c r="H166" s="33">
        <f>IF(OR(E166="",F166=""),"",ROUND(MOD(F166-E166,1)*24-N(G166),2))</f>
        <v/>
      </c>
      <c r="I166" s="33">
        <f>IF(H166="","",ROUND(MAX(0,H166-8),2))</f>
        <v/>
      </c>
      <c r="J166" s="33">
        <f>IF(OR(E166="",F166=""),"",ROUND(IF(MOD(F166,1)&gt;=TIME(22,0,0),(MOD(F166,1)-TIME(22,0,0))*24,IF(MOD(F166,1)&lt;TIME(6,0,0),(MOD(F166,1)+1-TIME(22,0,0))*24,0)),2))</f>
        <v/>
      </c>
      <c r="K166" s="33">
        <f>IF(H166="","",ROUND(IF(L166="휴일근로",MIN(H166,8)*1.5+MAX(0,H166-8)*2,I166*1.5)+N(J166)*0.5,2))</f>
        <v/>
      </c>
      <c r="L166" s="18" t="inlineStr">
        <is>
          <t>정상</t>
        </is>
      </c>
      <c r="M166" s="18" t="n"/>
      <c r="N166" s="22" t="n"/>
    </row>
    <row r="167">
      <c r="A167" s="19" t="n">
        <v>46196</v>
      </c>
      <c r="B167" s="25">
        <f>IF(A167="","",CHOOSE(WEEKDAY(A167,2),"월","화","수","목","금","토","일"))</f>
        <v/>
      </c>
      <c r="C167" s="18" t="inlineStr">
        <is>
          <t>M001</t>
        </is>
      </c>
      <c r="D167" s="25">
        <f>IFERROR(IF(C167="","",INDEX(직원명부!$B$5:$B$24,MATCH(C167,직원명부!$A$5:$A$24,0))),"사번 확인")</f>
        <v/>
      </c>
      <c r="E167" s="34" t="n">
        <v>0.375</v>
      </c>
      <c r="F167" s="34" t="n">
        <v>0.75</v>
      </c>
      <c r="G167" s="28" t="n">
        <v>1</v>
      </c>
      <c r="H167" s="33">
        <f>IF(OR(E167="",F167=""),"",ROUND(MOD(F167-E167,1)*24-N(G167),2))</f>
        <v/>
      </c>
      <c r="I167" s="33">
        <f>IF(H167="","",ROUND(MAX(0,H167-8),2))</f>
        <v/>
      </c>
      <c r="J167" s="33">
        <f>IF(OR(E167="",F167=""),"",ROUND(IF(MOD(F167,1)&gt;=TIME(22,0,0),(MOD(F167,1)-TIME(22,0,0))*24,IF(MOD(F167,1)&lt;TIME(6,0,0),(MOD(F167,1)+1-TIME(22,0,0))*24,0)),2))</f>
        <v/>
      </c>
      <c r="K167" s="33">
        <f>IF(H167="","",ROUND(IF(L167="휴일근로",MIN(H167,8)*1.5+MAX(0,H167-8)*2,I167*1.5)+N(J167)*0.5,2))</f>
        <v/>
      </c>
      <c r="L167" s="18" t="inlineStr">
        <is>
          <t>정상</t>
        </is>
      </c>
      <c r="M167" s="18" t="n"/>
      <c r="N167" s="22" t="n"/>
    </row>
    <row r="168">
      <c r="A168" s="19" t="n">
        <v>46197</v>
      </c>
      <c r="B168" s="25">
        <f>IF(A168="","",CHOOSE(WEEKDAY(A168,2),"월","화","수","목","금","토","일"))</f>
        <v/>
      </c>
      <c r="C168" s="18" t="inlineStr">
        <is>
          <t>M001</t>
        </is>
      </c>
      <c r="D168" s="25">
        <f>IFERROR(IF(C168="","",INDEX(직원명부!$B$5:$B$24,MATCH(C168,직원명부!$A$5:$A$24,0))),"사번 확인")</f>
        <v/>
      </c>
      <c r="E168" s="34" t="n">
        <v>0.375</v>
      </c>
      <c r="F168" s="34" t="n">
        <v>0.75</v>
      </c>
      <c r="G168" s="28" t="n">
        <v>1</v>
      </c>
      <c r="H168" s="33">
        <f>IF(OR(E168="",F168=""),"",ROUND(MOD(F168-E168,1)*24-N(G168),2))</f>
        <v/>
      </c>
      <c r="I168" s="33">
        <f>IF(H168="","",ROUND(MAX(0,H168-8),2))</f>
        <v/>
      </c>
      <c r="J168" s="33">
        <f>IF(OR(E168="",F168=""),"",ROUND(IF(MOD(F168,1)&gt;=TIME(22,0,0),(MOD(F168,1)-TIME(22,0,0))*24,IF(MOD(F168,1)&lt;TIME(6,0,0),(MOD(F168,1)+1-TIME(22,0,0))*24,0)),2))</f>
        <v/>
      </c>
      <c r="K168" s="33">
        <f>IF(H168="","",ROUND(IF(L168="휴일근로",MIN(H168,8)*1.5+MAX(0,H168-8)*2,I168*1.5)+N(J168)*0.5,2))</f>
        <v/>
      </c>
      <c r="L168" s="18" t="inlineStr">
        <is>
          <t>정상</t>
        </is>
      </c>
      <c r="M168" s="18" t="n"/>
      <c r="N168" s="22" t="n"/>
    </row>
    <row r="169">
      <c r="A169" s="19" t="n">
        <v>46198</v>
      </c>
      <c r="B169" s="25">
        <f>IF(A169="","",CHOOSE(WEEKDAY(A169,2),"월","화","수","목","금","토","일"))</f>
        <v/>
      </c>
      <c r="C169" s="18" t="inlineStr">
        <is>
          <t>M001</t>
        </is>
      </c>
      <c r="D169" s="25">
        <f>IFERROR(IF(C169="","",INDEX(직원명부!$B$5:$B$24,MATCH(C169,직원명부!$A$5:$A$24,0))),"사번 확인")</f>
        <v/>
      </c>
      <c r="E169" s="34" t="n">
        <v>0.375</v>
      </c>
      <c r="F169" s="34" t="n">
        <v>0.75</v>
      </c>
      <c r="G169" s="28" t="n">
        <v>1</v>
      </c>
      <c r="H169" s="33">
        <f>IF(OR(E169="",F169=""),"",ROUND(MOD(F169-E169,1)*24-N(G169),2))</f>
        <v/>
      </c>
      <c r="I169" s="33">
        <f>IF(H169="","",ROUND(MAX(0,H169-8),2))</f>
        <v/>
      </c>
      <c r="J169" s="33">
        <f>IF(OR(E169="",F169=""),"",ROUND(IF(MOD(F169,1)&gt;=TIME(22,0,0),(MOD(F169,1)-TIME(22,0,0))*24,IF(MOD(F169,1)&lt;TIME(6,0,0),(MOD(F169,1)+1-TIME(22,0,0))*24,0)),2))</f>
        <v/>
      </c>
      <c r="K169" s="33">
        <f>IF(H169="","",ROUND(IF(L169="휴일근로",MIN(H169,8)*1.5+MAX(0,H169-8)*2,I169*1.5)+N(J169)*0.5,2))</f>
        <v/>
      </c>
      <c r="L169" s="18" t="inlineStr">
        <is>
          <t>정상</t>
        </is>
      </c>
      <c r="M169" s="18" t="n"/>
      <c r="N169" s="22" t="n"/>
    </row>
    <row r="170">
      <c r="A170" s="19" t="n">
        <v>46199</v>
      </c>
      <c r="B170" s="25">
        <f>IF(A170="","",CHOOSE(WEEKDAY(A170,2),"월","화","수","목","금","토","일"))</f>
        <v/>
      </c>
      <c r="C170" s="18" t="inlineStr">
        <is>
          <t>M001</t>
        </is>
      </c>
      <c r="D170" s="25">
        <f>IFERROR(IF(C170="","",INDEX(직원명부!$B$5:$B$24,MATCH(C170,직원명부!$A$5:$A$24,0))),"사번 확인")</f>
        <v/>
      </c>
      <c r="E170" s="34" t="n">
        <v>0.375</v>
      </c>
      <c r="F170" s="34" t="n">
        <v>0.75</v>
      </c>
      <c r="G170" s="28" t="n">
        <v>1</v>
      </c>
      <c r="H170" s="33">
        <f>IF(OR(E170="",F170=""),"",ROUND(MOD(F170-E170,1)*24-N(G170),2))</f>
        <v/>
      </c>
      <c r="I170" s="33">
        <f>IF(H170="","",ROUND(MAX(0,H170-8),2))</f>
        <v/>
      </c>
      <c r="J170" s="33">
        <f>IF(OR(E170="",F170=""),"",ROUND(IF(MOD(F170,1)&gt;=TIME(22,0,0),(MOD(F170,1)-TIME(22,0,0))*24,IF(MOD(F170,1)&lt;TIME(6,0,0),(MOD(F170,1)+1-TIME(22,0,0))*24,0)),2))</f>
        <v/>
      </c>
      <c r="K170" s="33">
        <f>IF(H170="","",ROUND(IF(L170="휴일근로",MIN(H170,8)*1.5+MAX(0,H170-8)*2,I170*1.5)+N(J170)*0.5,2))</f>
        <v/>
      </c>
      <c r="L170" s="18" t="inlineStr">
        <is>
          <t>정상</t>
        </is>
      </c>
      <c r="M170" s="18" t="n"/>
      <c r="N170" s="22" t="n"/>
    </row>
    <row r="171">
      <c r="A171" s="19" t="n">
        <v>46200</v>
      </c>
      <c r="B171" s="25">
        <f>IF(A171="","",CHOOSE(WEEKDAY(A171,2),"월","화","수","목","금","토","일"))</f>
        <v/>
      </c>
      <c r="C171" s="18" t="inlineStr">
        <is>
          <t>M001</t>
        </is>
      </c>
      <c r="D171" s="25">
        <f>IFERROR(IF(C171="","",INDEX(직원명부!$B$5:$B$24,MATCH(C171,직원명부!$A$5:$A$24,0))),"사번 확인")</f>
        <v/>
      </c>
      <c r="E171" s="34" t="n"/>
      <c r="F171" s="34" t="n"/>
      <c r="G171" s="28" t="n"/>
      <c r="H171" s="33">
        <f>IF(OR(E171="",F171=""),"",ROUND(MOD(F171-E171,1)*24-N(G171),2))</f>
        <v/>
      </c>
      <c r="I171" s="33">
        <f>IF(H171="","",ROUND(MAX(0,H171-8),2))</f>
        <v/>
      </c>
      <c r="J171" s="33">
        <f>IF(OR(E171="",F171=""),"",ROUND(IF(MOD(F171,1)&gt;=TIME(22,0,0),(MOD(F171,1)-TIME(22,0,0))*24,IF(MOD(F171,1)&lt;TIME(6,0,0),(MOD(F171,1)+1-TIME(22,0,0))*24,0)),2))</f>
        <v/>
      </c>
      <c r="K171" s="33">
        <f>IF(H171="","",ROUND(IF(L171="휴일근로",MIN(H171,8)*1.5+MAX(0,H171-8)*2,I171*1.5)+N(J171)*0.5,2))</f>
        <v/>
      </c>
      <c r="L171" s="18" t="n"/>
      <c r="M171" s="18" t="n"/>
      <c r="N171" s="42" t="inlineStr">
        <is>
          <t>주말</t>
        </is>
      </c>
    </row>
    <row r="172">
      <c r="A172" s="19" t="n">
        <v>46201</v>
      </c>
      <c r="B172" s="25">
        <f>IF(A172="","",CHOOSE(WEEKDAY(A172,2),"월","화","수","목","금","토","일"))</f>
        <v/>
      </c>
      <c r="C172" s="18" t="inlineStr">
        <is>
          <t>M001</t>
        </is>
      </c>
      <c r="D172" s="25">
        <f>IFERROR(IF(C172="","",INDEX(직원명부!$B$5:$B$24,MATCH(C172,직원명부!$A$5:$A$24,0))),"사번 확인")</f>
        <v/>
      </c>
      <c r="E172" s="34" t="n"/>
      <c r="F172" s="34" t="n"/>
      <c r="G172" s="28" t="n"/>
      <c r="H172" s="33">
        <f>IF(OR(E172="",F172=""),"",ROUND(MOD(F172-E172,1)*24-N(G172),2))</f>
        <v/>
      </c>
      <c r="I172" s="33">
        <f>IF(H172="","",ROUND(MAX(0,H172-8),2))</f>
        <v/>
      </c>
      <c r="J172" s="33">
        <f>IF(OR(E172="",F172=""),"",ROUND(IF(MOD(F172,1)&gt;=TIME(22,0,0),(MOD(F172,1)-TIME(22,0,0))*24,IF(MOD(F172,1)&lt;TIME(6,0,0),(MOD(F172,1)+1-TIME(22,0,0))*24,0)),2))</f>
        <v/>
      </c>
      <c r="K172" s="33">
        <f>IF(H172="","",ROUND(IF(L172="휴일근로",MIN(H172,8)*1.5+MAX(0,H172-8)*2,I172*1.5)+N(J172)*0.5,2))</f>
        <v/>
      </c>
      <c r="L172" s="18" t="n"/>
      <c r="M172" s="18" t="n"/>
      <c r="N172" s="42" t="inlineStr">
        <is>
          <t>주말</t>
        </is>
      </c>
    </row>
    <row r="173">
      <c r="A173" s="19" t="n">
        <v>46202</v>
      </c>
      <c r="B173" s="25">
        <f>IF(A173="","",CHOOSE(WEEKDAY(A173,2),"월","화","수","목","금","토","일"))</f>
        <v/>
      </c>
      <c r="C173" s="18" t="inlineStr">
        <is>
          <t>M001</t>
        </is>
      </c>
      <c r="D173" s="25">
        <f>IFERROR(IF(C173="","",INDEX(직원명부!$B$5:$B$24,MATCH(C173,직원명부!$A$5:$A$24,0))),"사번 확인")</f>
        <v/>
      </c>
      <c r="E173" s="34" t="n">
        <v>0.375</v>
      </c>
      <c r="F173" s="34" t="n">
        <v>0.75</v>
      </c>
      <c r="G173" s="28" t="n">
        <v>1</v>
      </c>
      <c r="H173" s="33">
        <f>IF(OR(E173="",F173=""),"",ROUND(MOD(F173-E173,1)*24-N(G173),2))</f>
        <v/>
      </c>
      <c r="I173" s="33">
        <f>IF(H173="","",ROUND(MAX(0,H173-8),2))</f>
        <v/>
      </c>
      <c r="J173" s="33">
        <f>IF(OR(E173="",F173=""),"",ROUND(IF(MOD(F173,1)&gt;=TIME(22,0,0),(MOD(F173,1)-TIME(22,0,0))*24,IF(MOD(F173,1)&lt;TIME(6,0,0),(MOD(F173,1)+1-TIME(22,0,0))*24,0)),2))</f>
        <v/>
      </c>
      <c r="K173" s="33">
        <f>IF(H173="","",ROUND(IF(L173="휴일근로",MIN(H173,8)*1.5+MAX(0,H173-8)*2,I173*1.5)+N(J173)*0.5,2))</f>
        <v/>
      </c>
      <c r="L173" s="18" t="inlineStr">
        <is>
          <t>정상</t>
        </is>
      </c>
      <c r="M173" s="18" t="n"/>
      <c r="N173" s="22" t="n"/>
    </row>
    <row r="174">
      <c r="A174" s="19" t="n">
        <v>46203</v>
      </c>
      <c r="B174" s="25">
        <f>IF(A174="","",CHOOSE(WEEKDAY(A174,2),"월","화","수","목","금","토","일"))</f>
        <v/>
      </c>
      <c r="C174" s="18" t="inlineStr">
        <is>
          <t>M001</t>
        </is>
      </c>
      <c r="D174" s="25">
        <f>IFERROR(IF(C174="","",INDEX(직원명부!$B$5:$B$24,MATCH(C174,직원명부!$A$5:$A$24,0))),"사번 확인")</f>
        <v/>
      </c>
      <c r="E174" s="34" t="n">
        <v>0.375</v>
      </c>
      <c r="F174" s="34" t="n">
        <v>0.75</v>
      </c>
      <c r="G174" s="28" t="n">
        <v>1</v>
      </c>
      <c r="H174" s="33">
        <f>IF(OR(E174="",F174=""),"",ROUND(MOD(F174-E174,1)*24-N(G174),2))</f>
        <v/>
      </c>
      <c r="I174" s="33">
        <f>IF(H174="","",ROUND(MAX(0,H174-8),2))</f>
        <v/>
      </c>
      <c r="J174" s="33">
        <f>IF(OR(E174="",F174=""),"",ROUND(IF(MOD(F174,1)&gt;=TIME(22,0,0),(MOD(F174,1)-TIME(22,0,0))*24,IF(MOD(F174,1)&lt;TIME(6,0,0),(MOD(F174,1)+1-TIME(22,0,0))*24,0)),2))</f>
        <v/>
      </c>
      <c r="K174" s="33">
        <f>IF(H174="","",ROUND(IF(L174="휴일근로",MIN(H174,8)*1.5+MAX(0,H174-8)*2,I174*1.5)+N(J174)*0.5,2))</f>
        <v/>
      </c>
      <c r="L174" s="18" t="inlineStr">
        <is>
          <t>정상</t>
        </is>
      </c>
      <c r="M174" s="18" t="n"/>
      <c r="N174" s="22" t="n"/>
    </row>
    <row r="175">
      <c r="A175" s="19" t="n">
        <v>46204</v>
      </c>
      <c r="B175" s="25">
        <f>IF(A175="","",CHOOSE(WEEKDAY(A175,2),"월","화","수","목","금","토","일"))</f>
        <v/>
      </c>
      <c r="C175" s="18" t="inlineStr">
        <is>
          <t>M001</t>
        </is>
      </c>
      <c r="D175" s="25">
        <f>IFERROR(IF(C175="","",INDEX(직원명부!$B$5:$B$24,MATCH(C175,직원명부!$A$5:$A$24,0))),"사번 확인")</f>
        <v/>
      </c>
      <c r="E175" s="34" t="n">
        <v>0.375</v>
      </c>
      <c r="F175" s="34" t="n">
        <v>0.75</v>
      </c>
      <c r="G175" s="28" t="n">
        <v>1</v>
      </c>
      <c r="H175" s="33">
        <f>IF(OR(E175="",F175=""),"",ROUND(MOD(F175-E175,1)*24-N(G175),2))</f>
        <v/>
      </c>
      <c r="I175" s="33">
        <f>IF(H175="","",ROUND(MAX(0,H175-8),2))</f>
        <v/>
      </c>
      <c r="J175" s="33">
        <f>IF(OR(E175="",F175=""),"",ROUND(IF(MOD(F175,1)&gt;=TIME(22,0,0),(MOD(F175,1)-TIME(22,0,0))*24,IF(MOD(F175,1)&lt;TIME(6,0,0),(MOD(F175,1)+1-TIME(22,0,0))*24,0)),2))</f>
        <v/>
      </c>
      <c r="K175" s="33">
        <f>IF(H175="","",ROUND(IF(L175="휴일근로",MIN(H175,8)*1.5+MAX(0,H175-8)*2,I175*1.5)+N(J175)*0.5,2))</f>
        <v/>
      </c>
      <c r="L175" s="18" t="inlineStr">
        <is>
          <t>정상</t>
        </is>
      </c>
      <c r="M175" s="18" t="n"/>
      <c r="N175" s="22" t="n"/>
    </row>
    <row r="176">
      <c r="A176" s="19" t="n">
        <v>46205</v>
      </c>
      <c r="B176" s="25">
        <f>IF(A176="","",CHOOSE(WEEKDAY(A176,2),"월","화","수","목","금","토","일"))</f>
        <v/>
      </c>
      <c r="C176" s="18" t="inlineStr">
        <is>
          <t>M001</t>
        </is>
      </c>
      <c r="D176" s="25">
        <f>IFERROR(IF(C176="","",INDEX(직원명부!$B$5:$B$24,MATCH(C176,직원명부!$A$5:$A$24,0))),"사번 확인")</f>
        <v/>
      </c>
      <c r="E176" s="34" t="n">
        <v>0.375</v>
      </c>
      <c r="F176" s="34" t="n">
        <v>0.75</v>
      </c>
      <c r="G176" s="28" t="n">
        <v>1</v>
      </c>
      <c r="H176" s="33">
        <f>IF(OR(E176="",F176=""),"",ROUND(MOD(F176-E176,1)*24-N(G176),2))</f>
        <v/>
      </c>
      <c r="I176" s="33">
        <f>IF(H176="","",ROUND(MAX(0,H176-8),2))</f>
        <v/>
      </c>
      <c r="J176" s="33">
        <f>IF(OR(E176="",F176=""),"",ROUND(IF(MOD(F176,1)&gt;=TIME(22,0,0),(MOD(F176,1)-TIME(22,0,0))*24,IF(MOD(F176,1)&lt;TIME(6,0,0),(MOD(F176,1)+1-TIME(22,0,0))*24,0)),2))</f>
        <v/>
      </c>
      <c r="K176" s="33">
        <f>IF(H176="","",ROUND(IF(L176="휴일근로",MIN(H176,8)*1.5+MAX(0,H176-8)*2,I176*1.5)+N(J176)*0.5,2))</f>
        <v/>
      </c>
      <c r="L176" s="18" t="inlineStr">
        <is>
          <t>정상</t>
        </is>
      </c>
      <c r="M176" s="18" t="n"/>
      <c r="N176" s="22" t="n"/>
    </row>
    <row r="177">
      <c r="A177" s="19" t="n">
        <v>46206</v>
      </c>
      <c r="B177" s="25">
        <f>IF(A177="","",CHOOSE(WEEKDAY(A177,2),"월","화","수","목","금","토","일"))</f>
        <v/>
      </c>
      <c r="C177" s="18" t="inlineStr">
        <is>
          <t>M001</t>
        </is>
      </c>
      <c r="D177" s="25">
        <f>IFERROR(IF(C177="","",INDEX(직원명부!$B$5:$B$24,MATCH(C177,직원명부!$A$5:$A$24,0))),"사번 확인")</f>
        <v/>
      </c>
      <c r="E177" s="34" t="n">
        <v>0.375</v>
      </c>
      <c r="F177" s="34" t="n">
        <v>0.75</v>
      </c>
      <c r="G177" s="28" t="n">
        <v>1</v>
      </c>
      <c r="H177" s="33">
        <f>IF(OR(E177="",F177=""),"",ROUND(MOD(F177-E177,1)*24-N(G177),2))</f>
        <v/>
      </c>
      <c r="I177" s="33">
        <f>IF(H177="","",ROUND(MAX(0,H177-8),2))</f>
        <v/>
      </c>
      <c r="J177" s="33">
        <f>IF(OR(E177="",F177=""),"",ROUND(IF(MOD(F177,1)&gt;=TIME(22,0,0),(MOD(F177,1)-TIME(22,0,0))*24,IF(MOD(F177,1)&lt;TIME(6,0,0),(MOD(F177,1)+1-TIME(22,0,0))*24,0)),2))</f>
        <v/>
      </c>
      <c r="K177" s="33">
        <f>IF(H177="","",ROUND(IF(L177="휴일근로",MIN(H177,8)*1.5+MAX(0,H177-8)*2,I177*1.5)+N(J177)*0.5,2))</f>
        <v/>
      </c>
      <c r="L177" s="18" t="inlineStr">
        <is>
          <t>정상</t>
        </is>
      </c>
      <c r="M177" s="18" t="n"/>
      <c r="N177" s="22" t="n"/>
    </row>
    <row r="178">
      <c r="A178" s="19" t="n">
        <v>46207</v>
      </c>
      <c r="B178" s="25">
        <f>IF(A178="","",CHOOSE(WEEKDAY(A178,2),"월","화","수","목","금","토","일"))</f>
        <v/>
      </c>
      <c r="C178" s="18" t="inlineStr">
        <is>
          <t>M001</t>
        </is>
      </c>
      <c r="D178" s="25">
        <f>IFERROR(IF(C178="","",INDEX(직원명부!$B$5:$B$24,MATCH(C178,직원명부!$A$5:$A$24,0))),"사번 확인")</f>
        <v/>
      </c>
      <c r="E178" s="34" t="n"/>
      <c r="F178" s="34" t="n"/>
      <c r="G178" s="28" t="n"/>
      <c r="H178" s="33">
        <f>IF(OR(E178="",F178=""),"",ROUND(MOD(F178-E178,1)*24-N(G178),2))</f>
        <v/>
      </c>
      <c r="I178" s="33">
        <f>IF(H178="","",ROUND(MAX(0,H178-8),2))</f>
        <v/>
      </c>
      <c r="J178" s="33">
        <f>IF(OR(E178="",F178=""),"",ROUND(IF(MOD(F178,1)&gt;=TIME(22,0,0),(MOD(F178,1)-TIME(22,0,0))*24,IF(MOD(F178,1)&lt;TIME(6,0,0),(MOD(F178,1)+1-TIME(22,0,0))*24,0)),2))</f>
        <v/>
      </c>
      <c r="K178" s="33">
        <f>IF(H178="","",ROUND(IF(L178="휴일근로",MIN(H178,8)*1.5+MAX(0,H178-8)*2,I178*1.5)+N(J178)*0.5,2))</f>
        <v/>
      </c>
      <c r="L178" s="18" t="n"/>
      <c r="M178" s="18" t="n"/>
      <c r="N178" s="42" t="inlineStr">
        <is>
          <t>주말</t>
        </is>
      </c>
    </row>
    <row r="179">
      <c r="A179" s="19" t="n">
        <v>46208</v>
      </c>
      <c r="B179" s="25">
        <f>IF(A179="","",CHOOSE(WEEKDAY(A179,2),"월","화","수","목","금","토","일"))</f>
        <v/>
      </c>
      <c r="C179" s="18" t="inlineStr">
        <is>
          <t>M001</t>
        </is>
      </c>
      <c r="D179" s="25">
        <f>IFERROR(IF(C179="","",INDEX(직원명부!$B$5:$B$24,MATCH(C179,직원명부!$A$5:$A$24,0))),"사번 확인")</f>
        <v/>
      </c>
      <c r="E179" s="34" t="n"/>
      <c r="F179" s="34" t="n"/>
      <c r="G179" s="28" t="n"/>
      <c r="H179" s="33">
        <f>IF(OR(E179="",F179=""),"",ROUND(MOD(F179-E179,1)*24-N(G179),2))</f>
        <v/>
      </c>
      <c r="I179" s="33">
        <f>IF(H179="","",ROUND(MAX(0,H179-8),2))</f>
        <v/>
      </c>
      <c r="J179" s="33">
        <f>IF(OR(E179="",F179=""),"",ROUND(IF(MOD(F179,1)&gt;=TIME(22,0,0),(MOD(F179,1)-TIME(22,0,0))*24,IF(MOD(F179,1)&lt;TIME(6,0,0),(MOD(F179,1)+1-TIME(22,0,0))*24,0)),2))</f>
        <v/>
      </c>
      <c r="K179" s="33">
        <f>IF(H179="","",ROUND(IF(L179="휴일근로",MIN(H179,8)*1.5+MAX(0,H179-8)*2,I179*1.5)+N(J179)*0.5,2))</f>
        <v/>
      </c>
      <c r="L179" s="18" t="n"/>
      <c r="M179" s="18" t="n"/>
      <c r="N179" s="42" t="inlineStr">
        <is>
          <t>주말</t>
        </is>
      </c>
    </row>
    <row r="180">
      <c r="A180" s="19" t="n">
        <v>46209</v>
      </c>
      <c r="B180" s="25">
        <f>IF(A180="","",CHOOSE(WEEKDAY(A180,2),"월","화","수","목","금","토","일"))</f>
        <v/>
      </c>
      <c r="C180" s="18" t="inlineStr">
        <is>
          <t>M001</t>
        </is>
      </c>
      <c r="D180" s="25">
        <f>IFERROR(IF(C180="","",INDEX(직원명부!$B$5:$B$24,MATCH(C180,직원명부!$A$5:$A$24,0))),"사번 확인")</f>
        <v/>
      </c>
      <c r="E180" s="34" t="n">
        <v>0.375</v>
      </c>
      <c r="F180" s="34" t="n">
        <v>0.75</v>
      </c>
      <c r="G180" s="28" t="n">
        <v>1</v>
      </c>
      <c r="H180" s="33">
        <f>IF(OR(E180="",F180=""),"",ROUND(MOD(F180-E180,1)*24-N(G180),2))</f>
        <v/>
      </c>
      <c r="I180" s="33">
        <f>IF(H180="","",ROUND(MAX(0,H180-8),2))</f>
        <v/>
      </c>
      <c r="J180" s="33">
        <f>IF(OR(E180="",F180=""),"",ROUND(IF(MOD(F180,1)&gt;=TIME(22,0,0),(MOD(F180,1)-TIME(22,0,0))*24,IF(MOD(F180,1)&lt;TIME(6,0,0),(MOD(F180,1)+1-TIME(22,0,0))*24,0)),2))</f>
        <v/>
      </c>
      <c r="K180" s="33">
        <f>IF(H180="","",ROUND(IF(L180="휴일근로",MIN(H180,8)*1.5+MAX(0,H180-8)*2,I180*1.5)+N(J180)*0.5,2))</f>
        <v/>
      </c>
      <c r="L180" s="18" t="inlineStr">
        <is>
          <t>정상</t>
        </is>
      </c>
      <c r="M180" s="18" t="n"/>
      <c r="N180" s="22" t="n"/>
    </row>
    <row r="181">
      <c r="A181" s="19" t="n">
        <v>46210</v>
      </c>
      <c r="B181" s="25">
        <f>IF(A181="","",CHOOSE(WEEKDAY(A181,2),"월","화","수","목","금","토","일"))</f>
        <v/>
      </c>
      <c r="C181" s="18" t="inlineStr">
        <is>
          <t>M001</t>
        </is>
      </c>
      <c r="D181" s="25">
        <f>IFERROR(IF(C181="","",INDEX(직원명부!$B$5:$B$24,MATCH(C181,직원명부!$A$5:$A$24,0))),"사번 확인")</f>
        <v/>
      </c>
      <c r="E181" s="34" t="n">
        <v>0.375</v>
      </c>
      <c r="F181" s="34" t="n">
        <v>0.75</v>
      </c>
      <c r="G181" s="28" t="n">
        <v>1</v>
      </c>
      <c r="H181" s="33">
        <f>IF(OR(E181="",F181=""),"",ROUND(MOD(F181-E181,1)*24-N(G181),2))</f>
        <v/>
      </c>
      <c r="I181" s="33">
        <f>IF(H181="","",ROUND(MAX(0,H181-8),2))</f>
        <v/>
      </c>
      <c r="J181" s="33">
        <f>IF(OR(E181="",F181=""),"",ROUND(IF(MOD(F181,1)&gt;=TIME(22,0,0),(MOD(F181,1)-TIME(22,0,0))*24,IF(MOD(F181,1)&lt;TIME(6,0,0),(MOD(F181,1)+1-TIME(22,0,0))*24,0)),2))</f>
        <v/>
      </c>
      <c r="K181" s="33">
        <f>IF(H181="","",ROUND(IF(L181="휴일근로",MIN(H181,8)*1.5+MAX(0,H181-8)*2,I181*1.5)+N(J181)*0.5,2))</f>
        <v/>
      </c>
      <c r="L181" s="18" t="inlineStr">
        <is>
          <t>정상</t>
        </is>
      </c>
      <c r="M181" s="18" t="n"/>
      <c r="N181" s="22" t="n"/>
    </row>
    <row r="182">
      <c r="A182" s="19" t="n">
        <v>46211</v>
      </c>
      <c r="B182" s="25">
        <f>IF(A182="","",CHOOSE(WEEKDAY(A182,2),"월","화","수","목","금","토","일"))</f>
        <v/>
      </c>
      <c r="C182" s="18" t="inlineStr">
        <is>
          <t>M001</t>
        </is>
      </c>
      <c r="D182" s="25">
        <f>IFERROR(IF(C182="","",INDEX(직원명부!$B$5:$B$24,MATCH(C182,직원명부!$A$5:$A$24,0))),"사번 확인")</f>
        <v/>
      </c>
      <c r="E182" s="34" t="n">
        <v>0.375</v>
      </c>
      <c r="F182" s="34" t="n">
        <v>0.75</v>
      </c>
      <c r="G182" s="28" t="n">
        <v>1</v>
      </c>
      <c r="H182" s="33">
        <f>IF(OR(E182="",F182=""),"",ROUND(MOD(F182-E182,1)*24-N(G182),2))</f>
        <v/>
      </c>
      <c r="I182" s="33">
        <f>IF(H182="","",ROUND(MAX(0,H182-8),2))</f>
        <v/>
      </c>
      <c r="J182" s="33">
        <f>IF(OR(E182="",F182=""),"",ROUND(IF(MOD(F182,1)&gt;=TIME(22,0,0),(MOD(F182,1)-TIME(22,0,0))*24,IF(MOD(F182,1)&lt;TIME(6,0,0),(MOD(F182,1)+1-TIME(22,0,0))*24,0)),2))</f>
        <v/>
      </c>
      <c r="K182" s="33">
        <f>IF(H182="","",ROUND(IF(L182="휴일근로",MIN(H182,8)*1.5+MAX(0,H182-8)*2,I182*1.5)+N(J182)*0.5,2))</f>
        <v/>
      </c>
      <c r="L182" s="18" t="inlineStr">
        <is>
          <t>정상</t>
        </is>
      </c>
      <c r="M182" s="18" t="n"/>
      <c r="N182" s="22" t="n"/>
    </row>
    <row r="183">
      <c r="A183" s="19" t="n">
        <v>46212</v>
      </c>
      <c r="B183" s="25">
        <f>IF(A183="","",CHOOSE(WEEKDAY(A183,2),"월","화","수","목","금","토","일"))</f>
        <v/>
      </c>
      <c r="C183" s="18" t="inlineStr">
        <is>
          <t>M001</t>
        </is>
      </c>
      <c r="D183" s="25">
        <f>IFERROR(IF(C183="","",INDEX(직원명부!$B$5:$B$24,MATCH(C183,직원명부!$A$5:$A$24,0))),"사번 확인")</f>
        <v/>
      </c>
      <c r="E183" s="34" t="n">
        <v>0.375</v>
      </c>
      <c r="F183" s="34" t="n">
        <v>0.75</v>
      </c>
      <c r="G183" s="28" t="n">
        <v>1</v>
      </c>
      <c r="H183" s="33">
        <f>IF(OR(E183="",F183=""),"",ROUND(MOD(F183-E183,1)*24-N(G183),2))</f>
        <v/>
      </c>
      <c r="I183" s="33">
        <f>IF(H183="","",ROUND(MAX(0,H183-8),2))</f>
        <v/>
      </c>
      <c r="J183" s="33">
        <f>IF(OR(E183="",F183=""),"",ROUND(IF(MOD(F183,1)&gt;=TIME(22,0,0),(MOD(F183,1)-TIME(22,0,0))*24,IF(MOD(F183,1)&lt;TIME(6,0,0),(MOD(F183,1)+1-TIME(22,0,0))*24,0)),2))</f>
        <v/>
      </c>
      <c r="K183" s="33">
        <f>IF(H183="","",ROUND(IF(L183="휴일근로",MIN(H183,8)*1.5+MAX(0,H183-8)*2,I183*1.5)+N(J183)*0.5,2))</f>
        <v/>
      </c>
      <c r="L183" s="18" t="inlineStr">
        <is>
          <t>정상</t>
        </is>
      </c>
      <c r="M183" s="18" t="n"/>
      <c r="N183" s="22" t="n"/>
    </row>
    <row r="184">
      <c r="A184" s="19" t="n">
        <v>46213</v>
      </c>
      <c r="B184" s="25">
        <f>IF(A184="","",CHOOSE(WEEKDAY(A184,2),"월","화","수","목","금","토","일"))</f>
        <v/>
      </c>
      <c r="C184" s="18" t="inlineStr">
        <is>
          <t>M001</t>
        </is>
      </c>
      <c r="D184" s="25">
        <f>IFERROR(IF(C184="","",INDEX(직원명부!$B$5:$B$24,MATCH(C184,직원명부!$A$5:$A$24,0))),"사번 확인")</f>
        <v/>
      </c>
      <c r="E184" s="34" t="n">
        <v>0.375</v>
      </c>
      <c r="F184" s="34" t="n">
        <v>0.75</v>
      </c>
      <c r="G184" s="28" t="n">
        <v>1</v>
      </c>
      <c r="H184" s="33">
        <f>IF(OR(E184="",F184=""),"",ROUND(MOD(F184-E184,1)*24-N(G184),2))</f>
        <v/>
      </c>
      <c r="I184" s="33">
        <f>IF(H184="","",ROUND(MAX(0,H184-8),2))</f>
        <v/>
      </c>
      <c r="J184" s="33">
        <f>IF(OR(E184="",F184=""),"",ROUND(IF(MOD(F184,1)&gt;=TIME(22,0,0),(MOD(F184,1)-TIME(22,0,0))*24,IF(MOD(F184,1)&lt;TIME(6,0,0),(MOD(F184,1)+1-TIME(22,0,0))*24,0)),2))</f>
        <v/>
      </c>
      <c r="K184" s="33">
        <f>IF(H184="","",ROUND(IF(L184="휴일근로",MIN(H184,8)*1.5+MAX(0,H184-8)*2,I184*1.5)+N(J184)*0.5,2))</f>
        <v/>
      </c>
      <c r="L184" s="18" t="inlineStr">
        <is>
          <t>정상</t>
        </is>
      </c>
      <c r="M184" s="18" t="n"/>
      <c r="N184" s="22" t="n"/>
    </row>
    <row r="185">
      <c r="A185" s="19" t="n">
        <v>46214</v>
      </c>
      <c r="B185" s="25">
        <f>IF(A185="","",CHOOSE(WEEKDAY(A185,2),"월","화","수","목","금","토","일"))</f>
        <v/>
      </c>
      <c r="C185" s="18" t="inlineStr">
        <is>
          <t>M001</t>
        </is>
      </c>
      <c r="D185" s="25">
        <f>IFERROR(IF(C185="","",INDEX(직원명부!$B$5:$B$24,MATCH(C185,직원명부!$A$5:$A$24,0))),"사번 확인")</f>
        <v/>
      </c>
      <c r="E185" s="34" t="n"/>
      <c r="F185" s="34" t="n"/>
      <c r="G185" s="28" t="n"/>
      <c r="H185" s="33">
        <f>IF(OR(E185="",F185=""),"",ROUND(MOD(F185-E185,1)*24-N(G185),2))</f>
        <v/>
      </c>
      <c r="I185" s="33">
        <f>IF(H185="","",ROUND(MAX(0,H185-8),2))</f>
        <v/>
      </c>
      <c r="J185" s="33">
        <f>IF(OR(E185="",F185=""),"",ROUND(IF(MOD(F185,1)&gt;=TIME(22,0,0),(MOD(F185,1)-TIME(22,0,0))*24,IF(MOD(F185,1)&lt;TIME(6,0,0),(MOD(F185,1)+1-TIME(22,0,0))*24,0)),2))</f>
        <v/>
      </c>
      <c r="K185" s="33">
        <f>IF(H185="","",ROUND(IF(L185="휴일근로",MIN(H185,8)*1.5+MAX(0,H185-8)*2,I185*1.5)+N(J185)*0.5,2))</f>
        <v/>
      </c>
      <c r="L185" s="18" t="n"/>
      <c r="M185" s="18" t="n"/>
      <c r="N185" s="42" t="inlineStr">
        <is>
          <t>주말</t>
        </is>
      </c>
    </row>
    <row r="186">
      <c r="A186" s="19" t="n">
        <v>46215</v>
      </c>
      <c r="B186" s="25">
        <f>IF(A186="","",CHOOSE(WEEKDAY(A186,2),"월","화","수","목","금","토","일"))</f>
        <v/>
      </c>
      <c r="C186" s="18" t="inlineStr">
        <is>
          <t>M001</t>
        </is>
      </c>
      <c r="D186" s="25">
        <f>IFERROR(IF(C186="","",INDEX(직원명부!$B$5:$B$24,MATCH(C186,직원명부!$A$5:$A$24,0))),"사번 확인")</f>
        <v/>
      </c>
      <c r="E186" s="34" t="n"/>
      <c r="F186" s="34" t="n"/>
      <c r="G186" s="28" t="n"/>
      <c r="H186" s="33">
        <f>IF(OR(E186="",F186=""),"",ROUND(MOD(F186-E186,1)*24-N(G186),2))</f>
        <v/>
      </c>
      <c r="I186" s="33">
        <f>IF(H186="","",ROUND(MAX(0,H186-8),2))</f>
        <v/>
      </c>
      <c r="J186" s="33">
        <f>IF(OR(E186="",F186=""),"",ROUND(IF(MOD(F186,1)&gt;=TIME(22,0,0),(MOD(F186,1)-TIME(22,0,0))*24,IF(MOD(F186,1)&lt;TIME(6,0,0),(MOD(F186,1)+1-TIME(22,0,0))*24,0)),2))</f>
        <v/>
      </c>
      <c r="K186" s="33">
        <f>IF(H186="","",ROUND(IF(L186="휴일근로",MIN(H186,8)*1.5+MAX(0,H186-8)*2,I186*1.5)+N(J186)*0.5,2))</f>
        <v/>
      </c>
      <c r="L186" s="18" t="n"/>
      <c r="M186" s="18" t="n"/>
      <c r="N186" s="42" t="inlineStr">
        <is>
          <t>주말</t>
        </is>
      </c>
    </row>
    <row r="187">
      <c r="A187" s="19" t="n">
        <v>46216</v>
      </c>
      <c r="B187" s="25">
        <f>IF(A187="","",CHOOSE(WEEKDAY(A187,2),"월","화","수","목","금","토","일"))</f>
        <v/>
      </c>
      <c r="C187" s="18" t="inlineStr">
        <is>
          <t>M001</t>
        </is>
      </c>
      <c r="D187" s="25">
        <f>IFERROR(IF(C187="","",INDEX(직원명부!$B$5:$B$24,MATCH(C187,직원명부!$A$5:$A$24,0))),"사번 확인")</f>
        <v/>
      </c>
      <c r="E187" s="34" t="n">
        <v>0.375</v>
      </c>
      <c r="F187" s="34" t="n">
        <v>0.75</v>
      </c>
      <c r="G187" s="28" t="n">
        <v>1</v>
      </c>
      <c r="H187" s="33">
        <f>IF(OR(E187="",F187=""),"",ROUND(MOD(F187-E187,1)*24-N(G187),2))</f>
        <v/>
      </c>
      <c r="I187" s="33">
        <f>IF(H187="","",ROUND(MAX(0,H187-8),2))</f>
        <v/>
      </c>
      <c r="J187" s="33">
        <f>IF(OR(E187="",F187=""),"",ROUND(IF(MOD(F187,1)&gt;=TIME(22,0,0),(MOD(F187,1)-TIME(22,0,0))*24,IF(MOD(F187,1)&lt;TIME(6,0,0),(MOD(F187,1)+1-TIME(22,0,0))*24,0)),2))</f>
        <v/>
      </c>
      <c r="K187" s="33">
        <f>IF(H187="","",ROUND(IF(L187="휴일근로",MIN(H187,8)*1.5+MAX(0,H187-8)*2,I187*1.5)+N(J187)*0.5,2))</f>
        <v/>
      </c>
      <c r="L187" s="18" t="inlineStr">
        <is>
          <t>정상</t>
        </is>
      </c>
      <c r="M187" s="18" t="n"/>
      <c r="N187" s="22" t="n"/>
    </row>
    <row r="188">
      <c r="A188" s="19" t="n">
        <v>46217</v>
      </c>
      <c r="B188" s="25">
        <f>IF(A188="","",CHOOSE(WEEKDAY(A188,2),"월","화","수","목","금","토","일"))</f>
        <v/>
      </c>
      <c r="C188" s="18" t="inlineStr">
        <is>
          <t>M001</t>
        </is>
      </c>
      <c r="D188" s="25">
        <f>IFERROR(IF(C188="","",INDEX(직원명부!$B$5:$B$24,MATCH(C188,직원명부!$A$5:$A$24,0))),"사번 확인")</f>
        <v/>
      </c>
      <c r="E188" s="34" t="n">
        <v>0.375</v>
      </c>
      <c r="F188" s="34" t="n">
        <v>0.75</v>
      </c>
      <c r="G188" s="28" t="n">
        <v>1</v>
      </c>
      <c r="H188" s="33">
        <f>IF(OR(E188="",F188=""),"",ROUND(MOD(F188-E188,1)*24-N(G188),2))</f>
        <v/>
      </c>
      <c r="I188" s="33">
        <f>IF(H188="","",ROUND(MAX(0,H188-8),2))</f>
        <v/>
      </c>
      <c r="J188" s="33">
        <f>IF(OR(E188="",F188=""),"",ROUND(IF(MOD(F188,1)&gt;=TIME(22,0,0),(MOD(F188,1)-TIME(22,0,0))*24,IF(MOD(F188,1)&lt;TIME(6,0,0),(MOD(F188,1)+1-TIME(22,0,0))*24,0)),2))</f>
        <v/>
      </c>
      <c r="K188" s="33">
        <f>IF(H188="","",ROUND(IF(L188="휴일근로",MIN(H188,8)*1.5+MAX(0,H188-8)*2,I188*1.5)+N(J188)*0.5,2))</f>
        <v/>
      </c>
      <c r="L188" s="18" t="inlineStr">
        <is>
          <t>정상</t>
        </is>
      </c>
      <c r="M188" s="18" t="n"/>
      <c r="N188" s="22" t="n"/>
    </row>
    <row r="189">
      <c r="A189" s="19" t="n">
        <v>46218</v>
      </c>
      <c r="B189" s="25">
        <f>IF(A189="","",CHOOSE(WEEKDAY(A189,2),"월","화","수","목","금","토","일"))</f>
        <v/>
      </c>
      <c r="C189" s="18" t="inlineStr">
        <is>
          <t>M001</t>
        </is>
      </c>
      <c r="D189" s="25">
        <f>IFERROR(IF(C189="","",INDEX(직원명부!$B$5:$B$24,MATCH(C189,직원명부!$A$5:$A$24,0))),"사번 확인")</f>
        <v/>
      </c>
      <c r="E189" s="34" t="n">
        <v>0.375</v>
      </c>
      <c r="F189" s="34" t="n">
        <v>0.75</v>
      </c>
      <c r="G189" s="28" t="n">
        <v>1</v>
      </c>
      <c r="H189" s="33">
        <f>IF(OR(E189="",F189=""),"",ROUND(MOD(F189-E189,1)*24-N(G189),2))</f>
        <v/>
      </c>
      <c r="I189" s="33">
        <f>IF(H189="","",ROUND(MAX(0,H189-8),2))</f>
        <v/>
      </c>
      <c r="J189" s="33">
        <f>IF(OR(E189="",F189=""),"",ROUND(IF(MOD(F189,1)&gt;=TIME(22,0,0),(MOD(F189,1)-TIME(22,0,0))*24,IF(MOD(F189,1)&lt;TIME(6,0,0),(MOD(F189,1)+1-TIME(22,0,0))*24,0)),2))</f>
        <v/>
      </c>
      <c r="K189" s="33">
        <f>IF(H189="","",ROUND(IF(L189="휴일근로",MIN(H189,8)*1.5+MAX(0,H189-8)*2,I189*1.5)+N(J189)*0.5,2))</f>
        <v/>
      </c>
      <c r="L189" s="18" t="inlineStr">
        <is>
          <t>정상</t>
        </is>
      </c>
      <c r="M189" s="18" t="n"/>
      <c r="N189" s="22" t="n"/>
    </row>
    <row r="190">
      <c r="A190" s="19" t="n">
        <v>46219</v>
      </c>
      <c r="B190" s="25">
        <f>IF(A190="","",CHOOSE(WEEKDAY(A190,2),"월","화","수","목","금","토","일"))</f>
        <v/>
      </c>
      <c r="C190" s="18" t="inlineStr">
        <is>
          <t>M001</t>
        </is>
      </c>
      <c r="D190" s="25">
        <f>IFERROR(IF(C190="","",INDEX(직원명부!$B$5:$B$24,MATCH(C190,직원명부!$A$5:$A$24,0))),"사번 확인")</f>
        <v/>
      </c>
      <c r="E190" s="34" t="n">
        <v>0.375</v>
      </c>
      <c r="F190" s="34" t="n">
        <v>0.75</v>
      </c>
      <c r="G190" s="28" t="n">
        <v>1</v>
      </c>
      <c r="H190" s="33">
        <f>IF(OR(E190="",F190=""),"",ROUND(MOD(F190-E190,1)*24-N(G190),2))</f>
        <v/>
      </c>
      <c r="I190" s="33">
        <f>IF(H190="","",ROUND(MAX(0,H190-8),2))</f>
        <v/>
      </c>
      <c r="J190" s="33">
        <f>IF(OR(E190="",F190=""),"",ROUND(IF(MOD(F190,1)&gt;=TIME(22,0,0),(MOD(F190,1)-TIME(22,0,0))*24,IF(MOD(F190,1)&lt;TIME(6,0,0),(MOD(F190,1)+1-TIME(22,0,0))*24,0)),2))</f>
        <v/>
      </c>
      <c r="K190" s="33">
        <f>IF(H190="","",ROUND(IF(L190="휴일근로",MIN(H190,8)*1.5+MAX(0,H190-8)*2,I190*1.5)+N(J190)*0.5,2))</f>
        <v/>
      </c>
      <c r="L190" s="18" t="inlineStr">
        <is>
          <t>정상</t>
        </is>
      </c>
      <c r="M190" s="18" t="n"/>
      <c r="N190" s="22" t="n"/>
    </row>
    <row r="191">
      <c r="A191" s="19" t="n">
        <v>46220</v>
      </c>
      <c r="B191" s="25">
        <f>IF(A191="","",CHOOSE(WEEKDAY(A191,2),"월","화","수","목","금","토","일"))</f>
        <v/>
      </c>
      <c r="C191" s="18" t="inlineStr">
        <is>
          <t>M001</t>
        </is>
      </c>
      <c r="D191" s="25">
        <f>IFERROR(IF(C191="","",INDEX(직원명부!$B$5:$B$24,MATCH(C191,직원명부!$A$5:$A$24,0))),"사번 확인")</f>
        <v/>
      </c>
      <c r="E191" s="34" t="n">
        <v>0.375</v>
      </c>
      <c r="F191" s="34" t="n">
        <v>0.75</v>
      </c>
      <c r="G191" s="28" t="n">
        <v>1</v>
      </c>
      <c r="H191" s="33">
        <f>IF(OR(E191="",F191=""),"",ROUND(MOD(F191-E191,1)*24-N(G191),2))</f>
        <v/>
      </c>
      <c r="I191" s="33">
        <f>IF(H191="","",ROUND(MAX(0,H191-8),2))</f>
        <v/>
      </c>
      <c r="J191" s="33">
        <f>IF(OR(E191="",F191=""),"",ROUND(IF(MOD(F191,1)&gt;=TIME(22,0,0),(MOD(F191,1)-TIME(22,0,0))*24,IF(MOD(F191,1)&lt;TIME(6,0,0),(MOD(F191,1)+1-TIME(22,0,0))*24,0)),2))</f>
        <v/>
      </c>
      <c r="K191" s="33">
        <f>IF(H191="","",ROUND(IF(L191="휴일근로",MIN(H191,8)*1.5+MAX(0,H191-8)*2,I191*1.5)+N(J191)*0.5,2))</f>
        <v/>
      </c>
      <c r="L191" s="18" t="inlineStr">
        <is>
          <t>정상</t>
        </is>
      </c>
      <c r="M191" s="18" t="n"/>
      <c r="N191" s="22" t="n"/>
    </row>
    <row r="192">
      <c r="A192" s="19" t="n">
        <v>46221</v>
      </c>
      <c r="B192" s="25">
        <f>IF(A192="","",CHOOSE(WEEKDAY(A192,2),"월","화","수","목","금","토","일"))</f>
        <v/>
      </c>
      <c r="C192" s="18" t="inlineStr">
        <is>
          <t>M001</t>
        </is>
      </c>
      <c r="D192" s="25">
        <f>IFERROR(IF(C192="","",INDEX(직원명부!$B$5:$B$24,MATCH(C192,직원명부!$A$5:$A$24,0))),"사번 확인")</f>
        <v/>
      </c>
      <c r="E192" s="34" t="n"/>
      <c r="F192" s="34" t="n"/>
      <c r="G192" s="28" t="n"/>
      <c r="H192" s="33">
        <f>IF(OR(E192="",F192=""),"",ROUND(MOD(F192-E192,1)*24-N(G192),2))</f>
        <v/>
      </c>
      <c r="I192" s="33">
        <f>IF(H192="","",ROUND(MAX(0,H192-8),2))</f>
        <v/>
      </c>
      <c r="J192" s="33">
        <f>IF(OR(E192="",F192=""),"",ROUND(IF(MOD(F192,1)&gt;=TIME(22,0,0),(MOD(F192,1)-TIME(22,0,0))*24,IF(MOD(F192,1)&lt;TIME(6,0,0),(MOD(F192,1)+1-TIME(22,0,0))*24,0)),2))</f>
        <v/>
      </c>
      <c r="K192" s="33">
        <f>IF(H192="","",ROUND(IF(L192="휴일근로",MIN(H192,8)*1.5+MAX(0,H192-8)*2,I192*1.5)+N(J192)*0.5,2))</f>
        <v/>
      </c>
      <c r="L192" s="18" t="n"/>
      <c r="M192" s="18" t="n"/>
      <c r="N192" s="42" t="inlineStr">
        <is>
          <t>주말</t>
        </is>
      </c>
    </row>
    <row r="193">
      <c r="A193" s="19" t="n">
        <v>46222</v>
      </c>
      <c r="B193" s="25">
        <f>IF(A193="","",CHOOSE(WEEKDAY(A193,2),"월","화","수","목","금","토","일"))</f>
        <v/>
      </c>
      <c r="C193" s="18" t="inlineStr">
        <is>
          <t>M001</t>
        </is>
      </c>
      <c r="D193" s="25">
        <f>IFERROR(IF(C193="","",INDEX(직원명부!$B$5:$B$24,MATCH(C193,직원명부!$A$5:$A$24,0))),"사번 확인")</f>
        <v/>
      </c>
      <c r="E193" s="34" t="n"/>
      <c r="F193" s="34" t="n"/>
      <c r="G193" s="28" t="n"/>
      <c r="H193" s="33">
        <f>IF(OR(E193="",F193=""),"",ROUND(MOD(F193-E193,1)*24-N(G193),2))</f>
        <v/>
      </c>
      <c r="I193" s="33">
        <f>IF(H193="","",ROUND(MAX(0,H193-8),2))</f>
        <v/>
      </c>
      <c r="J193" s="33">
        <f>IF(OR(E193="",F193=""),"",ROUND(IF(MOD(F193,1)&gt;=TIME(22,0,0),(MOD(F193,1)-TIME(22,0,0))*24,IF(MOD(F193,1)&lt;TIME(6,0,0),(MOD(F193,1)+1-TIME(22,0,0))*24,0)),2))</f>
        <v/>
      </c>
      <c r="K193" s="33">
        <f>IF(H193="","",ROUND(IF(L193="휴일근로",MIN(H193,8)*1.5+MAX(0,H193-8)*2,I193*1.5)+N(J193)*0.5,2))</f>
        <v/>
      </c>
      <c r="L193" s="18" t="n"/>
      <c r="M193" s="18" t="n"/>
      <c r="N193" s="42" t="inlineStr">
        <is>
          <t>주말</t>
        </is>
      </c>
    </row>
    <row r="194">
      <c r="A194" s="19" t="n">
        <v>46223</v>
      </c>
      <c r="B194" s="25">
        <f>IF(A194="","",CHOOSE(WEEKDAY(A194,2),"월","화","수","목","금","토","일"))</f>
        <v/>
      </c>
      <c r="C194" s="18" t="inlineStr">
        <is>
          <t>M001</t>
        </is>
      </c>
      <c r="D194" s="25">
        <f>IFERROR(IF(C194="","",INDEX(직원명부!$B$5:$B$24,MATCH(C194,직원명부!$A$5:$A$24,0))),"사번 확인")</f>
        <v/>
      </c>
      <c r="E194" s="34" t="n">
        <v>0.375</v>
      </c>
      <c r="F194" s="34" t="n">
        <v>0.75</v>
      </c>
      <c r="G194" s="28" t="n">
        <v>1</v>
      </c>
      <c r="H194" s="33">
        <f>IF(OR(E194="",F194=""),"",ROUND(MOD(F194-E194,1)*24-N(G194),2))</f>
        <v/>
      </c>
      <c r="I194" s="33">
        <f>IF(H194="","",ROUND(MAX(0,H194-8),2))</f>
        <v/>
      </c>
      <c r="J194" s="33">
        <f>IF(OR(E194="",F194=""),"",ROUND(IF(MOD(F194,1)&gt;=TIME(22,0,0),(MOD(F194,1)-TIME(22,0,0))*24,IF(MOD(F194,1)&lt;TIME(6,0,0),(MOD(F194,1)+1-TIME(22,0,0))*24,0)),2))</f>
        <v/>
      </c>
      <c r="K194" s="33">
        <f>IF(H194="","",ROUND(IF(L194="휴일근로",MIN(H194,8)*1.5+MAX(0,H194-8)*2,I194*1.5)+N(J194)*0.5,2))</f>
        <v/>
      </c>
      <c r="L194" s="18" t="inlineStr">
        <is>
          <t>정상</t>
        </is>
      </c>
      <c r="M194" s="18" t="n"/>
      <c r="N194" s="22" t="n"/>
    </row>
    <row r="195">
      <c r="A195" s="19" t="n">
        <v>46224</v>
      </c>
      <c r="B195" s="25">
        <f>IF(A195="","",CHOOSE(WEEKDAY(A195,2),"월","화","수","목","금","토","일"))</f>
        <v/>
      </c>
      <c r="C195" s="18" t="inlineStr">
        <is>
          <t>M001</t>
        </is>
      </c>
      <c r="D195" s="25">
        <f>IFERROR(IF(C195="","",INDEX(직원명부!$B$5:$B$24,MATCH(C195,직원명부!$A$5:$A$24,0))),"사번 확인")</f>
        <v/>
      </c>
      <c r="E195" s="34" t="n">
        <v>0.375</v>
      </c>
      <c r="F195" s="34" t="n">
        <v>0.75</v>
      </c>
      <c r="G195" s="28" t="n">
        <v>1</v>
      </c>
      <c r="H195" s="33">
        <f>IF(OR(E195="",F195=""),"",ROUND(MOD(F195-E195,1)*24-N(G195),2))</f>
        <v/>
      </c>
      <c r="I195" s="33">
        <f>IF(H195="","",ROUND(MAX(0,H195-8),2))</f>
        <v/>
      </c>
      <c r="J195" s="33">
        <f>IF(OR(E195="",F195=""),"",ROUND(IF(MOD(F195,1)&gt;=TIME(22,0,0),(MOD(F195,1)-TIME(22,0,0))*24,IF(MOD(F195,1)&lt;TIME(6,0,0),(MOD(F195,1)+1-TIME(22,0,0))*24,0)),2))</f>
        <v/>
      </c>
      <c r="K195" s="33">
        <f>IF(H195="","",ROUND(IF(L195="휴일근로",MIN(H195,8)*1.5+MAX(0,H195-8)*2,I195*1.5)+N(J195)*0.5,2))</f>
        <v/>
      </c>
      <c r="L195" s="18" t="inlineStr">
        <is>
          <t>정상</t>
        </is>
      </c>
      <c r="M195" s="18" t="n"/>
      <c r="N195" s="22" t="n"/>
    </row>
    <row r="196">
      <c r="A196" s="19" t="n">
        <v>46225</v>
      </c>
      <c r="B196" s="25">
        <f>IF(A196="","",CHOOSE(WEEKDAY(A196,2),"월","화","수","목","금","토","일"))</f>
        <v/>
      </c>
      <c r="C196" s="18" t="inlineStr">
        <is>
          <t>M001</t>
        </is>
      </c>
      <c r="D196" s="25">
        <f>IFERROR(IF(C196="","",INDEX(직원명부!$B$5:$B$24,MATCH(C196,직원명부!$A$5:$A$24,0))),"사번 확인")</f>
        <v/>
      </c>
      <c r="E196" s="34" t="n">
        <v>0.375</v>
      </c>
      <c r="F196" s="34" t="n">
        <v>0.75</v>
      </c>
      <c r="G196" s="28" t="n">
        <v>1</v>
      </c>
      <c r="H196" s="33">
        <f>IF(OR(E196="",F196=""),"",ROUND(MOD(F196-E196,1)*24-N(G196),2))</f>
        <v/>
      </c>
      <c r="I196" s="33">
        <f>IF(H196="","",ROUND(MAX(0,H196-8),2))</f>
        <v/>
      </c>
      <c r="J196" s="33">
        <f>IF(OR(E196="",F196=""),"",ROUND(IF(MOD(F196,1)&gt;=TIME(22,0,0),(MOD(F196,1)-TIME(22,0,0))*24,IF(MOD(F196,1)&lt;TIME(6,0,0),(MOD(F196,1)+1-TIME(22,0,0))*24,0)),2))</f>
        <v/>
      </c>
      <c r="K196" s="33">
        <f>IF(H196="","",ROUND(IF(L196="휴일근로",MIN(H196,8)*1.5+MAX(0,H196-8)*2,I196*1.5)+N(J196)*0.5,2))</f>
        <v/>
      </c>
      <c r="L196" s="18" t="inlineStr">
        <is>
          <t>정상</t>
        </is>
      </c>
      <c r="M196" s="18" t="n"/>
      <c r="N196" s="22" t="n"/>
    </row>
    <row r="197">
      <c r="A197" s="19" t="n">
        <v>46226</v>
      </c>
      <c r="B197" s="25">
        <f>IF(A197="","",CHOOSE(WEEKDAY(A197,2),"월","화","수","목","금","토","일"))</f>
        <v/>
      </c>
      <c r="C197" s="18" t="inlineStr">
        <is>
          <t>M001</t>
        </is>
      </c>
      <c r="D197" s="25">
        <f>IFERROR(IF(C197="","",INDEX(직원명부!$B$5:$B$24,MATCH(C197,직원명부!$A$5:$A$24,0))),"사번 확인")</f>
        <v/>
      </c>
      <c r="E197" s="34" t="n">
        <v>0.375</v>
      </c>
      <c r="F197" s="34" t="n">
        <v>0.75</v>
      </c>
      <c r="G197" s="28" t="n">
        <v>1</v>
      </c>
      <c r="H197" s="33">
        <f>IF(OR(E197="",F197=""),"",ROUND(MOD(F197-E197,1)*24-N(G197),2))</f>
        <v/>
      </c>
      <c r="I197" s="33">
        <f>IF(H197="","",ROUND(MAX(0,H197-8),2))</f>
        <v/>
      </c>
      <c r="J197" s="33">
        <f>IF(OR(E197="",F197=""),"",ROUND(IF(MOD(F197,1)&gt;=TIME(22,0,0),(MOD(F197,1)-TIME(22,0,0))*24,IF(MOD(F197,1)&lt;TIME(6,0,0),(MOD(F197,1)+1-TIME(22,0,0))*24,0)),2))</f>
        <v/>
      </c>
      <c r="K197" s="33">
        <f>IF(H197="","",ROUND(IF(L197="휴일근로",MIN(H197,8)*1.5+MAX(0,H197-8)*2,I197*1.5)+N(J197)*0.5,2))</f>
        <v/>
      </c>
      <c r="L197" s="18" t="inlineStr">
        <is>
          <t>정상</t>
        </is>
      </c>
      <c r="M197" s="18" t="n"/>
      <c r="N197" s="22" t="n"/>
    </row>
    <row r="198">
      <c r="A198" s="19" t="n">
        <v>46227</v>
      </c>
      <c r="B198" s="25">
        <f>IF(A198="","",CHOOSE(WEEKDAY(A198,2),"월","화","수","목","금","토","일"))</f>
        <v/>
      </c>
      <c r="C198" s="18" t="inlineStr">
        <is>
          <t>M001</t>
        </is>
      </c>
      <c r="D198" s="25">
        <f>IFERROR(IF(C198="","",INDEX(직원명부!$B$5:$B$24,MATCH(C198,직원명부!$A$5:$A$24,0))),"사번 확인")</f>
        <v/>
      </c>
      <c r="E198" s="34" t="n">
        <v>0.375</v>
      </c>
      <c r="F198" s="34" t="n">
        <v>0.75</v>
      </c>
      <c r="G198" s="28" t="n">
        <v>1</v>
      </c>
      <c r="H198" s="33">
        <f>IF(OR(E198="",F198=""),"",ROUND(MOD(F198-E198,1)*24-N(G198),2))</f>
        <v/>
      </c>
      <c r="I198" s="33">
        <f>IF(H198="","",ROUND(MAX(0,H198-8),2))</f>
        <v/>
      </c>
      <c r="J198" s="33">
        <f>IF(OR(E198="",F198=""),"",ROUND(IF(MOD(F198,1)&gt;=TIME(22,0,0),(MOD(F198,1)-TIME(22,0,0))*24,IF(MOD(F198,1)&lt;TIME(6,0,0),(MOD(F198,1)+1-TIME(22,0,0))*24,0)),2))</f>
        <v/>
      </c>
      <c r="K198" s="33">
        <f>IF(H198="","",ROUND(IF(L198="휴일근로",MIN(H198,8)*1.5+MAX(0,H198-8)*2,I198*1.5)+N(J198)*0.5,2))</f>
        <v/>
      </c>
      <c r="L198" s="18" t="inlineStr">
        <is>
          <t>정상</t>
        </is>
      </c>
      <c r="M198" s="18" t="n"/>
      <c r="N198" s="22" t="n"/>
    </row>
    <row r="199">
      <c r="A199" s="19" t="n">
        <v>46228</v>
      </c>
      <c r="B199" s="25">
        <f>IF(A199="","",CHOOSE(WEEKDAY(A199,2),"월","화","수","목","금","토","일"))</f>
        <v/>
      </c>
      <c r="C199" s="18" t="inlineStr">
        <is>
          <t>M001</t>
        </is>
      </c>
      <c r="D199" s="25">
        <f>IFERROR(IF(C199="","",INDEX(직원명부!$B$5:$B$24,MATCH(C199,직원명부!$A$5:$A$24,0))),"사번 확인")</f>
        <v/>
      </c>
      <c r="E199" s="34" t="n"/>
      <c r="F199" s="34" t="n"/>
      <c r="G199" s="28" t="n"/>
      <c r="H199" s="33">
        <f>IF(OR(E199="",F199=""),"",ROUND(MOD(F199-E199,1)*24-N(G199),2))</f>
        <v/>
      </c>
      <c r="I199" s="33">
        <f>IF(H199="","",ROUND(MAX(0,H199-8),2))</f>
        <v/>
      </c>
      <c r="J199" s="33">
        <f>IF(OR(E199="",F199=""),"",ROUND(IF(MOD(F199,1)&gt;=TIME(22,0,0),(MOD(F199,1)-TIME(22,0,0))*24,IF(MOD(F199,1)&lt;TIME(6,0,0),(MOD(F199,1)+1-TIME(22,0,0))*24,0)),2))</f>
        <v/>
      </c>
      <c r="K199" s="33">
        <f>IF(H199="","",ROUND(IF(L199="휴일근로",MIN(H199,8)*1.5+MAX(0,H199-8)*2,I199*1.5)+N(J199)*0.5,2))</f>
        <v/>
      </c>
      <c r="L199" s="18" t="n"/>
      <c r="M199" s="18" t="n"/>
      <c r="N199" s="42" t="inlineStr">
        <is>
          <t>주말</t>
        </is>
      </c>
    </row>
    <row r="200">
      <c r="A200" s="19" t="n">
        <v>46229</v>
      </c>
      <c r="B200" s="25">
        <f>IF(A200="","",CHOOSE(WEEKDAY(A200,2),"월","화","수","목","금","토","일"))</f>
        <v/>
      </c>
      <c r="C200" s="18" t="inlineStr">
        <is>
          <t>M001</t>
        </is>
      </c>
      <c r="D200" s="25">
        <f>IFERROR(IF(C200="","",INDEX(직원명부!$B$5:$B$24,MATCH(C200,직원명부!$A$5:$A$24,0))),"사번 확인")</f>
        <v/>
      </c>
      <c r="E200" s="34" t="n"/>
      <c r="F200" s="34" t="n"/>
      <c r="G200" s="28" t="n"/>
      <c r="H200" s="33">
        <f>IF(OR(E200="",F200=""),"",ROUND(MOD(F200-E200,1)*24-N(G200),2))</f>
        <v/>
      </c>
      <c r="I200" s="33">
        <f>IF(H200="","",ROUND(MAX(0,H200-8),2))</f>
        <v/>
      </c>
      <c r="J200" s="33">
        <f>IF(OR(E200="",F200=""),"",ROUND(IF(MOD(F200,1)&gt;=TIME(22,0,0),(MOD(F200,1)-TIME(22,0,0))*24,IF(MOD(F200,1)&lt;TIME(6,0,0),(MOD(F200,1)+1-TIME(22,0,0))*24,0)),2))</f>
        <v/>
      </c>
      <c r="K200" s="33">
        <f>IF(H200="","",ROUND(IF(L200="휴일근로",MIN(H200,8)*1.5+MAX(0,H200-8)*2,I200*1.5)+N(J200)*0.5,2))</f>
        <v/>
      </c>
      <c r="L200" s="18" t="n"/>
      <c r="M200" s="18" t="n"/>
      <c r="N200" s="42" t="inlineStr">
        <is>
          <t>주말</t>
        </is>
      </c>
    </row>
    <row r="201">
      <c r="A201" s="19" t="n">
        <v>46230</v>
      </c>
      <c r="B201" s="25">
        <f>IF(A201="","",CHOOSE(WEEKDAY(A201,2),"월","화","수","목","금","토","일"))</f>
        <v/>
      </c>
      <c r="C201" s="18" t="inlineStr">
        <is>
          <t>M001</t>
        </is>
      </c>
      <c r="D201" s="25">
        <f>IFERROR(IF(C201="","",INDEX(직원명부!$B$5:$B$24,MATCH(C201,직원명부!$A$5:$A$24,0))),"사번 확인")</f>
        <v/>
      </c>
      <c r="E201" s="34" t="n">
        <v>0.375</v>
      </c>
      <c r="F201" s="34" t="n">
        <v>0.75</v>
      </c>
      <c r="G201" s="28" t="n">
        <v>1</v>
      </c>
      <c r="H201" s="33">
        <f>IF(OR(E201="",F201=""),"",ROUND(MOD(F201-E201,1)*24-N(G201),2))</f>
        <v/>
      </c>
      <c r="I201" s="33">
        <f>IF(H201="","",ROUND(MAX(0,H201-8),2))</f>
        <v/>
      </c>
      <c r="J201" s="33">
        <f>IF(OR(E201="",F201=""),"",ROUND(IF(MOD(F201,1)&gt;=TIME(22,0,0),(MOD(F201,1)-TIME(22,0,0))*24,IF(MOD(F201,1)&lt;TIME(6,0,0),(MOD(F201,1)+1-TIME(22,0,0))*24,0)),2))</f>
        <v/>
      </c>
      <c r="K201" s="33">
        <f>IF(H201="","",ROUND(IF(L201="휴일근로",MIN(H201,8)*1.5+MAX(0,H201-8)*2,I201*1.5)+N(J201)*0.5,2))</f>
        <v/>
      </c>
      <c r="L201" s="18" t="inlineStr">
        <is>
          <t>정상</t>
        </is>
      </c>
      <c r="M201" s="18" t="n"/>
      <c r="N201" s="22" t="n"/>
    </row>
    <row r="202">
      <c r="A202" s="19" t="n">
        <v>46231</v>
      </c>
      <c r="B202" s="25">
        <f>IF(A202="","",CHOOSE(WEEKDAY(A202,2),"월","화","수","목","금","토","일"))</f>
        <v/>
      </c>
      <c r="C202" s="18" t="inlineStr">
        <is>
          <t>M001</t>
        </is>
      </c>
      <c r="D202" s="25">
        <f>IFERROR(IF(C202="","",INDEX(직원명부!$B$5:$B$24,MATCH(C202,직원명부!$A$5:$A$24,0))),"사번 확인")</f>
        <v/>
      </c>
      <c r="E202" s="34" t="n">
        <v>0.375</v>
      </c>
      <c r="F202" s="34" t="n">
        <v>0.75</v>
      </c>
      <c r="G202" s="28" t="n">
        <v>1</v>
      </c>
      <c r="H202" s="33">
        <f>IF(OR(E202="",F202=""),"",ROUND(MOD(F202-E202,1)*24-N(G202),2))</f>
        <v/>
      </c>
      <c r="I202" s="33">
        <f>IF(H202="","",ROUND(MAX(0,H202-8),2))</f>
        <v/>
      </c>
      <c r="J202" s="33">
        <f>IF(OR(E202="",F202=""),"",ROUND(IF(MOD(F202,1)&gt;=TIME(22,0,0),(MOD(F202,1)-TIME(22,0,0))*24,IF(MOD(F202,1)&lt;TIME(6,0,0),(MOD(F202,1)+1-TIME(22,0,0))*24,0)),2))</f>
        <v/>
      </c>
      <c r="K202" s="33">
        <f>IF(H202="","",ROUND(IF(L202="휴일근로",MIN(H202,8)*1.5+MAX(0,H202-8)*2,I202*1.5)+N(J202)*0.5,2))</f>
        <v/>
      </c>
      <c r="L202" s="18" t="inlineStr">
        <is>
          <t>정상</t>
        </is>
      </c>
      <c r="M202" s="18" t="n"/>
      <c r="N202" s="22" t="n"/>
    </row>
    <row r="203">
      <c r="A203" s="19" t="n">
        <v>46232</v>
      </c>
      <c r="B203" s="25">
        <f>IF(A203="","",CHOOSE(WEEKDAY(A203,2),"월","화","수","목","금","토","일"))</f>
        <v/>
      </c>
      <c r="C203" s="18" t="inlineStr">
        <is>
          <t>M001</t>
        </is>
      </c>
      <c r="D203" s="25">
        <f>IFERROR(IF(C203="","",INDEX(직원명부!$B$5:$B$24,MATCH(C203,직원명부!$A$5:$A$24,0))),"사번 확인")</f>
        <v/>
      </c>
      <c r="E203" s="34" t="n">
        <v>0.375</v>
      </c>
      <c r="F203" s="34" t="n">
        <v>0.75</v>
      </c>
      <c r="G203" s="28" t="n">
        <v>1</v>
      </c>
      <c r="H203" s="33">
        <f>IF(OR(E203="",F203=""),"",ROUND(MOD(F203-E203,1)*24-N(G203),2))</f>
        <v/>
      </c>
      <c r="I203" s="33">
        <f>IF(H203="","",ROUND(MAX(0,H203-8),2))</f>
        <v/>
      </c>
      <c r="J203" s="33">
        <f>IF(OR(E203="",F203=""),"",ROUND(IF(MOD(F203,1)&gt;=TIME(22,0,0),(MOD(F203,1)-TIME(22,0,0))*24,IF(MOD(F203,1)&lt;TIME(6,0,0),(MOD(F203,1)+1-TIME(22,0,0))*24,0)),2))</f>
        <v/>
      </c>
      <c r="K203" s="33">
        <f>IF(H203="","",ROUND(IF(L203="휴일근로",MIN(H203,8)*1.5+MAX(0,H203-8)*2,I203*1.5)+N(J203)*0.5,2))</f>
        <v/>
      </c>
      <c r="L203" s="18" t="inlineStr">
        <is>
          <t>정상</t>
        </is>
      </c>
      <c r="M203" s="18" t="n"/>
      <c r="N203" s="22" t="n"/>
    </row>
    <row r="204">
      <c r="A204" s="19" t="n">
        <v>46233</v>
      </c>
      <c r="B204" s="25">
        <f>IF(A204="","",CHOOSE(WEEKDAY(A204,2),"월","화","수","목","금","토","일"))</f>
        <v/>
      </c>
      <c r="C204" s="18" t="inlineStr">
        <is>
          <t>M001</t>
        </is>
      </c>
      <c r="D204" s="25">
        <f>IFERROR(IF(C204="","",INDEX(직원명부!$B$5:$B$24,MATCH(C204,직원명부!$A$5:$A$24,0))),"사번 확인")</f>
        <v/>
      </c>
      <c r="E204" s="34" t="n">
        <v>0.375</v>
      </c>
      <c r="F204" s="34" t="n">
        <v>0.75</v>
      </c>
      <c r="G204" s="28" t="n">
        <v>1</v>
      </c>
      <c r="H204" s="33">
        <f>IF(OR(E204="",F204=""),"",ROUND(MOD(F204-E204,1)*24-N(G204),2))</f>
        <v/>
      </c>
      <c r="I204" s="33">
        <f>IF(H204="","",ROUND(MAX(0,H204-8),2))</f>
        <v/>
      </c>
      <c r="J204" s="33">
        <f>IF(OR(E204="",F204=""),"",ROUND(IF(MOD(F204,1)&gt;=TIME(22,0,0),(MOD(F204,1)-TIME(22,0,0))*24,IF(MOD(F204,1)&lt;TIME(6,0,0),(MOD(F204,1)+1-TIME(22,0,0))*24,0)),2))</f>
        <v/>
      </c>
      <c r="K204" s="33">
        <f>IF(H204="","",ROUND(IF(L204="휴일근로",MIN(H204,8)*1.5+MAX(0,H204-8)*2,I204*1.5)+N(J204)*0.5,2))</f>
        <v/>
      </c>
      <c r="L204" s="18" t="inlineStr">
        <is>
          <t>정상</t>
        </is>
      </c>
      <c r="M204" s="18" t="n"/>
      <c r="N204" s="22" t="n"/>
    </row>
    <row r="205">
      <c r="A205" s="19" t="n">
        <v>46234</v>
      </c>
      <c r="B205" s="25">
        <f>IF(A205="","",CHOOSE(WEEKDAY(A205,2),"월","화","수","목","금","토","일"))</f>
        <v/>
      </c>
      <c r="C205" s="18" t="inlineStr">
        <is>
          <t>M001</t>
        </is>
      </c>
      <c r="D205" s="25">
        <f>IFERROR(IF(C205="","",INDEX(직원명부!$B$5:$B$24,MATCH(C205,직원명부!$A$5:$A$24,0))),"사번 확인")</f>
        <v/>
      </c>
      <c r="E205" s="34" t="n">
        <v>0.375</v>
      </c>
      <c r="F205" s="34" t="n">
        <v>0.75</v>
      </c>
      <c r="G205" s="28" t="n">
        <v>1</v>
      </c>
      <c r="H205" s="33">
        <f>IF(OR(E205="",F205=""),"",ROUND(MOD(F205-E205,1)*24-N(G205),2))</f>
        <v/>
      </c>
      <c r="I205" s="33">
        <f>IF(H205="","",ROUND(MAX(0,H205-8),2))</f>
        <v/>
      </c>
      <c r="J205" s="33">
        <f>IF(OR(E205="",F205=""),"",ROUND(IF(MOD(F205,1)&gt;=TIME(22,0,0),(MOD(F205,1)-TIME(22,0,0))*24,IF(MOD(F205,1)&lt;TIME(6,0,0),(MOD(F205,1)+1-TIME(22,0,0))*24,0)),2))</f>
        <v/>
      </c>
      <c r="K205" s="33">
        <f>IF(H205="","",ROUND(IF(L205="휴일근로",MIN(H205,8)*1.5+MAX(0,H205-8)*2,I205*1.5)+N(J205)*0.5,2))</f>
        <v/>
      </c>
      <c r="L205" s="18" t="inlineStr">
        <is>
          <t>정상</t>
        </is>
      </c>
      <c r="M205" s="18" t="n"/>
      <c r="N205" s="22" t="n"/>
    </row>
    <row r="206">
      <c r="A206" s="19" t="n">
        <v>46235</v>
      </c>
      <c r="B206" s="25">
        <f>IF(A206="","",CHOOSE(WEEKDAY(A206,2),"월","화","수","목","금","토","일"))</f>
        <v/>
      </c>
      <c r="C206" s="18" t="inlineStr">
        <is>
          <t>M001</t>
        </is>
      </c>
      <c r="D206" s="25">
        <f>IFERROR(IF(C206="","",INDEX(직원명부!$B$5:$B$24,MATCH(C206,직원명부!$A$5:$A$24,0))),"사번 확인")</f>
        <v/>
      </c>
      <c r="E206" s="34" t="n"/>
      <c r="F206" s="34" t="n"/>
      <c r="G206" s="28" t="n"/>
      <c r="H206" s="33">
        <f>IF(OR(E206="",F206=""),"",ROUND(MOD(F206-E206,1)*24-N(G206),2))</f>
        <v/>
      </c>
      <c r="I206" s="33">
        <f>IF(H206="","",ROUND(MAX(0,H206-8),2))</f>
        <v/>
      </c>
      <c r="J206" s="33">
        <f>IF(OR(E206="",F206=""),"",ROUND(IF(MOD(F206,1)&gt;=TIME(22,0,0),(MOD(F206,1)-TIME(22,0,0))*24,IF(MOD(F206,1)&lt;TIME(6,0,0),(MOD(F206,1)+1-TIME(22,0,0))*24,0)),2))</f>
        <v/>
      </c>
      <c r="K206" s="33">
        <f>IF(H206="","",ROUND(IF(L206="휴일근로",MIN(H206,8)*1.5+MAX(0,H206-8)*2,I206*1.5)+N(J206)*0.5,2))</f>
        <v/>
      </c>
      <c r="L206" s="18" t="n"/>
      <c r="M206" s="18" t="n"/>
      <c r="N206" s="42" t="inlineStr">
        <is>
          <t>주말</t>
        </is>
      </c>
    </row>
    <row r="207">
      <c r="A207" s="19" t="n">
        <v>46236</v>
      </c>
      <c r="B207" s="25">
        <f>IF(A207="","",CHOOSE(WEEKDAY(A207,2),"월","화","수","목","금","토","일"))</f>
        <v/>
      </c>
      <c r="C207" s="18" t="inlineStr">
        <is>
          <t>M001</t>
        </is>
      </c>
      <c r="D207" s="25">
        <f>IFERROR(IF(C207="","",INDEX(직원명부!$B$5:$B$24,MATCH(C207,직원명부!$A$5:$A$24,0))),"사번 확인")</f>
        <v/>
      </c>
      <c r="E207" s="34" t="n"/>
      <c r="F207" s="34" t="n"/>
      <c r="G207" s="28" t="n"/>
      <c r="H207" s="33">
        <f>IF(OR(E207="",F207=""),"",ROUND(MOD(F207-E207,1)*24-N(G207),2))</f>
        <v/>
      </c>
      <c r="I207" s="33">
        <f>IF(H207="","",ROUND(MAX(0,H207-8),2))</f>
        <v/>
      </c>
      <c r="J207" s="33">
        <f>IF(OR(E207="",F207=""),"",ROUND(IF(MOD(F207,1)&gt;=TIME(22,0,0),(MOD(F207,1)-TIME(22,0,0))*24,IF(MOD(F207,1)&lt;TIME(6,0,0),(MOD(F207,1)+1-TIME(22,0,0))*24,0)),2))</f>
        <v/>
      </c>
      <c r="K207" s="33">
        <f>IF(H207="","",ROUND(IF(L207="휴일근로",MIN(H207,8)*1.5+MAX(0,H207-8)*2,I207*1.5)+N(J207)*0.5,2))</f>
        <v/>
      </c>
      <c r="L207" s="18" t="n"/>
      <c r="M207" s="18" t="n"/>
      <c r="N207" s="42" t="inlineStr">
        <is>
          <t>주말</t>
        </is>
      </c>
    </row>
    <row r="208">
      <c r="A208" s="19" t="n">
        <v>46237</v>
      </c>
      <c r="B208" s="25">
        <f>IF(A208="","",CHOOSE(WEEKDAY(A208,2),"월","화","수","목","금","토","일"))</f>
        <v/>
      </c>
      <c r="C208" s="18" t="inlineStr">
        <is>
          <t>M001</t>
        </is>
      </c>
      <c r="D208" s="25">
        <f>IFERROR(IF(C208="","",INDEX(직원명부!$B$5:$B$24,MATCH(C208,직원명부!$A$5:$A$24,0))),"사번 확인")</f>
        <v/>
      </c>
      <c r="E208" s="34" t="n">
        <v>0.375</v>
      </c>
      <c r="F208" s="34" t="n">
        <v>0.75</v>
      </c>
      <c r="G208" s="28" t="n">
        <v>1</v>
      </c>
      <c r="H208" s="33">
        <f>IF(OR(E208="",F208=""),"",ROUND(MOD(F208-E208,1)*24-N(G208),2))</f>
        <v/>
      </c>
      <c r="I208" s="33">
        <f>IF(H208="","",ROUND(MAX(0,H208-8),2))</f>
        <v/>
      </c>
      <c r="J208" s="33">
        <f>IF(OR(E208="",F208=""),"",ROUND(IF(MOD(F208,1)&gt;=TIME(22,0,0),(MOD(F208,1)-TIME(22,0,0))*24,IF(MOD(F208,1)&lt;TIME(6,0,0),(MOD(F208,1)+1-TIME(22,0,0))*24,0)),2))</f>
        <v/>
      </c>
      <c r="K208" s="33">
        <f>IF(H208="","",ROUND(IF(L208="휴일근로",MIN(H208,8)*1.5+MAX(0,H208-8)*2,I208*1.5)+N(J208)*0.5,2))</f>
        <v/>
      </c>
      <c r="L208" s="18" t="inlineStr">
        <is>
          <t>정상</t>
        </is>
      </c>
      <c r="M208" s="18" t="n"/>
      <c r="N208" s="22" t="n"/>
    </row>
    <row r="209">
      <c r="A209" s="19" t="n">
        <v>46238</v>
      </c>
      <c r="B209" s="25">
        <f>IF(A209="","",CHOOSE(WEEKDAY(A209,2),"월","화","수","목","금","토","일"))</f>
        <v/>
      </c>
      <c r="C209" s="18" t="inlineStr">
        <is>
          <t>M001</t>
        </is>
      </c>
      <c r="D209" s="25">
        <f>IFERROR(IF(C209="","",INDEX(직원명부!$B$5:$B$24,MATCH(C209,직원명부!$A$5:$A$24,0))),"사번 확인")</f>
        <v/>
      </c>
      <c r="E209" s="34" t="n">
        <v>0.375</v>
      </c>
      <c r="F209" s="34" t="n">
        <v>0.75</v>
      </c>
      <c r="G209" s="28" t="n">
        <v>1</v>
      </c>
      <c r="H209" s="33">
        <f>IF(OR(E209="",F209=""),"",ROUND(MOD(F209-E209,1)*24-N(G209),2))</f>
        <v/>
      </c>
      <c r="I209" s="33">
        <f>IF(H209="","",ROUND(MAX(0,H209-8),2))</f>
        <v/>
      </c>
      <c r="J209" s="33">
        <f>IF(OR(E209="",F209=""),"",ROUND(IF(MOD(F209,1)&gt;=TIME(22,0,0),(MOD(F209,1)-TIME(22,0,0))*24,IF(MOD(F209,1)&lt;TIME(6,0,0),(MOD(F209,1)+1-TIME(22,0,0))*24,0)),2))</f>
        <v/>
      </c>
      <c r="K209" s="33">
        <f>IF(H209="","",ROUND(IF(L209="휴일근로",MIN(H209,8)*1.5+MAX(0,H209-8)*2,I209*1.5)+N(J209)*0.5,2))</f>
        <v/>
      </c>
      <c r="L209" s="18" t="inlineStr">
        <is>
          <t>정상</t>
        </is>
      </c>
      <c r="M209" s="18" t="n"/>
      <c r="N209" s="22" t="n"/>
    </row>
    <row r="210">
      <c r="A210" s="19" t="n">
        <v>46239</v>
      </c>
      <c r="B210" s="25">
        <f>IF(A210="","",CHOOSE(WEEKDAY(A210,2),"월","화","수","목","금","토","일"))</f>
        <v/>
      </c>
      <c r="C210" s="18" t="inlineStr">
        <is>
          <t>M001</t>
        </is>
      </c>
      <c r="D210" s="25">
        <f>IFERROR(IF(C210="","",INDEX(직원명부!$B$5:$B$24,MATCH(C210,직원명부!$A$5:$A$24,0))),"사번 확인")</f>
        <v/>
      </c>
      <c r="E210" s="34" t="n">
        <v>0.375</v>
      </c>
      <c r="F210" s="34" t="n">
        <v>0.75</v>
      </c>
      <c r="G210" s="28" t="n">
        <v>1</v>
      </c>
      <c r="H210" s="33">
        <f>IF(OR(E210="",F210=""),"",ROUND(MOD(F210-E210,1)*24-N(G210),2))</f>
        <v/>
      </c>
      <c r="I210" s="33">
        <f>IF(H210="","",ROUND(MAX(0,H210-8),2))</f>
        <v/>
      </c>
      <c r="J210" s="33">
        <f>IF(OR(E210="",F210=""),"",ROUND(IF(MOD(F210,1)&gt;=TIME(22,0,0),(MOD(F210,1)-TIME(22,0,0))*24,IF(MOD(F210,1)&lt;TIME(6,0,0),(MOD(F210,1)+1-TIME(22,0,0))*24,0)),2))</f>
        <v/>
      </c>
      <c r="K210" s="33">
        <f>IF(H210="","",ROUND(IF(L210="휴일근로",MIN(H210,8)*1.5+MAX(0,H210-8)*2,I210*1.5)+N(J210)*0.5,2))</f>
        <v/>
      </c>
      <c r="L210" s="18" t="inlineStr">
        <is>
          <t>정상</t>
        </is>
      </c>
      <c r="M210" s="18" t="n"/>
      <c r="N210" s="22" t="n"/>
    </row>
    <row r="211">
      <c r="A211" s="19" t="n">
        <v>46240</v>
      </c>
      <c r="B211" s="25">
        <f>IF(A211="","",CHOOSE(WEEKDAY(A211,2),"월","화","수","목","금","토","일"))</f>
        <v/>
      </c>
      <c r="C211" s="18" t="inlineStr">
        <is>
          <t>M001</t>
        </is>
      </c>
      <c r="D211" s="25">
        <f>IFERROR(IF(C211="","",INDEX(직원명부!$B$5:$B$24,MATCH(C211,직원명부!$A$5:$A$24,0))),"사번 확인")</f>
        <v/>
      </c>
      <c r="E211" s="34" t="n">
        <v>0.375</v>
      </c>
      <c r="F211" s="34" t="n">
        <v>0.75</v>
      </c>
      <c r="G211" s="28" t="n">
        <v>1</v>
      </c>
      <c r="H211" s="33">
        <f>IF(OR(E211="",F211=""),"",ROUND(MOD(F211-E211,1)*24-N(G211),2))</f>
        <v/>
      </c>
      <c r="I211" s="33">
        <f>IF(H211="","",ROUND(MAX(0,H211-8),2))</f>
        <v/>
      </c>
      <c r="J211" s="33">
        <f>IF(OR(E211="",F211=""),"",ROUND(IF(MOD(F211,1)&gt;=TIME(22,0,0),(MOD(F211,1)-TIME(22,0,0))*24,IF(MOD(F211,1)&lt;TIME(6,0,0),(MOD(F211,1)+1-TIME(22,0,0))*24,0)),2))</f>
        <v/>
      </c>
      <c r="K211" s="33">
        <f>IF(H211="","",ROUND(IF(L211="휴일근로",MIN(H211,8)*1.5+MAX(0,H211-8)*2,I211*1.5)+N(J211)*0.5,2))</f>
        <v/>
      </c>
      <c r="L211" s="18" t="inlineStr">
        <is>
          <t>정상</t>
        </is>
      </c>
      <c r="M211" s="18" t="n"/>
      <c r="N211" s="22" t="n"/>
    </row>
    <row r="212">
      <c r="A212" s="19" t="n">
        <v>46241</v>
      </c>
      <c r="B212" s="25">
        <f>IF(A212="","",CHOOSE(WEEKDAY(A212,2),"월","화","수","목","금","토","일"))</f>
        <v/>
      </c>
      <c r="C212" s="18" t="inlineStr">
        <is>
          <t>M001</t>
        </is>
      </c>
      <c r="D212" s="25">
        <f>IFERROR(IF(C212="","",INDEX(직원명부!$B$5:$B$24,MATCH(C212,직원명부!$A$5:$A$24,0))),"사번 확인")</f>
        <v/>
      </c>
      <c r="E212" s="34" t="n">
        <v>0.375</v>
      </c>
      <c r="F212" s="34" t="n">
        <v>0.75</v>
      </c>
      <c r="G212" s="28" t="n">
        <v>1</v>
      </c>
      <c r="H212" s="33">
        <f>IF(OR(E212="",F212=""),"",ROUND(MOD(F212-E212,1)*24-N(G212),2))</f>
        <v/>
      </c>
      <c r="I212" s="33">
        <f>IF(H212="","",ROUND(MAX(0,H212-8),2))</f>
        <v/>
      </c>
      <c r="J212" s="33">
        <f>IF(OR(E212="",F212=""),"",ROUND(IF(MOD(F212,1)&gt;=TIME(22,0,0),(MOD(F212,1)-TIME(22,0,0))*24,IF(MOD(F212,1)&lt;TIME(6,0,0),(MOD(F212,1)+1-TIME(22,0,0))*24,0)),2))</f>
        <v/>
      </c>
      <c r="K212" s="33">
        <f>IF(H212="","",ROUND(IF(L212="휴일근로",MIN(H212,8)*1.5+MAX(0,H212-8)*2,I212*1.5)+N(J212)*0.5,2))</f>
        <v/>
      </c>
      <c r="L212" s="18" t="inlineStr">
        <is>
          <t>정상</t>
        </is>
      </c>
      <c r="M212" s="18" t="n"/>
      <c r="N212" s="22" t="n"/>
    </row>
    <row r="213">
      <c r="A213" s="19" t="n">
        <v>46242</v>
      </c>
      <c r="B213" s="25">
        <f>IF(A213="","",CHOOSE(WEEKDAY(A213,2),"월","화","수","목","금","토","일"))</f>
        <v/>
      </c>
      <c r="C213" s="18" t="inlineStr">
        <is>
          <t>M001</t>
        </is>
      </c>
      <c r="D213" s="25">
        <f>IFERROR(IF(C213="","",INDEX(직원명부!$B$5:$B$24,MATCH(C213,직원명부!$A$5:$A$24,0))),"사번 확인")</f>
        <v/>
      </c>
      <c r="E213" s="34" t="n"/>
      <c r="F213" s="34" t="n"/>
      <c r="G213" s="28" t="n"/>
      <c r="H213" s="33">
        <f>IF(OR(E213="",F213=""),"",ROUND(MOD(F213-E213,1)*24-N(G213),2))</f>
        <v/>
      </c>
      <c r="I213" s="33">
        <f>IF(H213="","",ROUND(MAX(0,H213-8),2))</f>
        <v/>
      </c>
      <c r="J213" s="33">
        <f>IF(OR(E213="",F213=""),"",ROUND(IF(MOD(F213,1)&gt;=TIME(22,0,0),(MOD(F213,1)-TIME(22,0,0))*24,IF(MOD(F213,1)&lt;TIME(6,0,0),(MOD(F213,1)+1-TIME(22,0,0))*24,0)),2))</f>
        <v/>
      </c>
      <c r="K213" s="33">
        <f>IF(H213="","",ROUND(IF(L213="휴일근로",MIN(H213,8)*1.5+MAX(0,H213-8)*2,I213*1.5)+N(J213)*0.5,2))</f>
        <v/>
      </c>
      <c r="L213" s="18" t="n"/>
      <c r="M213" s="18" t="n"/>
      <c r="N213" s="42" t="inlineStr">
        <is>
          <t>주말</t>
        </is>
      </c>
    </row>
    <row r="214">
      <c r="A214" s="19" t="n">
        <v>46243</v>
      </c>
      <c r="B214" s="25">
        <f>IF(A214="","",CHOOSE(WEEKDAY(A214,2),"월","화","수","목","금","토","일"))</f>
        <v/>
      </c>
      <c r="C214" s="18" t="inlineStr">
        <is>
          <t>M001</t>
        </is>
      </c>
      <c r="D214" s="25">
        <f>IFERROR(IF(C214="","",INDEX(직원명부!$B$5:$B$24,MATCH(C214,직원명부!$A$5:$A$24,0))),"사번 확인")</f>
        <v/>
      </c>
      <c r="E214" s="34" t="n"/>
      <c r="F214" s="34" t="n"/>
      <c r="G214" s="28" t="n"/>
      <c r="H214" s="33">
        <f>IF(OR(E214="",F214=""),"",ROUND(MOD(F214-E214,1)*24-N(G214),2))</f>
        <v/>
      </c>
      <c r="I214" s="33">
        <f>IF(H214="","",ROUND(MAX(0,H214-8),2))</f>
        <v/>
      </c>
      <c r="J214" s="33">
        <f>IF(OR(E214="",F214=""),"",ROUND(IF(MOD(F214,1)&gt;=TIME(22,0,0),(MOD(F214,1)-TIME(22,0,0))*24,IF(MOD(F214,1)&lt;TIME(6,0,0),(MOD(F214,1)+1-TIME(22,0,0))*24,0)),2))</f>
        <v/>
      </c>
      <c r="K214" s="33">
        <f>IF(H214="","",ROUND(IF(L214="휴일근로",MIN(H214,8)*1.5+MAX(0,H214-8)*2,I214*1.5)+N(J214)*0.5,2))</f>
        <v/>
      </c>
      <c r="L214" s="18" t="n"/>
      <c r="M214" s="18" t="n"/>
      <c r="N214" s="42" t="inlineStr">
        <is>
          <t>주말</t>
        </is>
      </c>
    </row>
    <row r="215">
      <c r="A215" s="19" t="n">
        <v>46244</v>
      </c>
      <c r="B215" s="25">
        <f>IF(A215="","",CHOOSE(WEEKDAY(A215,2),"월","화","수","목","금","토","일"))</f>
        <v/>
      </c>
      <c r="C215" s="18" t="inlineStr">
        <is>
          <t>M001</t>
        </is>
      </c>
      <c r="D215" s="25">
        <f>IFERROR(IF(C215="","",INDEX(직원명부!$B$5:$B$24,MATCH(C215,직원명부!$A$5:$A$24,0))),"사번 확인")</f>
        <v/>
      </c>
      <c r="E215" s="34" t="n">
        <v>0.375</v>
      </c>
      <c r="F215" s="34" t="n">
        <v>0.75</v>
      </c>
      <c r="G215" s="28" t="n">
        <v>1</v>
      </c>
      <c r="H215" s="33">
        <f>IF(OR(E215="",F215=""),"",ROUND(MOD(F215-E215,1)*24-N(G215),2))</f>
        <v/>
      </c>
      <c r="I215" s="33">
        <f>IF(H215="","",ROUND(MAX(0,H215-8),2))</f>
        <v/>
      </c>
      <c r="J215" s="33">
        <f>IF(OR(E215="",F215=""),"",ROUND(IF(MOD(F215,1)&gt;=TIME(22,0,0),(MOD(F215,1)-TIME(22,0,0))*24,IF(MOD(F215,1)&lt;TIME(6,0,0),(MOD(F215,1)+1-TIME(22,0,0))*24,0)),2))</f>
        <v/>
      </c>
      <c r="K215" s="33">
        <f>IF(H215="","",ROUND(IF(L215="휴일근로",MIN(H215,8)*1.5+MAX(0,H215-8)*2,I215*1.5)+N(J215)*0.5,2))</f>
        <v/>
      </c>
      <c r="L215" s="18" t="inlineStr">
        <is>
          <t>정상</t>
        </is>
      </c>
      <c r="M215" s="18" t="n"/>
      <c r="N215" s="22" t="n"/>
    </row>
    <row r="216">
      <c r="A216" s="19" t="n">
        <v>46245</v>
      </c>
      <c r="B216" s="25">
        <f>IF(A216="","",CHOOSE(WEEKDAY(A216,2),"월","화","수","목","금","토","일"))</f>
        <v/>
      </c>
      <c r="C216" s="18" t="inlineStr">
        <is>
          <t>M001</t>
        </is>
      </c>
      <c r="D216" s="25">
        <f>IFERROR(IF(C216="","",INDEX(직원명부!$B$5:$B$24,MATCH(C216,직원명부!$A$5:$A$24,0))),"사번 확인")</f>
        <v/>
      </c>
      <c r="E216" s="34" t="n">
        <v>0.375</v>
      </c>
      <c r="F216" s="34" t="n">
        <v>0.75</v>
      </c>
      <c r="G216" s="28" t="n">
        <v>1</v>
      </c>
      <c r="H216" s="33">
        <f>IF(OR(E216="",F216=""),"",ROUND(MOD(F216-E216,1)*24-N(G216),2))</f>
        <v/>
      </c>
      <c r="I216" s="33">
        <f>IF(H216="","",ROUND(MAX(0,H216-8),2))</f>
        <v/>
      </c>
      <c r="J216" s="33">
        <f>IF(OR(E216="",F216=""),"",ROUND(IF(MOD(F216,1)&gt;=TIME(22,0,0),(MOD(F216,1)-TIME(22,0,0))*24,IF(MOD(F216,1)&lt;TIME(6,0,0),(MOD(F216,1)+1-TIME(22,0,0))*24,0)),2))</f>
        <v/>
      </c>
      <c r="K216" s="33">
        <f>IF(H216="","",ROUND(IF(L216="휴일근로",MIN(H216,8)*1.5+MAX(0,H216-8)*2,I216*1.5)+N(J216)*0.5,2))</f>
        <v/>
      </c>
      <c r="L216" s="18" t="inlineStr">
        <is>
          <t>정상</t>
        </is>
      </c>
      <c r="M216" s="18" t="n"/>
      <c r="N216" s="22" t="n"/>
    </row>
    <row r="217">
      <c r="A217" s="19" t="n">
        <v>46246</v>
      </c>
      <c r="B217" s="25">
        <f>IF(A217="","",CHOOSE(WEEKDAY(A217,2),"월","화","수","목","금","토","일"))</f>
        <v/>
      </c>
      <c r="C217" s="18" t="inlineStr">
        <is>
          <t>M001</t>
        </is>
      </c>
      <c r="D217" s="25">
        <f>IFERROR(IF(C217="","",INDEX(직원명부!$B$5:$B$24,MATCH(C217,직원명부!$A$5:$A$24,0))),"사번 확인")</f>
        <v/>
      </c>
      <c r="E217" s="34" t="n">
        <v>0.375</v>
      </c>
      <c r="F217" s="34" t="n">
        <v>0.75</v>
      </c>
      <c r="G217" s="28" t="n">
        <v>1</v>
      </c>
      <c r="H217" s="33">
        <f>IF(OR(E217="",F217=""),"",ROUND(MOD(F217-E217,1)*24-N(G217),2))</f>
        <v/>
      </c>
      <c r="I217" s="33">
        <f>IF(H217="","",ROUND(MAX(0,H217-8),2))</f>
        <v/>
      </c>
      <c r="J217" s="33">
        <f>IF(OR(E217="",F217=""),"",ROUND(IF(MOD(F217,1)&gt;=TIME(22,0,0),(MOD(F217,1)-TIME(22,0,0))*24,IF(MOD(F217,1)&lt;TIME(6,0,0),(MOD(F217,1)+1-TIME(22,0,0))*24,0)),2))</f>
        <v/>
      </c>
      <c r="K217" s="33">
        <f>IF(H217="","",ROUND(IF(L217="휴일근로",MIN(H217,8)*1.5+MAX(0,H217-8)*2,I217*1.5)+N(J217)*0.5,2))</f>
        <v/>
      </c>
      <c r="L217" s="18" t="inlineStr">
        <is>
          <t>정상</t>
        </is>
      </c>
      <c r="M217" s="18" t="n"/>
      <c r="N217" s="22" t="n"/>
    </row>
    <row r="218">
      <c r="A218" s="19" t="n">
        <v>46247</v>
      </c>
      <c r="B218" s="25">
        <f>IF(A218="","",CHOOSE(WEEKDAY(A218,2),"월","화","수","목","금","토","일"))</f>
        <v/>
      </c>
      <c r="C218" s="18" t="inlineStr">
        <is>
          <t>M001</t>
        </is>
      </c>
      <c r="D218" s="25">
        <f>IFERROR(IF(C218="","",INDEX(직원명부!$B$5:$B$24,MATCH(C218,직원명부!$A$5:$A$24,0))),"사번 확인")</f>
        <v/>
      </c>
      <c r="E218" s="34" t="n">
        <v>0.375</v>
      </c>
      <c r="F218" s="34" t="n">
        <v>0.75</v>
      </c>
      <c r="G218" s="28" t="n">
        <v>1</v>
      </c>
      <c r="H218" s="33">
        <f>IF(OR(E218="",F218=""),"",ROUND(MOD(F218-E218,1)*24-N(G218),2))</f>
        <v/>
      </c>
      <c r="I218" s="33">
        <f>IF(H218="","",ROUND(MAX(0,H218-8),2))</f>
        <v/>
      </c>
      <c r="J218" s="33">
        <f>IF(OR(E218="",F218=""),"",ROUND(IF(MOD(F218,1)&gt;=TIME(22,0,0),(MOD(F218,1)-TIME(22,0,0))*24,IF(MOD(F218,1)&lt;TIME(6,0,0),(MOD(F218,1)+1-TIME(22,0,0))*24,0)),2))</f>
        <v/>
      </c>
      <c r="K218" s="33">
        <f>IF(H218="","",ROUND(IF(L218="휴일근로",MIN(H218,8)*1.5+MAX(0,H218-8)*2,I218*1.5)+N(J218)*0.5,2))</f>
        <v/>
      </c>
      <c r="L218" s="18" t="inlineStr">
        <is>
          <t>정상</t>
        </is>
      </c>
      <c r="M218" s="18" t="n"/>
      <c r="N218" s="22" t="n"/>
    </row>
    <row r="219">
      <c r="A219" s="19" t="n">
        <v>46248</v>
      </c>
      <c r="B219" s="25">
        <f>IF(A219="","",CHOOSE(WEEKDAY(A219,2),"월","화","수","목","금","토","일"))</f>
        <v/>
      </c>
      <c r="C219" s="18" t="inlineStr">
        <is>
          <t>M001</t>
        </is>
      </c>
      <c r="D219" s="25">
        <f>IFERROR(IF(C219="","",INDEX(직원명부!$B$5:$B$24,MATCH(C219,직원명부!$A$5:$A$24,0))),"사번 확인")</f>
        <v/>
      </c>
      <c r="E219" s="34" t="n">
        <v>0.375</v>
      </c>
      <c r="F219" s="34" t="n">
        <v>0.75</v>
      </c>
      <c r="G219" s="28" t="n">
        <v>1</v>
      </c>
      <c r="H219" s="33">
        <f>IF(OR(E219="",F219=""),"",ROUND(MOD(F219-E219,1)*24-N(G219),2))</f>
        <v/>
      </c>
      <c r="I219" s="33">
        <f>IF(H219="","",ROUND(MAX(0,H219-8),2))</f>
        <v/>
      </c>
      <c r="J219" s="33">
        <f>IF(OR(E219="",F219=""),"",ROUND(IF(MOD(F219,1)&gt;=TIME(22,0,0),(MOD(F219,1)-TIME(22,0,0))*24,IF(MOD(F219,1)&lt;TIME(6,0,0),(MOD(F219,1)+1-TIME(22,0,0))*24,0)),2))</f>
        <v/>
      </c>
      <c r="K219" s="33">
        <f>IF(H219="","",ROUND(IF(L219="휴일근로",MIN(H219,8)*1.5+MAX(0,H219-8)*2,I219*1.5)+N(J219)*0.5,2))</f>
        <v/>
      </c>
      <c r="L219" s="18" t="inlineStr">
        <is>
          <t>정상</t>
        </is>
      </c>
      <c r="M219" s="18" t="n"/>
      <c r="N219" s="22" t="n"/>
    </row>
    <row r="220">
      <c r="A220" s="19" t="n">
        <v>46249</v>
      </c>
      <c r="B220" s="25">
        <f>IF(A220="","",CHOOSE(WEEKDAY(A220,2),"월","화","수","목","금","토","일"))</f>
        <v/>
      </c>
      <c r="C220" s="18" t="inlineStr">
        <is>
          <t>M001</t>
        </is>
      </c>
      <c r="D220" s="25">
        <f>IFERROR(IF(C220="","",INDEX(직원명부!$B$5:$B$24,MATCH(C220,직원명부!$A$5:$A$24,0))),"사번 확인")</f>
        <v/>
      </c>
      <c r="E220" s="34" t="n"/>
      <c r="F220" s="34" t="n"/>
      <c r="G220" s="28" t="n"/>
      <c r="H220" s="33">
        <f>IF(OR(E220="",F220=""),"",ROUND(MOD(F220-E220,1)*24-N(G220),2))</f>
        <v/>
      </c>
      <c r="I220" s="33">
        <f>IF(H220="","",ROUND(MAX(0,H220-8),2))</f>
        <v/>
      </c>
      <c r="J220" s="33">
        <f>IF(OR(E220="",F220=""),"",ROUND(IF(MOD(F220,1)&gt;=TIME(22,0,0),(MOD(F220,1)-TIME(22,0,0))*24,IF(MOD(F220,1)&lt;TIME(6,0,0),(MOD(F220,1)+1-TIME(22,0,0))*24,0)),2))</f>
        <v/>
      </c>
      <c r="K220" s="33">
        <f>IF(H220="","",ROUND(IF(L220="휴일근로",MIN(H220,8)*1.5+MAX(0,H220-8)*2,I220*1.5)+N(J220)*0.5,2))</f>
        <v/>
      </c>
      <c r="L220" s="18" t="n"/>
      <c r="M220" s="18" t="n"/>
      <c r="N220" s="42" t="inlineStr">
        <is>
          <t>광복절</t>
        </is>
      </c>
    </row>
    <row r="221">
      <c r="A221" s="19" t="n">
        <v>46250</v>
      </c>
      <c r="B221" s="25">
        <f>IF(A221="","",CHOOSE(WEEKDAY(A221,2),"월","화","수","목","금","토","일"))</f>
        <v/>
      </c>
      <c r="C221" s="18" t="inlineStr">
        <is>
          <t>M001</t>
        </is>
      </c>
      <c r="D221" s="25">
        <f>IFERROR(IF(C221="","",INDEX(직원명부!$B$5:$B$24,MATCH(C221,직원명부!$A$5:$A$24,0))),"사번 확인")</f>
        <v/>
      </c>
      <c r="E221" s="34" t="n"/>
      <c r="F221" s="34" t="n"/>
      <c r="G221" s="28" t="n"/>
      <c r="H221" s="33">
        <f>IF(OR(E221="",F221=""),"",ROUND(MOD(F221-E221,1)*24-N(G221),2))</f>
        <v/>
      </c>
      <c r="I221" s="33">
        <f>IF(H221="","",ROUND(MAX(0,H221-8),2))</f>
        <v/>
      </c>
      <c r="J221" s="33">
        <f>IF(OR(E221="",F221=""),"",ROUND(IF(MOD(F221,1)&gt;=TIME(22,0,0),(MOD(F221,1)-TIME(22,0,0))*24,IF(MOD(F221,1)&lt;TIME(6,0,0),(MOD(F221,1)+1-TIME(22,0,0))*24,0)),2))</f>
        <v/>
      </c>
      <c r="K221" s="33">
        <f>IF(H221="","",ROUND(IF(L221="휴일근로",MIN(H221,8)*1.5+MAX(0,H221-8)*2,I221*1.5)+N(J221)*0.5,2))</f>
        <v/>
      </c>
      <c r="L221" s="18" t="n"/>
      <c r="M221" s="18" t="n"/>
      <c r="N221" s="42" t="inlineStr">
        <is>
          <t>주말</t>
        </is>
      </c>
    </row>
    <row r="222">
      <c r="A222" s="19" t="n">
        <v>46251</v>
      </c>
      <c r="B222" s="25">
        <f>IF(A222="","",CHOOSE(WEEKDAY(A222,2),"월","화","수","목","금","토","일"))</f>
        <v/>
      </c>
      <c r="C222" s="18" t="inlineStr">
        <is>
          <t>M001</t>
        </is>
      </c>
      <c r="D222" s="25">
        <f>IFERROR(IF(C222="","",INDEX(직원명부!$B$5:$B$24,MATCH(C222,직원명부!$A$5:$A$24,0))),"사번 확인")</f>
        <v/>
      </c>
      <c r="E222" s="34" t="n">
        <v>0.375</v>
      </c>
      <c r="F222" s="34" t="n">
        <v>0.75</v>
      </c>
      <c r="G222" s="28" t="n">
        <v>1</v>
      </c>
      <c r="H222" s="33">
        <f>IF(OR(E222="",F222=""),"",ROUND(MOD(F222-E222,1)*24-N(G222),2))</f>
        <v/>
      </c>
      <c r="I222" s="33">
        <f>IF(H222="","",ROUND(MAX(0,H222-8),2))</f>
        <v/>
      </c>
      <c r="J222" s="33">
        <f>IF(OR(E222="",F222=""),"",ROUND(IF(MOD(F222,1)&gt;=TIME(22,0,0),(MOD(F222,1)-TIME(22,0,0))*24,IF(MOD(F222,1)&lt;TIME(6,0,0),(MOD(F222,1)+1-TIME(22,0,0))*24,0)),2))</f>
        <v/>
      </c>
      <c r="K222" s="33">
        <f>IF(H222="","",ROUND(IF(L222="휴일근로",MIN(H222,8)*1.5+MAX(0,H222-8)*2,I222*1.5)+N(J222)*0.5,2))</f>
        <v/>
      </c>
      <c r="L222" s="18" t="inlineStr">
        <is>
          <t>정상</t>
        </is>
      </c>
      <c r="M222" s="18" t="n"/>
      <c r="N222" s="42" t="inlineStr">
        <is>
          <t>광복절 대체공휴일</t>
        </is>
      </c>
    </row>
    <row r="223">
      <c r="A223" s="19" t="n">
        <v>46252</v>
      </c>
      <c r="B223" s="25">
        <f>IF(A223="","",CHOOSE(WEEKDAY(A223,2),"월","화","수","목","금","토","일"))</f>
        <v/>
      </c>
      <c r="C223" s="18" t="inlineStr">
        <is>
          <t>M001</t>
        </is>
      </c>
      <c r="D223" s="25">
        <f>IFERROR(IF(C223="","",INDEX(직원명부!$B$5:$B$24,MATCH(C223,직원명부!$A$5:$A$24,0))),"사번 확인")</f>
        <v/>
      </c>
      <c r="E223" s="34" t="n">
        <v>0.375</v>
      </c>
      <c r="F223" s="34" t="n">
        <v>0.75</v>
      </c>
      <c r="G223" s="28" t="n">
        <v>1</v>
      </c>
      <c r="H223" s="33">
        <f>IF(OR(E223="",F223=""),"",ROUND(MOD(F223-E223,1)*24-N(G223),2))</f>
        <v/>
      </c>
      <c r="I223" s="33">
        <f>IF(H223="","",ROUND(MAX(0,H223-8),2))</f>
        <v/>
      </c>
      <c r="J223" s="33">
        <f>IF(OR(E223="",F223=""),"",ROUND(IF(MOD(F223,1)&gt;=TIME(22,0,0),(MOD(F223,1)-TIME(22,0,0))*24,IF(MOD(F223,1)&lt;TIME(6,0,0),(MOD(F223,1)+1-TIME(22,0,0))*24,0)),2))</f>
        <v/>
      </c>
      <c r="K223" s="33">
        <f>IF(H223="","",ROUND(IF(L223="휴일근로",MIN(H223,8)*1.5+MAX(0,H223-8)*2,I223*1.5)+N(J223)*0.5,2))</f>
        <v/>
      </c>
      <c r="L223" s="18" t="inlineStr">
        <is>
          <t>정상</t>
        </is>
      </c>
      <c r="M223" s="18" t="n"/>
      <c r="N223" s="22" t="n"/>
    </row>
    <row r="224">
      <c r="A224" s="19" t="n">
        <v>46253</v>
      </c>
      <c r="B224" s="25">
        <f>IF(A224="","",CHOOSE(WEEKDAY(A224,2),"월","화","수","목","금","토","일"))</f>
        <v/>
      </c>
      <c r="C224" s="18" t="inlineStr">
        <is>
          <t>M001</t>
        </is>
      </c>
      <c r="D224" s="25">
        <f>IFERROR(IF(C224="","",INDEX(직원명부!$B$5:$B$24,MATCH(C224,직원명부!$A$5:$A$24,0))),"사번 확인")</f>
        <v/>
      </c>
      <c r="E224" s="34" t="n">
        <v>0.375</v>
      </c>
      <c r="F224" s="34" t="n">
        <v>0.75</v>
      </c>
      <c r="G224" s="28" t="n">
        <v>1</v>
      </c>
      <c r="H224" s="33">
        <f>IF(OR(E224="",F224=""),"",ROUND(MOD(F224-E224,1)*24-N(G224),2))</f>
        <v/>
      </c>
      <c r="I224" s="33">
        <f>IF(H224="","",ROUND(MAX(0,H224-8),2))</f>
        <v/>
      </c>
      <c r="J224" s="33">
        <f>IF(OR(E224="",F224=""),"",ROUND(IF(MOD(F224,1)&gt;=TIME(22,0,0),(MOD(F224,1)-TIME(22,0,0))*24,IF(MOD(F224,1)&lt;TIME(6,0,0),(MOD(F224,1)+1-TIME(22,0,0))*24,0)),2))</f>
        <v/>
      </c>
      <c r="K224" s="33">
        <f>IF(H224="","",ROUND(IF(L224="휴일근로",MIN(H224,8)*1.5+MAX(0,H224-8)*2,I224*1.5)+N(J224)*0.5,2))</f>
        <v/>
      </c>
      <c r="L224" s="18" t="inlineStr">
        <is>
          <t>정상</t>
        </is>
      </c>
      <c r="M224" s="18" t="n"/>
      <c r="N224" s="22" t="n"/>
    </row>
    <row r="225">
      <c r="A225" s="19" t="n">
        <v>46254</v>
      </c>
      <c r="B225" s="25">
        <f>IF(A225="","",CHOOSE(WEEKDAY(A225,2),"월","화","수","목","금","토","일"))</f>
        <v/>
      </c>
      <c r="C225" s="18" t="inlineStr">
        <is>
          <t>M001</t>
        </is>
      </c>
      <c r="D225" s="25">
        <f>IFERROR(IF(C225="","",INDEX(직원명부!$B$5:$B$24,MATCH(C225,직원명부!$A$5:$A$24,0))),"사번 확인")</f>
        <v/>
      </c>
      <c r="E225" s="34" t="n">
        <v>0.375</v>
      </c>
      <c r="F225" s="34" t="n">
        <v>0.75</v>
      </c>
      <c r="G225" s="28" t="n">
        <v>1</v>
      </c>
      <c r="H225" s="33">
        <f>IF(OR(E225="",F225=""),"",ROUND(MOD(F225-E225,1)*24-N(G225),2))</f>
        <v/>
      </c>
      <c r="I225" s="33">
        <f>IF(H225="","",ROUND(MAX(0,H225-8),2))</f>
        <v/>
      </c>
      <c r="J225" s="33">
        <f>IF(OR(E225="",F225=""),"",ROUND(IF(MOD(F225,1)&gt;=TIME(22,0,0),(MOD(F225,1)-TIME(22,0,0))*24,IF(MOD(F225,1)&lt;TIME(6,0,0),(MOD(F225,1)+1-TIME(22,0,0))*24,0)),2))</f>
        <v/>
      </c>
      <c r="K225" s="33">
        <f>IF(H225="","",ROUND(IF(L225="휴일근로",MIN(H225,8)*1.5+MAX(0,H225-8)*2,I225*1.5)+N(J225)*0.5,2))</f>
        <v/>
      </c>
      <c r="L225" s="18" t="inlineStr">
        <is>
          <t>정상</t>
        </is>
      </c>
      <c r="M225" s="18" t="n"/>
      <c r="N225" s="22" t="n"/>
    </row>
    <row r="226">
      <c r="A226" s="19" t="n">
        <v>46255</v>
      </c>
      <c r="B226" s="25">
        <f>IF(A226="","",CHOOSE(WEEKDAY(A226,2),"월","화","수","목","금","토","일"))</f>
        <v/>
      </c>
      <c r="C226" s="18" t="inlineStr">
        <is>
          <t>M001</t>
        </is>
      </c>
      <c r="D226" s="25">
        <f>IFERROR(IF(C226="","",INDEX(직원명부!$B$5:$B$24,MATCH(C226,직원명부!$A$5:$A$24,0))),"사번 확인")</f>
        <v/>
      </c>
      <c r="E226" s="34" t="n">
        <v>0.375</v>
      </c>
      <c r="F226" s="34" t="n">
        <v>0.75</v>
      </c>
      <c r="G226" s="28" t="n">
        <v>1</v>
      </c>
      <c r="H226" s="33">
        <f>IF(OR(E226="",F226=""),"",ROUND(MOD(F226-E226,1)*24-N(G226),2))</f>
        <v/>
      </c>
      <c r="I226" s="33">
        <f>IF(H226="","",ROUND(MAX(0,H226-8),2))</f>
        <v/>
      </c>
      <c r="J226" s="33">
        <f>IF(OR(E226="",F226=""),"",ROUND(IF(MOD(F226,1)&gt;=TIME(22,0,0),(MOD(F226,1)-TIME(22,0,0))*24,IF(MOD(F226,1)&lt;TIME(6,0,0),(MOD(F226,1)+1-TIME(22,0,0))*24,0)),2))</f>
        <v/>
      </c>
      <c r="K226" s="33">
        <f>IF(H226="","",ROUND(IF(L226="휴일근로",MIN(H226,8)*1.5+MAX(0,H226-8)*2,I226*1.5)+N(J226)*0.5,2))</f>
        <v/>
      </c>
      <c r="L226" s="18" t="inlineStr">
        <is>
          <t>정상</t>
        </is>
      </c>
      <c r="M226" s="18" t="n"/>
      <c r="N226" s="22" t="n"/>
    </row>
    <row r="227">
      <c r="A227" s="19" t="n">
        <v>46256</v>
      </c>
      <c r="B227" s="25">
        <f>IF(A227="","",CHOOSE(WEEKDAY(A227,2),"월","화","수","목","금","토","일"))</f>
        <v/>
      </c>
      <c r="C227" s="18" t="inlineStr">
        <is>
          <t>M001</t>
        </is>
      </c>
      <c r="D227" s="25">
        <f>IFERROR(IF(C227="","",INDEX(직원명부!$B$5:$B$24,MATCH(C227,직원명부!$A$5:$A$24,0))),"사번 확인")</f>
        <v/>
      </c>
      <c r="E227" s="34" t="n"/>
      <c r="F227" s="34" t="n"/>
      <c r="G227" s="28" t="n"/>
      <c r="H227" s="33">
        <f>IF(OR(E227="",F227=""),"",ROUND(MOD(F227-E227,1)*24-N(G227),2))</f>
        <v/>
      </c>
      <c r="I227" s="33">
        <f>IF(H227="","",ROUND(MAX(0,H227-8),2))</f>
        <v/>
      </c>
      <c r="J227" s="33">
        <f>IF(OR(E227="",F227=""),"",ROUND(IF(MOD(F227,1)&gt;=TIME(22,0,0),(MOD(F227,1)-TIME(22,0,0))*24,IF(MOD(F227,1)&lt;TIME(6,0,0),(MOD(F227,1)+1-TIME(22,0,0))*24,0)),2))</f>
        <v/>
      </c>
      <c r="K227" s="33">
        <f>IF(H227="","",ROUND(IF(L227="휴일근로",MIN(H227,8)*1.5+MAX(0,H227-8)*2,I227*1.5)+N(J227)*0.5,2))</f>
        <v/>
      </c>
      <c r="L227" s="18" t="n"/>
      <c r="M227" s="18" t="n"/>
      <c r="N227" s="42" t="inlineStr">
        <is>
          <t>주말</t>
        </is>
      </c>
    </row>
    <row r="228">
      <c r="A228" s="19" t="n">
        <v>46257</v>
      </c>
      <c r="B228" s="25">
        <f>IF(A228="","",CHOOSE(WEEKDAY(A228,2),"월","화","수","목","금","토","일"))</f>
        <v/>
      </c>
      <c r="C228" s="18" t="inlineStr">
        <is>
          <t>M001</t>
        </is>
      </c>
      <c r="D228" s="25">
        <f>IFERROR(IF(C228="","",INDEX(직원명부!$B$5:$B$24,MATCH(C228,직원명부!$A$5:$A$24,0))),"사번 확인")</f>
        <v/>
      </c>
      <c r="E228" s="34" t="n"/>
      <c r="F228" s="34" t="n"/>
      <c r="G228" s="28" t="n"/>
      <c r="H228" s="33">
        <f>IF(OR(E228="",F228=""),"",ROUND(MOD(F228-E228,1)*24-N(G228),2))</f>
        <v/>
      </c>
      <c r="I228" s="33">
        <f>IF(H228="","",ROUND(MAX(0,H228-8),2))</f>
        <v/>
      </c>
      <c r="J228" s="33">
        <f>IF(OR(E228="",F228=""),"",ROUND(IF(MOD(F228,1)&gt;=TIME(22,0,0),(MOD(F228,1)-TIME(22,0,0))*24,IF(MOD(F228,1)&lt;TIME(6,0,0),(MOD(F228,1)+1-TIME(22,0,0))*24,0)),2))</f>
        <v/>
      </c>
      <c r="K228" s="33">
        <f>IF(H228="","",ROUND(IF(L228="휴일근로",MIN(H228,8)*1.5+MAX(0,H228-8)*2,I228*1.5)+N(J228)*0.5,2))</f>
        <v/>
      </c>
      <c r="L228" s="18" t="n"/>
      <c r="M228" s="18" t="n"/>
      <c r="N228" s="42" t="inlineStr">
        <is>
          <t>주말</t>
        </is>
      </c>
    </row>
    <row r="229">
      <c r="A229" s="19" t="n">
        <v>46258</v>
      </c>
      <c r="B229" s="25">
        <f>IF(A229="","",CHOOSE(WEEKDAY(A229,2),"월","화","수","목","금","토","일"))</f>
        <v/>
      </c>
      <c r="C229" s="18" t="inlineStr">
        <is>
          <t>M001</t>
        </is>
      </c>
      <c r="D229" s="25">
        <f>IFERROR(IF(C229="","",INDEX(직원명부!$B$5:$B$24,MATCH(C229,직원명부!$A$5:$A$24,0))),"사번 확인")</f>
        <v/>
      </c>
      <c r="E229" s="34" t="n">
        <v>0.375</v>
      </c>
      <c r="F229" s="34" t="n">
        <v>0.75</v>
      </c>
      <c r="G229" s="28" t="n">
        <v>1</v>
      </c>
      <c r="H229" s="33">
        <f>IF(OR(E229="",F229=""),"",ROUND(MOD(F229-E229,1)*24-N(G229),2))</f>
        <v/>
      </c>
      <c r="I229" s="33">
        <f>IF(H229="","",ROUND(MAX(0,H229-8),2))</f>
        <v/>
      </c>
      <c r="J229" s="33">
        <f>IF(OR(E229="",F229=""),"",ROUND(IF(MOD(F229,1)&gt;=TIME(22,0,0),(MOD(F229,1)-TIME(22,0,0))*24,IF(MOD(F229,1)&lt;TIME(6,0,0),(MOD(F229,1)+1-TIME(22,0,0))*24,0)),2))</f>
        <v/>
      </c>
      <c r="K229" s="33">
        <f>IF(H229="","",ROUND(IF(L229="휴일근로",MIN(H229,8)*1.5+MAX(0,H229-8)*2,I229*1.5)+N(J229)*0.5,2))</f>
        <v/>
      </c>
      <c r="L229" s="18" t="inlineStr">
        <is>
          <t>정상</t>
        </is>
      </c>
      <c r="M229" s="18" t="n"/>
      <c r="N229" s="22" t="n"/>
    </row>
    <row r="230">
      <c r="A230" s="19" t="n">
        <v>46259</v>
      </c>
      <c r="B230" s="25">
        <f>IF(A230="","",CHOOSE(WEEKDAY(A230,2),"월","화","수","목","금","토","일"))</f>
        <v/>
      </c>
      <c r="C230" s="18" t="inlineStr">
        <is>
          <t>M001</t>
        </is>
      </c>
      <c r="D230" s="25">
        <f>IFERROR(IF(C230="","",INDEX(직원명부!$B$5:$B$24,MATCH(C230,직원명부!$A$5:$A$24,0))),"사번 확인")</f>
        <v/>
      </c>
      <c r="E230" s="34" t="n">
        <v>0.375</v>
      </c>
      <c r="F230" s="34" t="n">
        <v>0.75</v>
      </c>
      <c r="G230" s="28" t="n">
        <v>1</v>
      </c>
      <c r="H230" s="33">
        <f>IF(OR(E230="",F230=""),"",ROUND(MOD(F230-E230,1)*24-N(G230),2))</f>
        <v/>
      </c>
      <c r="I230" s="33">
        <f>IF(H230="","",ROUND(MAX(0,H230-8),2))</f>
        <v/>
      </c>
      <c r="J230" s="33">
        <f>IF(OR(E230="",F230=""),"",ROUND(IF(MOD(F230,1)&gt;=TIME(22,0,0),(MOD(F230,1)-TIME(22,0,0))*24,IF(MOD(F230,1)&lt;TIME(6,0,0),(MOD(F230,1)+1-TIME(22,0,0))*24,0)),2))</f>
        <v/>
      </c>
      <c r="K230" s="33">
        <f>IF(H230="","",ROUND(IF(L230="휴일근로",MIN(H230,8)*1.5+MAX(0,H230-8)*2,I230*1.5)+N(J230)*0.5,2))</f>
        <v/>
      </c>
      <c r="L230" s="18" t="inlineStr">
        <is>
          <t>정상</t>
        </is>
      </c>
      <c r="M230" s="18" t="n"/>
      <c r="N230" s="22" t="n"/>
    </row>
    <row r="231">
      <c r="A231" s="19" t="n">
        <v>46260</v>
      </c>
      <c r="B231" s="25">
        <f>IF(A231="","",CHOOSE(WEEKDAY(A231,2),"월","화","수","목","금","토","일"))</f>
        <v/>
      </c>
      <c r="C231" s="18" t="inlineStr">
        <is>
          <t>M001</t>
        </is>
      </c>
      <c r="D231" s="25">
        <f>IFERROR(IF(C231="","",INDEX(직원명부!$B$5:$B$24,MATCH(C231,직원명부!$A$5:$A$24,0))),"사번 확인")</f>
        <v/>
      </c>
      <c r="E231" s="34" t="n">
        <v>0.375</v>
      </c>
      <c r="F231" s="34" t="n">
        <v>0.75</v>
      </c>
      <c r="G231" s="28" t="n">
        <v>1</v>
      </c>
      <c r="H231" s="33">
        <f>IF(OR(E231="",F231=""),"",ROUND(MOD(F231-E231,1)*24-N(G231),2))</f>
        <v/>
      </c>
      <c r="I231" s="33">
        <f>IF(H231="","",ROUND(MAX(0,H231-8),2))</f>
        <v/>
      </c>
      <c r="J231" s="33">
        <f>IF(OR(E231="",F231=""),"",ROUND(IF(MOD(F231,1)&gt;=TIME(22,0,0),(MOD(F231,1)-TIME(22,0,0))*24,IF(MOD(F231,1)&lt;TIME(6,0,0),(MOD(F231,1)+1-TIME(22,0,0))*24,0)),2))</f>
        <v/>
      </c>
      <c r="K231" s="33">
        <f>IF(H231="","",ROUND(IF(L231="휴일근로",MIN(H231,8)*1.5+MAX(0,H231-8)*2,I231*1.5)+N(J231)*0.5,2))</f>
        <v/>
      </c>
      <c r="L231" s="18" t="inlineStr">
        <is>
          <t>정상</t>
        </is>
      </c>
      <c r="M231" s="18" t="n"/>
      <c r="N231" s="22" t="n"/>
    </row>
    <row r="232">
      <c r="A232" s="19" t="n">
        <v>46261</v>
      </c>
      <c r="B232" s="25">
        <f>IF(A232="","",CHOOSE(WEEKDAY(A232,2),"월","화","수","목","금","토","일"))</f>
        <v/>
      </c>
      <c r="C232" s="18" t="inlineStr">
        <is>
          <t>M001</t>
        </is>
      </c>
      <c r="D232" s="25">
        <f>IFERROR(IF(C232="","",INDEX(직원명부!$B$5:$B$24,MATCH(C232,직원명부!$A$5:$A$24,0))),"사번 확인")</f>
        <v/>
      </c>
      <c r="E232" s="34" t="n">
        <v>0.375</v>
      </c>
      <c r="F232" s="34" t="n">
        <v>0.75</v>
      </c>
      <c r="G232" s="28" t="n">
        <v>1</v>
      </c>
      <c r="H232" s="33">
        <f>IF(OR(E232="",F232=""),"",ROUND(MOD(F232-E232,1)*24-N(G232),2))</f>
        <v/>
      </c>
      <c r="I232" s="33">
        <f>IF(H232="","",ROUND(MAX(0,H232-8),2))</f>
        <v/>
      </c>
      <c r="J232" s="33">
        <f>IF(OR(E232="",F232=""),"",ROUND(IF(MOD(F232,1)&gt;=TIME(22,0,0),(MOD(F232,1)-TIME(22,0,0))*24,IF(MOD(F232,1)&lt;TIME(6,0,0),(MOD(F232,1)+1-TIME(22,0,0))*24,0)),2))</f>
        <v/>
      </c>
      <c r="K232" s="33">
        <f>IF(H232="","",ROUND(IF(L232="휴일근로",MIN(H232,8)*1.5+MAX(0,H232-8)*2,I232*1.5)+N(J232)*0.5,2))</f>
        <v/>
      </c>
      <c r="L232" s="18" t="inlineStr">
        <is>
          <t>정상</t>
        </is>
      </c>
      <c r="M232" s="18" t="n"/>
      <c r="N232" s="22" t="n"/>
    </row>
    <row r="233">
      <c r="A233" s="19" t="n">
        <v>46262</v>
      </c>
      <c r="B233" s="25">
        <f>IF(A233="","",CHOOSE(WEEKDAY(A233,2),"월","화","수","목","금","토","일"))</f>
        <v/>
      </c>
      <c r="C233" s="18" t="inlineStr">
        <is>
          <t>M001</t>
        </is>
      </c>
      <c r="D233" s="25">
        <f>IFERROR(IF(C233="","",INDEX(직원명부!$B$5:$B$24,MATCH(C233,직원명부!$A$5:$A$24,0))),"사번 확인")</f>
        <v/>
      </c>
      <c r="E233" s="34" t="n">
        <v>0.375</v>
      </c>
      <c r="F233" s="34" t="n">
        <v>0.75</v>
      </c>
      <c r="G233" s="28" t="n">
        <v>1</v>
      </c>
      <c r="H233" s="33">
        <f>IF(OR(E233="",F233=""),"",ROUND(MOD(F233-E233,1)*24-N(G233),2))</f>
        <v/>
      </c>
      <c r="I233" s="33">
        <f>IF(H233="","",ROUND(MAX(0,H233-8),2))</f>
        <v/>
      </c>
      <c r="J233" s="33">
        <f>IF(OR(E233="",F233=""),"",ROUND(IF(MOD(F233,1)&gt;=TIME(22,0,0),(MOD(F233,1)-TIME(22,0,0))*24,IF(MOD(F233,1)&lt;TIME(6,0,0),(MOD(F233,1)+1-TIME(22,0,0))*24,0)),2))</f>
        <v/>
      </c>
      <c r="K233" s="33">
        <f>IF(H233="","",ROUND(IF(L233="휴일근로",MIN(H233,8)*1.5+MAX(0,H233-8)*2,I233*1.5)+N(J233)*0.5,2))</f>
        <v/>
      </c>
      <c r="L233" s="18" t="inlineStr">
        <is>
          <t>정상</t>
        </is>
      </c>
      <c r="M233" s="18" t="n"/>
      <c r="N233" s="22" t="n"/>
    </row>
    <row r="234">
      <c r="A234" s="19" t="n">
        <v>46263</v>
      </c>
      <c r="B234" s="25">
        <f>IF(A234="","",CHOOSE(WEEKDAY(A234,2),"월","화","수","목","금","토","일"))</f>
        <v/>
      </c>
      <c r="C234" s="18" t="inlineStr">
        <is>
          <t>M001</t>
        </is>
      </c>
      <c r="D234" s="25">
        <f>IFERROR(IF(C234="","",INDEX(직원명부!$B$5:$B$24,MATCH(C234,직원명부!$A$5:$A$24,0))),"사번 확인")</f>
        <v/>
      </c>
      <c r="E234" s="34" t="n"/>
      <c r="F234" s="34" t="n"/>
      <c r="G234" s="28" t="n"/>
      <c r="H234" s="33">
        <f>IF(OR(E234="",F234=""),"",ROUND(MOD(F234-E234,1)*24-N(G234),2))</f>
        <v/>
      </c>
      <c r="I234" s="33">
        <f>IF(H234="","",ROUND(MAX(0,H234-8),2))</f>
        <v/>
      </c>
      <c r="J234" s="33">
        <f>IF(OR(E234="",F234=""),"",ROUND(IF(MOD(F234,1)&gt;=TIME(22,0,0),(MOD(F234,1)-TIME(22,0,0))*24,IF(MOD(F234,1)&lt;TIME(6,0,0),(MOD(F234,1)+1-TIME(22,0,0))*24,0)),2))</f>
        <v/>
      </c>
      <c r="K234" s="33">
        <f>IF(H234="","",ROUND(IF(L234="휴일근로",MIN(H234,8)*1.5+MAX(0,H234-8)*2,I234*1.5)+N(J234)*0.5,2))</f>
        <v/>
      </c>
      <c r="L234" s="18" t="n"/>
      <c r="M234" s="18" t="n"/>
      <c r="N234" s="42" t="inlineStr">
        <is>
          <t>주말</t>
        </is>
      </c>
    </row>
    <row r="235">
      <c r="A235" s="19" t="n">
        <v>46264</v>
      </c>
      <c r="B235" s="25">
        <f>IF(A235="","",CHOOSE(WEEKDAY(A235,2),"월","화","수","목","금","토","일"))</f>
        <v/>
      </c>
      <c r="C235" s="18" t="inlineStr">
        <is>
          <t>M001</t>
        </is>
      </c>
      <c r="D235" s="25">
        <f>IFERROR(IF(C235="","",INDEX(직원명부!$B$5:$B$24,MATCH(C235,직원명부!$A$5:$A$24,0))),"사번 확인")</f>
        <v/>
      </c>
      <c r="E235" s="34" t="n"/>
      <c r="F235" s="34" t="n"/>
      <c r="G235" s="28" t="n"/>
      <c r="H235" s="33">
        <f>IF(OR(E235="",F235=""),"",ROUND(MOD(F235-E235,1)*24-N(G235),2))</f>
        <v/>
      </c>
      <c r="I235" s="33">
        <f>IF(H235="","",ROUND(MAX(0,H235-8),2))</f>
        <v/>
      </c>
      <c r="J235" s="33">
        <f>IF(OR(E235="",F235=""),"",ROUND(IF(MOD(F235,1)&gt;=TIME(22,0,0),(MOD(F235,1)-TIME(22,0,0))*24,IF(MOD(F235,1)&lt;TIME(6,0,0),(MOD(F235,1)+1-TIME(22,0,0))*24,0)),2))</f>
        <v/>
      </c>
      <c r="K235" s="33">
        <f>IF(H235="","",ROUND(IF(L235="휴일근로",MIN(H235,8)*1.5+MAX(0,H235-8)*2,I235*1.5)+N(J235)*0.5,2))</f>
        <v/>
      </c>
      <c r="L235" s="18" t="n"/>
      <c r="M235" s="18" t="n"/>
      <c r="N235" s="42" t="inlineStr">
        <is>
          <t>주말</t>
        </is>
      </c>
    </row>
    <row r="236">
      <c r="A236" s="19" t="n">
        <v>46265</v>
      </c>
      <c r="B236" s="25">
        <f>IF(A236="","",CHOOSE(WEEKDAY(A236,2),"월","화","수","목","금","토","일"))</f>
        <v/>
      </c>
      <c r="C236" s="18" t="inlineStr">
        <is>
          <t>M001</t>
        </is>
      </c>
      <c r="D236" s="25">
        <f>IFERROR(IF(C236="","",INDEX(직원명부!$B$5:$B$24,MATCH(C236,직원명부!$A$5:$A$24,0))),"사번 확인")</f>
        <v/>
      </c>
      <c r="E236" s="34" t="n"/>
      <c r="F236" s="34" t="n"/>
      <c r="G236" s="28" t="n"/>
      <c r="H236" s="33">
        <f>IF(OR(E236="",F236=""),"",ROUND(MOD(F236-E236,1)*24-N(G236),2))</f>
        <v/>
      </c>
      <c r="I236" s="33">
        <f>IF(H236="","",ROUND(MAX(0,H236-8),2))</f>
        <v/>
      </c>
      <c r="J236" s="33">
        <f>IF(OR(E236="",F236=""),"",ROUND(IF(MOD(F236,1)&gt;=TIME(22,0,0),(MOD(F236,1)-TIME(22,0,0))*24,IF(MOD(F236,1)&lt;TIME(6,0,0),(MOD(F236,1)+1-TIME(22,0,0))*24,0)),2))</f>
        <v/>
      </c>
      <c r="K236" s="33">
        <f>IF(H236="","",ROUND(IF(L236="휴일근로",MIN(H236,8)*1.5+MAX(0,H236-8)*2,I236*1.5)+N(J236)*0.5,2))</f>
        <v/>
      </c>
      <c r="L236" s="18" t="n"/>
      <c r="M236" s="18" t="n"/>
      <c r="N236" s="22" t="n"/>
    </row>
    <row r="237">
      <c r="A237" s="19" t="n">
        <v>46266</v>
      </c>
      <c r="B237" s="25">
        <f>IF(A237="","",CHOOSE(WEEKDAY(A237,2),"월","화","수","목","금","토","일"))</f>
        <v/>
      </c>
      <c r="C237" s="18" t="inlineStr">
        <is>
          <t>M001</t>
        </is>
      </c>
      <c r="D237" s="25">
        <f>IFERROR(IF(C237="","",INDEX(직원명부!$B$5:$B$24,MATCH(C237,직원명부!$A$5:$A$24,0))),"사번 확인")</f>
        <v/>
      </c>
      <c r="E237" s="34" t="n"/>
      <c r="F237" s="34" t="n"/>
      <c r="G237" s="28" t="n"/>
      <c r="H237" s="33">
        <f>IF(OR(E237="",F237=""),"",ROUND(MOD(F237-E237,1)*24-N(G237),2))</f>
        <v/>
      </c>
      <c r="I237" s="33">
        <f>IF(H237="","",ROUND(MAX(0,H237-8),2))</f>
        <v/>
      </c>
      <c r="J237" s="33">
        <f>IF(OR(E237="",F237=""),"",ROUND(IF(MOD(F237,1)&gt;=TIME(22,0,0),(MOD(F237,1)-TIME(22,0,0))*24,IF(MOD(F237,1)&lt;TIME(6,0,0),(MOD(F237,1)+1-TIME(22,0,0))*24,0)),2))</f>
        <v/>
      </c>
      <c r="K237" s="33">
        <f>IF(H237="","",ROUND(IF(L237="휴일근로",MIN(H237,8)*1.5+MAX(0,H237-8)*2,I237*1.5)+N(J237)*0.5,2))</f>
        <v/>
      </c>
      <c r="L237" s="18" t="n"/>
      <c r="M237" s="18" t="n"/>
      <c r="N237" s="22" t="n"/>
    </row>
    <row r="238">
      <c r="A238" s="19" t="n">
        <v>46267</v>
      </c>
      <c r="B238" s="25">
        <f>IF(A238="","",CHOOSE(WEEKDAY(A238,2),"월","화","수","목","금","토","일"))</f>
        <v/>
      </c>
      <c r="C238" s="18" t="inlineStr">
        <is>
          <t>M001</t>
        </is>
      </c>
      <c r="D238" s="25">
        <f>IFERROR(IF(C238="","",INDEX(직원명부!$B$5:$B$24,MATCH(C238,직원명부!$A$5:$A$24,0))),"사번 확인")</f>
        <v/>
      </c>
      <c r="E238" s="34" t="n"/>
      <c r="F238" s="34" t="n"/>
      <c r="G238" s="28" t="n"/>
      <c r="H238" s="33">
        <f>IF(OR(E238="",F238=""),"",ROUND(MOD(F238-E238,1)*24-N(G238),2))</f>
        <v/>
      </c>
      <c r="I238" s="33">
        <f>IF(H238="","",ROUND(MAX(0,H238-8),2))</f>
        <v/>
      </c>
      <c r="J238" s="33">
        <f>IF(OR(E238="",F238=""),"",ROUND(IF(MOD(F238,1)&gt;=TIME(22,0,0),(MOD(F238,1)-TIME(22,0,0))*24,IF(MOD(F238,1)&lt;TIME(6,0,0),(MOD(F238,1)+1-TIME(22,0,0))*24,0)),2))</f>
        <v/>
      </c>
      <c r="K238" s="33">
        <f>IF(H238="","",ROUND(IF(L238="휴일근로",MIN(H238,8)*1.5+MAX(0,H238-8)*2,I238*1.5)+N(J238)*0.5,2))</f>
        <v/>
      </c>
      <c r="L238" s="18" t="n"/>
      <c r="M238" s="18" t="n"/>
      <c r="N238" s="22" t="n"/>
    </row>
    <row r="239">
      <c r="A239" s="19" t="n">
        <v>46268</v>
      </c>
      <c r="B239" s="25">
        <f>IF(A239="","",CHOOSE(WEEKDAY(A239,2),"월","화","수","목","금","토","일"))</f>
        <v/>
      </c>
      <c r="C239" s="18" t="inlineStr">
        <is>
          <t>M001</t>
        </is>
      </c>
      <c r="D239" s="25">
        <f>IFERROR(IF(C239="","",INDEX(직원명부!$B$5:$B$24,MATCH(C239,직원명부!$A$5:$A$24,0))),"사번 확인")</f>
        <v/>
      </c>
      <c r="E239" s="34" t="n"/>
      <c r="F239" s="34" t="n"/>
      <c r="G239" s="28" t="n"/>
      <c r="H239" s="33">
        <f>IF(OR(E239="",F239=""),"",ROUND(MOD(F239-E239,1)*24-N(G239),2))</f>
        <v/>
      </c>
      <c r="I239" s="33">
        <f>IF(H239="","",ROUND(MAX(0,H239-8),2))</f>
        <v/>
      </c>
      <c r="J239" s="33">
        <f>IF(OR(E239="",F239=""),"",ROUND(IF(MOD(F239,1)&gt;=TIME(22,0,0),(MOD(F239,1)-TIME(22,0,0))*24,IF(MOD(F239,1)&lt;TIME(6,0,0),(MOD(F239,1)+1-TIME(22,0,0))*24,0)),2))</f>
        <v/>
      </c>
      <c r="K239" s="33">
        <f>IF(H239="","",ROUND(IF(L239="휴일근로",MIN(H239,8)*1.5+MAX(0,H239-8)*2,I239*1.5)+N(J239)*0.5,2))</f>
        <v/>
      </c>
      <c r="L239" s="18" t="n"/>
      <c r="M239" s="18" t="n"/>
      <c r="N239" s="22" t="n"/>
    </row>
    <row r="240">
      <c r="A240" s="19" t="n">
        <v>46269</v>
      </c>
      <c r="B240" s="25">
        <f>IF(A240="","",CHOOSE(WEEKDAY(A240,2),"월","화","수","목","금","토","일"))</f>
        <v/>
      </c>
      <c r="C240" s="18" t="inlineStr">
        <is>
          <t>M001</t>
        </is>
      </c>
      <c r="D240" s="25">
        <f>IFERROR(IF(C240="","",INDEX(직원명부!$B$5:$B$24,MATCH(C240,직원명부!$A$5:$A$24,0))),"사번 확인")</f>
        <v/>
      </c>
      <c r="E240" s="34" t="n"/>
      <c r="F240" s="34" t="n"/>
      <c r="G240" s="28" t="n"/>
      <c r="H240" s="33">
        <f>IF(OR(E240="",F240=""),"",ROUND(MOD(F240-E240,1)*24-N(G240),2))</f>
        <v/>
      </c>
      <c r="I240" s="33">
        <f>IF(H240="","",ROUND(MAX(0,H240-8),2))</f>
        <v/>
      </c>
      <c r="J240" s="33">
        <f>IF(OR(E240="",F240=""),"",ROUND(IF(MOD(F240,1)&gt;=TIME(22,0,0),(MOD(F240,1)-TIME(22,0,0))*24,IF(MOD(F240,1)&lt;TIME(6,0,0),(MOD(F240,1)+1-TIME(22,0,0))*24,0)),2))</f>
        <v/>
      </c>
      <c r="K240" s="33">
        <f>IF(H240="","",ROUND(IF(L240="휴일근로",MIN(H240,8)*1.5+MAX(0,H240-8)*2,I240*1.5)+N(J240)*0.5,2))</f>
        <v/>
      </c>
      <c r="L240" s="18" t="n"/>
      <c r="M240" s="18" t="n"/>
      <c r="N240" s="22" t="n"/>
    </row>
    <row r="241">
      <c r="A241" s="19" t="n">
        <v>46270</v>
      </c>
      <c r="B241" s="25">
        <f>IF(A241="","",CHOOSE(WEEKDAY(A241,2),"월","화","수","목","금","토","일"))</f>
        <v/>
      </c>
      <c r="C241" s="18" t="inlineStr">
        <is>
          <t>M001</t>
        </is>
      </c>
      <c r="D241" s="25">
        <f>IFERROR(IF(C241="","",INDEX(직원명부!$B$5:$B$24,MATCH(C241,직원명부!$A$5:$A$24,0))),"사번 확인")</f>
        <v/>
      </c>
      <c r="E241" s="34" t="n"/>
      <c r="F241" s="34" t="n"/>
      <c r="G241" s="28" t="n"/>
      <c r="H241" s="33">
        <f>IF(OR(E241="",F241=""),"",ROUND(MOD(F241-E241,1)*24-N(G241),2))</f>
        <v/>
      </c>
      <c r="I241" s="33">
        <f>IF(H241="","",ROUND(MAX(0,H241-8),2))</f>
        <v/>
      </c>
      <c r="J241" s="33">
        <f>IF(OR(E241="",F241=""),"",ROUND(IF(MOD(F241,1)&gt;=TIME(22,0,0),(MOD(F241,1)-TIME(22,0,0))*24,IF(MOD(F241,1)&lt;TIME(6,0,0),(MOD(F241,1)+1-TIME(22,0,0))*24,0)),2))</f>
        <v/>
      </c>
      <c r="K241" s="33">
        <f>IF(H241="","",ROUND(IF(L241="휴일근로",MIN(H241,8)*1.5+MAX(0,H241-8)*2,I241*1.5)+N(J241)*0.5,2))</f>
        <v/>
      </c>
      <c r="L241" s="18" t="n"/>
      <c r="M241" s="18" t="n"/>
      <c r="N241" s="42" t="inlineStr">
        <is>
          <t>주말</t>
        </is>
      </c>
    </row>
    <row r="242">
      <c r="A242" s="19" t="n">
        <v>46271</v>
      </c>
      <c r="B242" s="25">
        <f>IF(A242="","",CHOOSE(WEEKDAY(A242,2),"월","화","수","목","금","토","일"))</f>
        <v/>
      </c>
      <c r="C242" s="18" t="inlineStr">
        <is>
          <t>M001</t>
        </is>
      </c>
      <c r="D242" s="25">
        <f>IFERROR(IF(C242="","",INDEX(직원명부!$B$5:$B$24,MATCH(C242,직원명부!$A$5:$A$24,0))),"사번 확인")</f>
        <v/>
      </c>
      <c r="E242" s="34" t="n"/>
      <c r="F242" s="34" t="n"/>
      <c r="G242" s="28" t="n"/>
      <c r="H242" s="33">
        <f>IF(OR(E242="",F242=""),"",ROUND(MOD(F242-E242,1)*24-N(G242),2))</f>
        <v/>
      </c>
      <c r="I242" s="33">
        <f>IF(H242="","",ROUND(MAX(0,H242-8),2))</f>
        <v/>
      </c>
      <c r="J242" s="33">
        <f>IF(OR(E242="",F242=""),"",ROUND(IF(MOD(F242,1)&gt;=TIME(22,0,0),(MOD(F242,1)-TIME(22,0,0))*24,IF(MOD(F242,1)&lt;TIME(6,0,0),(MOD(F242,1)+1-TIME(22,0,0))*24,0)),2))</f>
        <v/>
      </c>
      <c r="K242" s="33">
        <f>IF(H242="","",ROUND(IF(L242="휴일근로",MIN(H242,8)*1.5+MAX(0,H242-8)*2,I242*1.5)+N(J242)*0.5,2))</f>
        <v/>
      </c>
      <c r="L242" s="18" t="n"/>
      <c r="M242" s="18" t="n"/>
      <c r="N242" s="42" t="inlineStr">
        <is>
          <t>주말</t>
        </is>
      </c>
    </row>
    <row r="243">
      <c r="A243" s="19" t="n">
        <v>46272</v>
      </c>
      <c r="B243" s="25">
        <f>IF(A243="","",CHOOSE(WEEKDAY(A243,2),"월","화","수","목","금","토","일"))</f>
        <v/>
      </c>
      <c r="C243" s="18" t="inlineStr">
        <is>
          <t>M001</t>
        </is>
      </c>
      <c r="D243" s="25">
        <f>IFERROR(IF(C243="","",INDEX(직원명부!$B$5:$B$24,MATCH(C243,직원명부!$A$5:$A$24,0))),"사번 확인")</f>
        <v/>
      </c>
      <c r="E243" s="34" t="n"/>
      <c r="F243" s="34" t="n"/>
      <c r="G243" s="28" t="n"/>
      <c r="H243" s="33">
        <f>IF(OR(E243="",F243=""),"",ROUND(MOD(F243-E243,1)*24-N(G243),2))</f>
        <v/>
      </c>
      <c r="I243" s="33">
        <f>IF(H243="","",ROUND(MAX(0,H243-8),2))</f>
        <v/>
      </c>
      <c r="J243" s="33">
        <f>IF(OR(E243="",F243=""),"",ROUND(IF(MOD(F243,1)&gt;=TIME(22,0,0),(MOD(F243,1)-TIME(22,0,0))*24,IF(MOD(F243,1)&lt;TIME(6,0,0),(MOD(F243,1)+1-TIME(22,0,0))*24,0)),2))</f>
        <v/>
      </c>
      <c r="K243" s="33">
        <f>IF(H243="","",ROUND(IF(L243="휴일근로",MIN(H243,8)*1.5+MAX(0,H243-8)*2,I243*1.5)+N(J243)*0.5,2))</f>
        <v/>
      </c>
      <c r="L243" s="18" t="n"/>
      <c r="M243" s="18" t="n"/>
      <c r="N243" s="22" t="n"/>
    </row>
    <row r="244">
      <c r="A244" s="19" t="n">
        <v>46273</v>
      </c>
      <c r="B244" s="25">
        <f>IF(A244="","",CHOOSE(WEEKDAY(A244,2),"월","화","수","목","금","토","일"))</f>
        <v/>
      </c>
      <c r="C244" s="18" t="inlineStr">
        <is>
          <t>M001</t>
        </is>
      </c>
      <c r="D244" s="25">
        <f>IFERROR(IF(C244="","",INDEX(직원명부!$B$5:$B$24,MATCH(C244,직원명부!$A$5:$A$24,0))),"사번 확인")</f>
        <v/>
      </c>
      <c r="E244" s="34" t="n"/>
      <c r="F244" s="34" t="n"/>
      <c r="G244" s="28" t="n"/>
      <c r="H244" s="33">
        <f>IF(OR(E244="",F244=""),"",ROUND(MOD(F244-E244,1)*24-N(G244),2))</f>
        <v/>
      </c>
      <c r="I244" s="33">
        <f>IF(H244="","",ROUND(MAX(0,H244-8),2))</f>
        <v/>
      </c>
      <c r="J244" s="33">
        <f>IF(OR(E244="",F244=""),"",ROUND(IF(MOD(F244,1)&gt;=TIME(22,0,0),(MOD(F244,1)-TIME(22,0,0))*24,IF(MOD(F244,1)&lt;TIME(6,0,0),(MOD(F244,1)+1-TIME(22,0,0))*24,0)),2))</f>
        <v/>
      </c>
      <c r="K244" s="33">
        <f>IF(H244="","",ROUND(IF(L244="휴일근로",MIN(H244,8)*1.5+MAX(0,H244-8)*2,I244*1.5)+N(J244)*0.5,2))</f>
        <v/>
      </c>
      <c r="L244" s="18" t="n"/>
      <c r="M244" s="18" t="n"/>
      <c r="N244" s="22" t="n"/>
    </row>
    <row r="245">
      <c r="A245" s="19" t="n">
        <v>46274</v>
      </c>
      <c r="B245" s="25">
        <f>IF(A245="","",CHOOSE(WEEKDAY(A245,2),"월","화","수","목","금","토","일"))</f>
        <v/>
      </c>
      <c r="C245" s="18" t="inlineStr">
        <is>
          <t>M001</t>
        </is>
      </c>
      <c r="D245" s="25">
        <f>IFERROR(IF(C245="","",INDEX(직원명부!$B$5:$B$24,MATCH(C245,직원명부!$A$5:$A$24,0))),"사번 확인")</f>
        <v/>
      </c>
      <c r="E245" s="34" t="n"/>
      <c r="F245" s="34" t="n"/>
      <c r="G245" s="28" t="n"/>
      <c r="H245" s="33">
        <f>IF(OR(E245="",F245=""),"",ROUND(MOD(F245-E245,1)*24-N(G245),2))</f>
        <v/>
      </c>
      <c r="I245" s="33">
        <f>IF(H245="","",ROUND(MAX(0,H245-8),2))</f>
        <v/>
      </c>
      <c r="J245" s="33">
        <f>IF(OR(E245="",F245=""),"",ROUND(IF(MOD(F245,1)&gt;=TIME(22,0,0),(MOD(F245,1)-TIME(22,0,0))*24,IF(MOD(F245,1)&lt;TIME(6,0,0),(MOD(F245,1)+1-TIME(22,0,0))*24,0)),2))</f>
        <v/>
      </c>
      <c r="K245" s="33">
        <f>IF(H245="","",ROUND(IF(L245="휴일근로",MIN(H245,8)*1.5+MAX(0,H245-8)*2,I245*1.5)+N(J245)*0.5,2))</f>
        <v/>
      </c>
      <c r="L245" s="18" t="n"/>
      <c r="M245" s="18" t="n"/>
      <c r="N245" s="22" t="n"/>
    </row>
    <row r="246">
      <c r="A246" s="19" t="n">
        <v>46275</v>
      </c>
      <c r="B246" s="25">
        <f>IF(A246="","",CHOOSE(WEEKDAY(A246,2),"월","화","수","목","금","토","일"))</f>
        <v/>
      </c>
      <c r="C246" s="18" t="inlineStr">
        <is>
          <t>M001</t>
        </is>
      </c>
      <c r="D246" s="25">
        <f>IFERROR(IF(C246="","",INDEX(직원명부!$B$5:$B$24,MATCH(C246,직원명부!$A$5:$A$24,0))),"사번 확인")</f>
        <v/>
      </c>
      <c r="E246" s="34" t="n"/>
      <c r="F246" s="34" t="n"/>
      <c r="G246" s="28" t="n"/>
      <c r="H246" s="33">
        <f>IF(OR(E246="",F246=""),"",ROUND(MOD(F246-E246,1)*24-N(G246),2))</f>
        <v/>
      </c>
      <c r="I246" s="33">
        <f>IF(H246="","",ROUND(MAX(0,H246-8),2))</f>
        <v/>
      </c>
      <c r="J246" s="33">
        <f>IF(OR(E246="",F246=""),"",ROUND(IF(MOD(F246,1)&gt;=TIME(22,0,0),(MOD(F246,1)-TIME(22,0,0))*24,IF(MOD(F246,1)&lt;TIME(6,0,0),(MOD(F246,1)+1-TIME(22,0,0))*24,0)),2))</f>
        <v/>
      </c>
      <c r="K246" s="33">
        <f>IF(H246="","",ROUND(IF(L246="휴일근로",MIN(H246,8)*1.5+MAX(0,H246-8)*2,I246*1.5)+N(J246)*0.5,2))</f>
        <v/>
      </c>
      <c r="L246" s="18" t="n"/>
      <c r="M246" s="18" t="n"/>
      <c r="N246" s="22" t="n"/>
    </row>
    <row r="247">
      <c r="A247" s="19" t="n">
        <v>46276</v>
      </c>
      <c r="B247" s="25">
        <f>IF(A247="","",CHOOSE(WEEKDAY(A247,2),"월","화","수","목","금","토","일"))</f>
        <v/>
      </c>
      <c r="C247" s="18" t="inlineStr">
        <is>
          <t>M001</t>
        </is>
      </c>
      <c r="D247" s="25">
        <f>IFERROR(IF(C247="","",INDEX(직원명부!$B$5:$B$24,MATCH(C247,직원명부!$A$5:$A$24,0))),"사번 확인")</f>
        <v/>
      </c>
      <c r="E247" s="34" t="n"/>
      <c r="F247" s="34" t="n"/>
      <c r="G247" s="28" t="n"/>
      <c r="H247" s="33">
        <f>IF(OR(E247="",F247=""),"",ROUND(MOD(F247-E247,1)*24-N(G247),2))</f>
        <v/>
      </c>
      <c r="I247" s="33">
        <f>IF(H247="","",ROUND(MAX(0,H247-8),2))</f>
        <v/>
      </c>
      <c r="J247" s="33">
        <f>IF(OR(E247="",F247=""),"",ROUND(IF(MOD(F247,1)&gt;=TIME(22,0,0),(MOD(F247,1)-TIME(22,0,0))*24,IF(MOD(F247,1)&lt;TIME(6,0,0),(MOD(F247,1)+1-TIME(22,0,0))*24,0)),2))</f>
        <v/>
      </c>
      <c r="K247" s="33">
        <f>IF(H247="","",ROUND(IF(L247="휴일근로",MIN(H247,8)*1.5+MAX(0,H247-8)*2,I247*1.5)+N(J247)*0.5,2))</f>
        <v/>
      </c>
      <c r="L247" s="18" t="n"/>
      <c r="M247" s="18" t="n"/>
      <c r="N247" s="22" t="n"/>
    </row>
    <row r="248">
      <c r="A248" s="19" t="n">
        <v>46277</v>
      </c>
      <c r="B248" s="25">
        <f>IF(A248="","",CHOOSE(WEEKDAY(A248,2),"월","화","수","목","금","토","일"))</f>
        <v/>
      </c>
      <c r="C248" s="18" t="inlineStr">
        <is>
          <t>M001</t>
        </is>
      </c>
      <c r="D248" s="25">
        <f>IFERROR(IF(C248="","",INDEX(직원명부!$B$5:$B$24,MATCH(C248,직원명부!$A$5:$A$24,0))),"사번 확인")</f>
        <v/>
      </c>
      <c r="E248" s="34" t="n"/>
      <c r="F248" s="34" t="n"/>
      <c r="G248" s="28" t="n"/>
      <c r="H248" s="33">
        <f>IF(OR(E248="",F248=""),"",ROUND(MOD(F248-E248,1)*24-N(G248),2))</f>
        <v/>
      </c>
      <c r="I248" s="33">
        <f>IF(H248="","",ROUND(MAX(0,H248-8),2))</f>
        <v/>
      </c>
      <c r="J248" s="33">
        <f>IF(OR(E248="",F248=""),"",ROUND(IF(MOD(F248,1)&gt;=TIME(22,0,0),(MOD(F248,1)-TIME(22,0,0))*24,IF(MOD(F248,1)&lt;TIME(6,0,0),(MOD(F248,1)+1-TIME(22,0,0))*24,0)),2))</f>
        <v/>
      </c>
      <c r="K248" s="33">
        <f>IF(H248="","",ROUND(IF(L248="휴일근로",MIN(H248,8)*1.5+MAX(0,H248-8)*2,I248*1.5)+N(J248)*0.5,2))</f>
        <v/>
      </c>
      <c r="L248" s="18" t="n"/>
      <c r="M248" s="18" t="n"/>
      <c r="N248" s="42" t="inlineStr">
        <is>
          <t>주말</t>
        </is>
      </c>
    </row>
    <row r="249">
      <c r="A249" s="19" t="n">
        <v>46278</v>
      </c>
      <c r="B249" s="25">
        <f>IF(A249="","",CHOOSE(WEEKDAY(A249,2),"월","화","수","목","금","토","일"))</f>
        <v/>
      </c>
      <c r="C249" s="18" t="inlineStr">
        <is>
          <t>M001</t>
        </is>
      </c>
      <c r="D249" s="25">
        <f>IFERROR(IF(C249="","",INDEX(직원명부!$B$5:$B$24,MATCH(C249,직원명부!$A$5:$A$24,0))),"사번 확인")</f>
        <v/>
      </c>
      <c r="E249" s="34" t="n"/>
      <c r="F249" s="34" t="n"/>
      <c r="G249" s="28" t="n"/>
      <c r="H249" s="33">
        <f>IF(OR(E249="",F249=""),"",ROUND(MOD(F249-E249,1)*24-N(G249),2))</f>
        <v/>
      </c>
      <c r="I249" s="33">
        <f>IF(H249="","",ROUND(MAX(0,H249-8),2))</f>
        <v/>
      </c>
      <c r="J249" s="33">
        <f>IF(OR(E249="",F249=""),"",ROUND(IF(MOD(F249,1)&gt;=TIME(22,0,0),(MOD(F249,1)-TIME(22,0,0))*24,IF(MOD(F249,1)&lt;TIME(6,0,0),(MOD(F249,1)+1-TIME(22,0,0))*24,0)),2))</f>
        <v/>
      </c>
      <c r="K249" s="33">
        <f>IF(H249="","",ROUND(IF(L249="휴일근로",MIN(H249,8)*1.5+MAX(0,H249-8)*2,I249*1.5)+N(J249)*0.5,2))</f>
        <v/>
      </c>
      <c r="L249" s="18" t="n"/>
      <c r="M249" s="18" t="n"/>
      <c r="N249" s="42" t="inlineStr">
        <is>
          <t>주말</t>
        </is>
      </c>
    </row>
    <row r="250">
      <c r="A250" s="19" t="n">
        <v>46279</v>
      </c>
      <c r="B250" s="25">
        <f>IF(A250="","",CHOOSE(WEEKDAY(A250,2),"월","화","수","목","금","토","일"))</f>
        <v/>
      </c>
      <c r="C250" s="18" t="inlineStr">
        <is>
          <t>M001</t>
        </is>
      </c>
      <c r="D250" s="25">
        <f>IFERROR(IF(C250="","",INDEX(직원명부!$B$5:$B$24,MATCH(C250,직원명부!$A$5:$A$24,0))),"사번 확인")</f>
        <v/>
      </c>
      <c r="E250" s="34" t="n"/>
      <c r="F250" s="34" t="n"/>
      <c r="G250" s="28" t="n"/>
      <c r="H250" s="33">
        <f>IF(OR(E250="",F250=""),"",ROUND(MOD(F250-E250,1)*24-N(G250),2))</f>
        <v/>
      </c>
      <c r="I250" s="33">
        <f>IF(H250="","",ROUND(MAX(0,H250-8),2))</f>
        <v/>
      </c>
      <c r="J250" s="33">
        <f>IF(OR(E250="",F250=""),"",ROUND(IF(MOD(F250,1)&gt;=TIME(22,0,0),(MOD(F250,1)-TIME(22,0,0))*24,IF(MOD(F250,1)&lt;TIME(6,0,0),(MOD(F250,1)+1-TIME(22,0,0))*24,0)),2))</f>
        <v/>
      </c>
      <c r="K250" s="33">
        <f>IF(H250="","",ROUND(IF(L250="휴일근로",MIN(H250,8)*1.5+MAX(0,H250-8)*2,I250*1.5)+N(J250)*0.5,2))</f>
        <v/>
      </c>
      <c r="L250" s="18" t="n"/>
      <c r="M250" s="18" t="n"/>
      <c r="N250" s="22" t="n"/>
    </row>
    <row r="251">
      <c r="A251" s="19" t="n">
        <v>46280</v>
      </c>
      <c r="B251" s="25">
        <f>IF(A251="","",CHOOSE(WEEKDAY(A251,2),"월","화","수","목","금","토","일"))</f>
        <v/>
      </c>
      <c r="C251" s="18" t="inlineStr">
        <is>
          <t>M001</t>
        </is>
      </c>
      <c r="D251" s="25">
        <f>IFERROR(IF(C251="","",INDEX(직원명부!$B$5:$B$24,MATCH(C251,직원명부!$A$5:$A$24,0))),"사번 확인")</f>
        <v/>
      </c>
      <c r="E251" s="34" t="n"/>
      <c r="F251" s="34" t="n"/>
      <c r="G251" s="28" t="n"/>
      <c r="H251" s="33">
        <f>IF(OR(E251="",F251=""),"",ROUND(MOD(F251-E251,1)*24-N(G251),2))</f>
        <v/>
      </c>
      <c r="I251" s="33">
        <f>IF(H251="","",ROUND(MAX(0,H251-8),2))</f>
        <v/>
      </c>
      <c r="J251" s="33">
        <f>IF(OR(E251="",F251=""),"",ROUND(IF(MOD(F251,1)&gt;=TIME(22,0,0),(MOD(F251,1)-TIME(22,0,0))*24,IF(MOD(F251,1)&lt;TIME(6,0,0),(MOD(F251,1)+1-TIME(22,0,0))*24,0)),2))</f>
        <v/>
      </c>
      <c r="K251" s="33">
        <f>IF(H251="","",ROUND(IF(L251="휴일근로",MIN(H251,8)*1.5+MAX(0,H251-8)*2,I251*1.5)+N(J251)*0.5,2))</f>
        <v/>
      </c>
      <c r="L251" s="18" t="n"/>
      <c r="M251" s="18" t="n"/>
      <c r="N251" s="22" t="n"/>
    </row>
    <row r="252">
      <c r="A252" s="19" t="n">
        <v>46281</v>
      </c>
      <c r="B252" s="25">
        <f>IF(A252="","",CHOOSE(WEEKDAY(A252,2),"월","화","수","목","금","토","일"))</f>
        <v/>
      </c>
      <c r="C252" s="18" t="inlineStr">
        <is>
          <t>M001</t>
        </is>
      </c>
      <c r="D252" s="25">
        <f>IFERROR(IF(C252="","",INDEX(직원명부!$B$5:$B$24,MATCH(C252,직원명부!$A$5:$A$24,0))),"사번 확인")</f>
        <v/>
      </c>
      <c r="E252" s="34" t="n"/>
      <c r="F252" s="34" t="n"/>
      <c r="G252" s="28" t="n"/>
      <c r="H252" s="33">
        <f>IF(OR(E252="",F252=""),"",ROUND(MOD(F252-E252,1)*24-N(G252),2))</f>
        <v/>
      </c>
      <c r="I252" s="33">
        <f>IF(H252="","",ROUND(MAX(0,H252-8),2))</f>
        <v/>
      </c>
      <c r="J252" s="33">
        <f>IF(OR(E252="",F252=""),"",ROUND(IF(MOD(F252,1)&gt;=TIME(22,0,0),(MOD(F252,1)-TIME(22,0,0))*24,IF(MOD(F252,1)&lt;TIME(6,0,0),(MOD(F252,1)+1-TIME(22,0,0))*24,0)),2))</f>
        <v/>
      </c>
      <c r="K252" s="33">
        <f>IF(H252="","",ROUND(IF(L252="휴일근로",MIN(H252,8)*1.5+MAX(0,H252-8)*2,I252*1.5)+N(J252)*0.5,2))</f>
        <v/>
      </c>
      <c r="L252" s="18" t="n"/>
      <c r="M252" s="18" t="n"/>
      <c r="N252" s="22" t="n"/>
    </row>
    <row r="253">
      <c r="A253" s="19" t="n">
        <v>46282</v>
      </c>
      <c r="B253" s="25">
        <f>IF(A253="","",CHOOSE(WEEKDAY(A253,2),"월","화","수","목","금","토","일"))</f>
        <v/>
      </c>
      <c r="C253" s="18" t="inlineStr">
        <is>
          <t>M001</t>
        </is>
      </c>
      <c r="D253" s="25">
        <f>IFERROR(IF(C253="","",INDEX(직원명부!$B$5:$B$24,MATCH(C253,직원명부!$A$5:$A$24,0))),"사번 확인")</f>
        <v/>
      </c>
      <c r="E253" s="34" t="n"/>
      <c r="F253" s="34" t="n"/>
      <c r="G253" s="28" t="n"/>
      <c r="H253" s="33">
        <f>IF(OR(E253="",F253=""),"",ROUND(MOD(F253-E253,1)*24-N(G253),2))</f>
        <v/>
      </c>
      <c r="I253" s="33">
        <f>IF(H253="","",ROUND(MAX(0,H253-8),2))</f>
        <v/>
      </c>
      <c r="J253" s="33">
        <f>IF(OR(E253="",F253=""),"",ROUND(IF(MOD(F253,1)&gt;=TIME(22,0,0),(MOD(F253,1)-TIME(22,0,0))*24,IF(MOD(F253,1)&lt;TIME(6,0,0),(MOD(F253,1)+1-TIME(22,0,0))*24,0)),2))</f>
        <v/>
      </c>
      <c r="K253" s="33">
        <f>IF(H253="","",ROUND(IF(L253="휴일근로",MIN(H253,8)*1.5+MAX(0,H253-8)*2,I253*1.5)+N(J253)*0.5,2))</f>
        <v/>
      </c>
      <c r="L253" s="18" t="n"/>
      <c r="M253" s="18" t="n"/>
      <c r="N253" s="22" t="n"/>
    </row>
    <row r="254">
      <c r="A254" s="19" t="n">
        <v>46283</v>
      </c>
      <c r="B254" s="25">
        <f>IF(A254="","",CHOOSE(WEEKDAY(A254,2),"월","화","수","목","금","토","일"))</f>
        <v/>
      </c>
      <c r="C254" s="18" t="inlineStr">
        <is>
          <t>M001</t>
        </is>
      </c>
      <c r="D254" s="25">
        <f>IFERROR(IF(C254="","",INDEX(직원명부!$B$5:$B$24,MATCH(C254,직원명부!$A$5:$A$24,0))),"사번 확인")</f>
        <v/>
      </c>
      <c r="E254" s="34" t="n"/>
      <c r="F254" s="34" t="n"/>
      <c r="G254" s="28" t="n"/>
      <c r="H254" s="33">
        <f>IF(OR(E254="",F254=""),"",ROUND(MOD(F254-E254,1)*24-N(G254),2))</f>
        <v/>
      </c>
      <c r="I254" s="33">
        <f>IF(H254="","",ROUND(MAX(0,H254-8),2))</f>
        <v/>
      </c>
      <c r="J254" s="33">
        <f>IF(OR(E254="",F254=""),"",ROUND(IF(MOD(F254,1)&gt;=TIME(22,0,0),(MOD(F254,1)-TIME(22,0,0))*24,IF(MOD(F254,1)&lt;TIME(6,0,0),(MOD(F254,1)+1-TIME(22,0,0))*24,0)),2))</f>
        <v/>
      </c>
      <c r="K254" s="33">
        <f>IF(H254="","",ROUND(IF(L254="휴일근로",MIN(H254,8)*1.5+MAX(0,H254-8)*2,I254*1.5)+N(J254)*0.5,2))</f>
        <v/>
      </c>
      <c r="L254" s="18" t="n"/>
      <c r="M254" s="18" t="n"/>
      <c r="N254" s="22" t="n"/>
    </row>
    <row r="255">
      <c r="A255" s="19" t="n">
        <v>46284</v>
      </c>
      <c r="B255" s="25">
        <f>IF(A255="","",CHOOSE(WEEKDAY(A255,2),"월","화","수","목","금","토","일"))</f>
        <v/>
      </c>
      <c r="C255" s="18" t="inlineStr">
        <is>
          <t>M001</t>
        </is>
      </c>
      <c r="D255" s="25">
        <f>IFERROR(IF(C255="","",INDEX(직원명부!$B$5:$B$24,MATCH(C255,직원명부!$A$5:$A$24,0))),"사번 확인")</f>
        <v/>
      </c>
      <c r="E255" s="34" t="n"/>
      <c r="F255" s="34" t="n"/>
      <c r="G255" s="28" t="n"/>
      <c r="H255" s="33">
        <f>IF(OR(E255="",F255=""),"",ROUND(MOD(F255-E255,1)*24-N(G255),2))</f>
        <v/>
      </c>
      <c r="I255" s="33">
        <f>IF(H255="","",ROUND(MAX(0,H255-8),2))</f>
        <v/>
      </c>
      <c r="J255" s="33">
        <f>IF(OR(E255="",F255=""),"",ROUND(IF(MOD(F255,1)&gt;=TIME(22,0,0),(MOD(F255,1)-TIME(22,0,0))*24,IF(MOD(F255,1)&lt;TIME(6,0,0),(MOD(F255,1)+1-TIME(22,0,0))*24,0)),2))</f>
        <v/>
      </c>
      <c r="K255" s="33">
        <f>IF(H255="","",ROUND(IF(L255="휴일근로",MIN(H255,8)*1.5+MAX(0,H255-8)*2,I255*1.5)+N(J255)*0.5,2))</f>
        <v/>
      </c>
      <c r="L255" s="18" t="n"/>
      <c r="M255" s="18" t="n"/>
      <c r="N255" s="42" t="inlineStr">
        <is>
          <t>주말</t>
        </is>
      </c>
    </row>
    <row r="256">
      <c r="A256" s="19" t="n">
        <v>46285</v>
      </c>
      <c r="B256" s="25">
        <f>IF(A256="","",CHOOSE(WEEKDAY(A256,2),"월","화","수","목","금","토","일"))</f>
        <v/>
      </c>
      <c r="C256" s="18" t="inlineStr">
        <is>
          <t>M001</t>
        </is>
      </c>
      <c r="D256" s="25">
        <f>IFERROR(IF(C256="","",INDEX(직원명부!$B$5:$B$24,MATCH(C256,직원명부!$A$5:$A$24,0))),"사번 확인")</f>
        <v/>
      </c>
      <c r="E256" s="34" t="n"/>
      <c r="F256" s="34" t="n"/>
      <c r="G256" s="28" t="n"/>
      <c r="H256" s="33">
        <f>IF(OR(E256="",F256=""),"",ROUND(MOD(F256-E256,1)*24-N(G256),2))</f>
        <v/>
      </c>
      <c r="I256" s="33">
        <f>IF(H256="","",ROUND(MAX(0,H256-8),2))</f>
        <v/>
      </c>
      <c r="J256" s="33">
        <f>IF(OR(E256="",F256=""),"",ROUND(IF(MOD(F256,1)&gt;=TIME(22,0,0),(MOD(F256,1)-TIME(22,0,0))*24,IF(MOD(F256,1)&lt;TIME(6,0,0),(MOD(F256,1)+1-TIME(22,0,0))*24,0)),2))</f>
        <v/>
      </c>
      <c r="K256" s="33">
        <f>IF(H256="","",ROUND(IF(L256="휴일근로",MIN(H256,8)*1.5+MAX(0,H256-8)*2,I256*1.5)+N(J256)*0.5,2))</f>
        <v/>
      </c>
      <c r="L256" s="18" t="n"/>
      <c r="M256" s="18" t="n"/>
      <c r="N256" s="42" t="inlineStr">
        <is>
          <t>주말</t>
        </is>
      </c>
    </row>
    <row r="257">
      <c r="A257" s="19" t="n">
        <v>46286</v>
      </c>
      <c r="B257" s="25">
        <f>IF(A257="","",CHOOSE(WEEKDAY(A257,2),"월","화","수","목","금","토","일"))</f>
        <v/>
      </c>
      <c r="C257" s="18" t="inlineStr">
        <is>
          <t>M001</t>
        </is>
      </c>
      <c r="D257" s="25">
        <f>IFERROR(IF(C257="","",INDEX(직원명부!$B$5:$B$24,MATCH(C257,직원명부!$A$5:$A$24,0))),"사번 확인")</f>
        <v/>
      </c>
      <c r="E257" s="34" t="n"/>
      <c r="F257" s="34" t="n"/>
      <c r="G257" s="28" t="n"/>
      <c r="H257" s="33">
        <f>IF(OR(E257="",F257=""),"",ROUND(MOD(F257-E257,1)*24-N(G257),2))</f>
        <v/>
      </c>
      <c r="I257" s="33">
        <f>IF(H257="","",ROUND(MAX(0,H257-8),2))</f>
        <v/>
      </c>
      <c r="J257" s="33">
        <f>IF(OR(E257="",F257=""),"",ROUND(IF(MOD(F257,1)&gt;=TIME(22,0,0),(MOD(F257,1)-TIME(22,0,0))*24,IF(MOD(F257,1)&lt;TIME(6,0,0),(MOD(F257,1)+1-TIME(22,0,0))*24,0)),2))</f>
        <v/>
      </c>
      <c r="K257" s="33">
        <f>IF(H257="","",ROUND(IF(L257="휴일근로",MIN(H257,8)*1.5+MAX(0,H257-8)*2,I257*1.5)+N(J257)*0.5,2))</f>
        <v/>
      </c>
      <c r="L257" s="18" t="n"/>
      <c r="M257" s="18" t="n"/>
      <c r="N257" s="22" t="n"/>
    </row>
    <row r="258">
      <c r="A258" s="19" t="n">
        <v>46287</v>
      </c>
      <c r="B258" s="25">
        <f>IF(A258="","",CHOOSE(WEEKDAY(A258,2),"월","화","수","목","금","토","일"))</f>
        <v/>
      </c>
      <c r="C258" s="18" t="inlineStr">
        <is>
          <t>M001</t>
        </is>
      </c>
      <c r="D258" s="25">
        <f>IFERROR(IF(C258="","",INDEX(직원명부!$B$5:$B$24,MATCH(C258,직원명부!$A$5:$A$24,0))),"사번 확인")</f>
        <v/>
      </c>
      <c r="E258" s="34" t="n"/>
      <c r="F258" s="34" t="n"/>
      <c r="G258" s="28" t="n"/>
      <c r="H258" s="33">
        <f>IF(OR(E258="",F258=""),"",ROUND(MOD(F258-E258,1)*24-N(G258),2))</f>
        <v/>
      </c>
      <c r="I258" s="33">
        <f>IF(H258="","",ROUND(MAX(0,H258-8),2))</f>
        <v/>
      </c>
      <c r="J258" s="33">
        <f>IF(OR(E258="",F258=""),"",ROUND(IF(MOD(F258,1)&gt;=TIME(22,0,0),(MOD(F258,1)-TIME(22,0,0))*24,IF(MOD(F258,1)&lt;TIME(6,0,0),(MOD(F258,1)+1-TIME(22,0,0))*24,0)),2))</f>
        <v/>
      </c>
      <c r="K258" s="33">
        <f>IF(H258="","",ROUND(IF(L258="휴일근로",MIN(H258,8)*1.5+MAX(0,H258-8)*2,I258*1.5)+N(J258)*0.5,2))</f>
        <v/>
      </c>
      <c r="L258" s="18" t="n"/>
      <c r="M258" s="18" t="n"/>
      <c r="N258" s="22" t="n"/>
    </row>
    <row r="259">
      <c r="A259" s="19" t="n">
        <v>46288</v>
      </c>
      <c r="B259" s="25">
        <f>IF(A259="","",CHOOSE(WEEKDAY(A259,2),"월","화","수","목","금","토","일"))</f>
        <v/>
      </c>
      <c r="C259" s="18" t="inlineStr">
        <is>
          <t>M001</t>
        </is>
      </c>
      <c r="D259" s="25">
        <f>IFERROR(IF(C259="","",INDEX(직원명부!$B$5:$B$24,MATCH(C259,직원명부!$A$5:$A$24,0))),"사번 확인")</f>
        <v/>
      </c>
      <c r="E259" s="34" t="n"/>
      <c r="F259" s="34" t="n"/>
      <c r="G259" s="28" t="n"/>
      <c r="H259" s="33">
        <f>IF(OR(E259="",F259=""),"",ROUND(MOD(F259-E259,1)*24-N(G259),2))</f>
        <v/>
      </c>
      <c r="I259" s="33">
        <f>IF(H259="","",ROUND(MAX(0,H259-8),2))</f>
        <v/>
      </c>
      <c r="J259" s="33">
        <f>IF(OR(E259="",F259=""),"",ROUND(IF(MOD(F259,1)&gt;=TIME(22,0,0),(MOD(F259,1)-TIME(22,0,0))*24,IF(MOD(F259,1)&lt;TIME(6,0,0),(MOD(F259,1)+1-TIME(22,0,0))*24,0)),2))</f>
        <v/>
      </c>
      <c r="K259" s="33">
        <f>IF(H259="","",ROUND(IF(L259="휴일근로",MIN(H259,8)*1.5+MAX(0,H259-8)*2,I259*1.5)+N(J259)*0.5,2))</f>
        <v/>
      </c>
      <c r="L259" s="18" t="n"/>
      <c r="M259" s="18" t="n"/>
      <c r="N259" s="22" t="n"/>
    </row>
    <row r="260">
      <c r="A260" s="19" t="n">
        <v>46289</v>
      </c>
      <c r="B260" s="25">
        <f>IF(A260="","",CHOOSE(WEEKDAY(A260,2),"월","화","수","목","금","토","일"))</f>
        <v/>
      </c>
      <c r="C260" s="18" t="inlineStr">
        <is>
          <t>M001</t>
        </is>
      </c>
      <c r="D260" s="25">
        <f>IFERROR(IF(C260="","",INDEX(직원명부!$B$5:$B$24,MATCH(C260,직원명부!$A$5:$A$24,0))),"사번 확인")</f>
        <v/>
      </c>
      <c r="E260" s="34" t="n"/>
      <c r="F260" s="34" t="n"/>
      <c r="G260" s="28" t="n"/>
      <c r="H260" s="33">
        <f>IF(OR(E260="",F260=""),"",ROUND(MOD(F260-E260,1)*24-N(G260),2))</f>
        <v/>
      </c>
      <c r="I260" s="33">
        <f>IF(H260="","",ROUND(MAX(0,H260-8),2))</f>
        <v/>
      </c>
      <c r="J260" s="33">
        <f>IF(OR(E260="",F260=""),"",ROUND(IF(MOD(F260,1)&gt;=TIME(22,0,0),(MOD(F260,1)-TIME(22,0,0))*24,IF(MOD(F260,1)&lt;TIME(6,0,0),(MOD(F260,1)+1-TIME(22,0,0))*24,0)),2))</f>
        <v/>
      </c>
      <c r="K260" s="33">
        <f>IF(H260="","",ROUND(IF(L260="휴일근로",MIN(H260,8)*1.5+MAX(0,H260-8)*2,I260*1.5)+N(J260)*0.5,2))</f>
        <v/>
      </c>
      <c r="L260" s="18" t="n"/>
      <c r="M260" s="18" t="n"/>
      <c r="N260" s="42" t="inlineStr">
        <is>
          <t>추석 연휴</t>
        </is>
      </c>
    </row>
    <row r="261">
      <c r="A261" s="19" t="n">
        <v>46290</v>
      </c>
      <c r="B261" s="25">
        <f>IF(A261="","",CHOOSE(WEEKDAY(A261,2),"월","화","수","목","금","토","일"))</f>
        <v/>
      </c>
      <c r="C261" s="18" t="inlineStr">
        <is>
          <t>M001</t>
        </is>
      </c>
      <c r="D261" s="25">
        <f>IFERROR(IF(C261="","",INDEX(직원명부!$B$5:$B$24,MATCH(C261,직원명부!$A$5:$A$24,0))),"사번 확인")</f>
        <v/>
      </c>
      <c r="E261" s="34" t="n"/>
      <c r="F261" s="34" t="n"/>
      <c r="G261" s="28" t="n"/>
      <c r="H261" s="33">
        <f>IF(OR(E261="",F261=""),"",ROUND(MOD(F261-E261,1)*24-N(G261),2))</f>
        <v/>
      </c>
      <c r="I261" s="33">
        <f>IF(H261="","",ROUND(MAX(0,H261-8),2))</f>
        <v/>
      </c>
      <c r="J261" s="33">
        <f>IF(OR(E261="",F261=""),"",ROUND(IF(MOD(F261,1)&gt;=TIME(22,0,0),(MOD(F261,1)-TIME(22,0,0))*24,IF(MOD(F261,1)&lt;TIME(6,0,0),(MOD(F261,1)+1-TIME(22,0,0))*24,0)),2))</f>
        <v/>
      </c>
      <c r="K261" s="33">
        <f>IF(H261="","",ROUND(IF(L261="휴일근로",MIN(H261,8)*1.5+MAX(0,H261-8)*2,I261*1.5)+N(J261)*0.5,2))</f>
        <v/>
      </c>
      <c r="L261" s="18" t="n"/>
      <c r="M261" s="18" t="n"/>
      <c r="N261" s="42" t="inlineStr">
        <is>
          <t>추석</t>
        </is>
      </c>
    </row>
    <row r="262">
      <c r="A262" s="19" t="n">
        <v>46291</v>
      </c>
      <c r="B262" s="25">
        <f>IF(A262="","",CHOOSE(WEEKDAY(A262,2),"월","화","수","목","금","토","일"))</f>
        <v/>
      </c>
      <c r="C262" s="18" t="inlineStr">
        <is>
          <t>M001</t>
        </is>
      </c>
      <c r="D262" s="25">
        <f>IFERROR(IF(C262="","",INDEX(직원명부!$B$5:$B$24,MATCH(C262,직원명부!$A$5:$A$24,0))),"사번 확인")</f>
        <v/>
      </c>
      <c r="E262" s="34" t="n"/>
      <c r="F262" s="34" t="n"/>
      <c r="G262" s="28" t="n"/>
      <c r="H262" s="33">
        <f>IF(OR(E262="",F262=""),"",ROUND(MOD(F262-E262,1)*24-N(G262),2))</f>
        <v/>
      </c>
      <c r="I262" s="33">
        <f>IF(H262="","",ROUND(MAX(0,H262-8),2))</f>
        <v/>
      </c>
      <c r="J262" s="33">
        <f>IF(OR(E262="",F262=""),"",ROUND(IF(MOD(F262,1)&gt;=TIME(22,0,0),(MOD(F262,1)-TIME(22,0,0))*24,IF(MOD(F262,1)&lt;TIME(6,0,0),(MOD(F262,1)+1-TIME(22,0,0))*24,0)),2))</f>
        <v/>
      </c>
      <c r="K262" s="33">
        <f>IF(H262="","",ROUND(IF(L262="휴일근로",MIN(H262,8)*1.5+MAX(0,H262-8)*2,I262*1.5)+N(J262)*0.5,2))</f>
        <v/>
      </c>
      <c r="L262" s="18" t="n"/>
      <c r="M262" s="18" t="n"/>
      <c r="N262" s="42" t="inlineStr">
        <is>
          <t>추석 연휴</t>
        </is>
      </c>
    </row>
    <row r="263">
      <c r="A263" s="19" t="n">
        <v>46292</v>
      </c>
      <c r="B263" s="25">
        <f>IF(A263="","",CHOOSE(WEEKDAY(A263,2),"월","화","수","목","금","토","일"))</f>
        <v/>
      </c>
      <c r="C263" s="18" t="inlineStr">
        <is>
          <t>M001</t>
        </is>
      </c>
      <c r="D263" s="25">
        <f>IFERROR(IF(C263="","",INDEX(직원명부!$B$5:$B$24,MATCH(C263,직원명부!$A$5:$A$24,0))),"사번 확인")</f>
        <v/>
      </c>
      <c r="E263" s="34" t="n"/>
      <c r="F263" s="34" t="n"/>
      <c r="G263" s="28" t="n"/>
      <c r="H263" s="33">
        <f>IF(OR(E263="",F263=""),"",ROUND(MOD(F263-E263,1)*24-N(G263),2))</f>
        <v/>
      </c>
      <c r="I263" s="33">
        <f>IF(H263="","",ROUND(MAX(0,H263-8),2))</f>
        <v/>
      </c>
      <c r="J263" s="33">
        <f>IF(OR(E263="",F263=""),"",ROUND(IF(MOD(F263,1)&gt;=TIME(22,0,0),(MOD(F263,1)-TIME(22,0,0))*24,IF(MOD(F263,1)&lt;TIME(6,0,0),(MOD(F263,1)+1-TIME(22,0,0))*24,0)),2))</f>
        <v/>
      </c>
      <c r="K263" s="33">
        <f>IF(H263="","",ROUND(IF(L263="휴일근로",MIN(H263,8)*1.5+MAX(0,H263-8)*2,I263*1.5)+N(J263)*0.5,2))</f>
        <v/>
      </c>
      <c r="L263" s="18" t="n"/>
      <c r="M263" s="18" t="n"/>
      <c r="N263" s="42" t="inlineStr">
        <is>
          <t>주말</t>
        </is>
      </c>
    </row>
    <row r="264">
      <c r="A264" s="19" t="n">
        <v>46293</v>
      </c>
      <c r="B264" s="25">
        <f>IF(A264="","",CHOOSE(WEEKDAY(A264,2),"월","화","수","목","금","토","일"))</f>
        <v/>
      </c>
      <c r="C264" s="18" t="inlineStr">
        <is>
          <t>M001</t>
        </is>
      </c>
      <c r="D264" s="25">
        <f>IFERROR(IF(C264="","",INDEX(직원명부!$B$5:$B$24,MATCH(C264,직원명부!$A$5:$A$24,0))),"사번 확인")</f>
        <v/>
      </c>
      <c r="E264" s="34" t="n"/>
      <c r="F264" s="34" t="n"/>
      <c r="G264" s="28" t="n"/>
      <c r="H264" s="33">
        <f>IF(OR(E264="",F264=""),"",ROUND(MOD(F264-E264,1)*24-N(G264),2))</f>
        <v/>
      </c>
      <c r="I264" s="33">
        <f>IF(H264="","",ROUND(MAX(0,H264-8),2))</f>
        <v/>
      </c>
      <c r="J264" s="33">
        <f>IF(OR(E264="",F264=""),"",ROUND(IF(MOD(F264,1)&gt;=TIME(22,0,0),(MOD(F264,1)-TIME(22,0,0))*24,IF(MOD(F264,1)&lt;TIME(6,0,0),(MOD(F264,1)+1-TIME(22,0,0))*24,0)),2))</f>
        <v/>
      </c>
      <c r="K264" s="33">
        <f>IF(H264="","",ROUND(IF(L264="휴일근로",MIN(H264,8)*1.5+MAX(0,H264-8)*2,I264*1.5)+N(J264)*0.5,2))</f>
        <v/>
      </c>
      <c r="L264" s="18" t="n"/>
      <c r="M264" s="18" t="n"/>
      <c r="N264" s="22" t="n"/>
    </row>
    <row r="265">
      <c r="A265" s="19" t="n">
        <v>46294</v>
      </c>
      <c r="B265" s="25">
        <f>IF(A265="","",CHOOSE(WEEKDAY(A265,2),"월","화","수","목","금","토","일"))</f>
        <v/>
      </c>
      <c r="C265" s="18" t="inlineStr">
        <is>
          <t>M001</t>
        </is>
      </c>
      <c r="D265" s="25">
        <f>IFERROR(IF(C265="","",INDEX(직원명부!$B$5:$B$24,MATCH(C265,직원명부!$A$5:$A$24,0))),"사번 확인")</f>
        <v/>
      </c>
      <c r="E265" s="34" t="n"/>
      <c r="F265" s="34" t="n"/>
      <c r="G265" s="28" t="n"/>
      <c r="H265" s="33">
        <f>IF(OR(E265="",F265=""),"",ROUND(MOD(F265-E265,1)*24-N(G265),2))</f>
        <v/>
      </c>
      <c r="I265" s="33">
        <f>IF(H265="","",ROUND(MAX(0,H265-8),2))</f>
        <v/>
      </c>
      <c r="J265" s="33">
        <f>IF(OR(E265="",F265=""),"",ROUND(IF(MOD(F265,1)&gt;=TIME(22,0,0),(MOD(F265,1)-TIME(22,0,0))*24,IF(MOD(F265,1)&lt;TIME(6,0,0),(MOD(F265,1)+1-TIME(22,0,0))*24,0)),2))</f>
        <v/>
      </c>
      <c r="K265" s="33">
        <f>IF(H265="","",ROUND(IF(L265="휴일근로",MIN(H265,8)*1.5+MAX(0,H265-8)*2,I265*1.5)+N(J265)*0.5,2))</f>
        <v/>
      </c>
      <c r="L265" s="18" t="n"/>
      <c r="M265" s="18" t="n"/>
      <c r="N265" s="22" t="n"/>
    </row>
    <row r="266">
      <c r="A266" s="19" t="n">
        <v>46295</v>
      </c>
      <c r="B266" s="25">
        <f>IF(A266="","",CHOOSE(WEEKDAY(A266,2),"월","화","수","목","금","토","일"))</f>
        <v/>
      </c>
      <c r="C266" s="18" t="inlineStr">
        <is>
          <t>M001</t>
        </is>
      </c>
      <c r="D266" s="25">
        <f>IFERROR(IF(C266="","",INDEX(직원명부!$B$5:$B$24,MATCH(C266,직원명부!$A$5:$A$24,0))),"사번 확인")</f>
        <v/>
      </c>
      <c r="E266" s="34" t="n"/>
      <c r="F266" s="34" t="n"/>
      <c r="G266" s="28" t="n"/>
      <c r="H266" s="33">
        <f>IF(OR(E266="",F266=""),"",ROUND(MOD(F266-E266,1)*24-N(G266),2))</f>
        <v/>
      </c>
      <c r="I266" s="33">
        <f>IF(H266="","",ROUND(MAX(0,H266-8),2))</f>
        <v/>
      </c>
      <c r="J266" s="33">
        <f>IF(OR(E266="",F266=""),"",ROUND(IF(MOD(F266,1)&gt;=TIME(22,0,0),(MOD(F266,1)-TIME(22,0,0))*24,IF(MOD(F266,1)&lt;TIME(6,0,0),(MOD(F266,1)+1-TIME(22,0,0))*24,0)),2))</f>
        <v/>
      </c>
      <c r="K266" s="33">
        <f>IF(H266="","",ROUND(IF(L266="휴일근로",MIN(H266,8)*1.5+MAX(0,H266-8)*2,I266*1.5)+N(J266)*0.5,2))</f>
        <v/>
      </c>
      <c r="L266" s="18" t="n"/>
      <c r="M266" s="18" t="n"/>
      <c r="N266" s="22" t="n"/>
    </row>
    <row r="267">
      <c r="A267" s="19" t="n">
        <v>46296</v>
      </c>
      <c r="B267" s="25">
        <f>IF(A267="","",CHOOSE(WEEKDAY(A267,2),"월","화","수","목","금","토","일"))</f>
        <v/>
      </c>
      <c r="C267" s="18" t="inlineStr">
        <is>
          <t>M001</t>
        </is>
      </c>
      <c r="D267" s="25">
        <f>IFERROR(IF(C267="","",INDEX(직원명부!$B$5:$B$24,MATCH(C267,직원명부!$A$5:$A$24,0))),"사번 확인")</f>
        <v/>
      </c>
      <c r="E267" s="34" t="n"/>
      <c r="F267" s="34" t="n"/>
      <c r="G267" s="28" t="n"/>
      <c r="H267" s="33">
        <f>IF(OR(E267="",F267=""),"",ROUND(MOD(F267-E267,1)*24-N(G267),2))</f>
        <v/>
      </c>
      <c r="I267" s="33">
        <f>IF(H267="","",ROUND(MAX(0,H267-8),2))</f>
        <v/>
      </c>
      <c r="J267" s="33">
        <f>IF(OR(E267="",F267=""),"",ROUND(IF(MOD(F267,1)&gt;=TIME(22,0,0),(MOD(F267,1)-TIME(22,0,0))*24,IF(MOD(F267,1)&lt;TIME(6,0,0),(MOD(F267,1)+1-TIME(22,0,0))*24,0)),2))</f>
        <v/>
      </c>
      <c r="K267" s="33">
        <f>IF(H267="","",ROUND(IF(L267="휴일근로",MIN(H267,8)*1.5+MAX(0,H267-8)*2,I267*1.5)+N(J267)*0.5,2))</f>
        <v/>
      </c>
      <c r="L267" s="18" t="n"/>
      <c r="M267" s="18" t="n"/>
      <c r="N267" s="22" t="n"/>
    </row>
    <row r="268">
      <c r="A268" s="19" t="n">
        <v>46297</v>
      </c>
      <c r="B268" s="25">
        <f>IF(A268="","",CHOOSE(WEEKDAY(A268,2),"월","화","수","목","금","토","일"))</f>
        <v/>
      </c>
      <c r="C268" s="18" t="inlineStr">
        <is>
          <t>M001</t>
        </is>
      </c>
      <c r="D268" s="25">
        <f>IFERROR(IF(C268="","",INDEX(직원명부!$B$5:$B$24,MATCH(C268,직원명부!$A$5:$A$24,0))),"사번 확인")</f>
        <v/>
      </c>
      <c r="E268" s="34" t="n"/>
      <c r="F268" s="34" t="n"/>
      <c r="G268" s="28" t="n"/>
      <c r="H268" s="33">
        <f>IF(OR(E268="",F268=""),"",ROUND(MOD(F268-E268,1)*24-N(G268),2))</f>
        <v/>
      </c>
      <c r="I268" s="33">
        <f>IF(H268="","",ROUND(MAX(0,H268-8),2))</f>
        <v/>
      </c>
      <c r="J268" s="33">
        <f>IF(OR(E268="",F268=""),"",ROUND(IF(MOD(F268,1)&gt;=TIME(22,0,0),(MOD(F268,1)-TIME(22,0,0))*24,IF(MOD(F268,1)&lt;TIME(6,0,0),(MOD(F268,1)+1-TIME(22,0,0))*24,0)),2))</f>
        <v/>
      </c>
      <c r="K268" s="33">
        <f>IF(H268="","",ROUND(IF(L268="휴일근로",MIN(H268,8)*1.5+MAX(0,H268-8)*2,I268*1.5)+N(J268)*0.5,2))</f>
        <v/>
      </c>
      <c r="L268" s="18" t="n"/>
      <c r="M268" s="18" t="n"/>
      <c r="N268" s="22" t="n"/>
    </row>
    <row r="269">
      <c r="A269" s="19" t="n">
        <v>46298</v>
      </c>
      <c r="B269" s="25">
        <f>IF(A269="","",CHOOSE(WEEKDAY(A269,2),"월","화","수","목","금","토","일"))</f>
        <v/>
      </c>
      <c r="C269" s="18" t="inlineStr">
        <is>
          <t>M001</t>
        </is>
      </c>
      <c r="D269" s="25">
        <f>IFERROR(IF(C269="","",INDEX(직원명부!$B$5:$B$24,MATCH(C269,직원명부!$A$5:$A$24,0))),"사번 확인")</f>
        <v/>
      </c>
      <c r="E269" s="34" t="n"/>
      <c r="F269" s="34" t="n"/>
      <c r="G269" s="28" t="n"/>
      <c r="H269" s="33">
        <f>IF(OR(E269="",F269=""),"",ROUND(MOD(F269-E269,1)*24-N(G269),2))</f>
        <v/>
      </c>
      <c r="I269" s="33">
        <f>IF(H269="","",ROUND(MAX(0,H269-8),2))</f>
        <v/>
      </c>
      <c r="J269" s="33">
        <f>IF(OR(E269="",F269=""),"",ROUND(IF(MOD(F269,1)&gt;=TIME(22,0,0),(MOD(F269,1)-TIME(22,0,0))*24,IF(MOD(F269,1)&lt;TIME(6,0,0),(MOD(F269,1)+1-TIME(22,0,0))*24,0)),2))</f>
        <v/>
      </c>
      <c r="K269" s="33">
        <f>IF(H269="","",ROUND(IF(L269="휴일근로",MIN(H269,8)*1.5+MAX(0,H269-8)*2,I269*1.5)+N(J269)*0.5,2))</f>
        <v/>
      </c>
      <c r="L269" s="18" t="n"/>
      <c r="M269" s="18" t="n"/>
      <c r="N269" s="42" t="inlineStr">
        <is>
          <t>개천절</t>
        </is>
      </c>
    </row>
    <row r="270">
      <c r="A270" s="19" t="n">
        <v>46299</v>
      </c>
      <c r="B270" s="25">
        <f>IF(A270="","",CHOOSE(WEEKDAY(A270,2),"월","화","수","목","금","토","일"))</f>
        <v/>
      </c>
      <c r="C270" s="18" t="inlineStr">
        <is>
          <t>M001</t>
        </is>
      </c>
      <c r="D270" s="25">
        <f>IFERROR(IF(C270="","",INDEX(직원명부!$B$5:$B$24,MATCH(C270,직원명부!$A$5:$A$24,0))),"사번 확인")</f>
        <v/>
      </c>
      <c r="E270" s="34" t="n"/>
      <c r="F270" s="34" t="n"/>
      <c r="G270" s="28" t="n"/>
      <c r="H270" s="33">
        <f>IF(OR(E270="",F270=""),"",ROUND(MOD(F270-E270,1)*24-N(G270),2))</f>
        <v/>
      </c>
      <c r="I270" s="33">
        <f>IF(H270="","",ROUND(MAX(0,H270-8),2))</f>
        <v/>
      </c>
      <c r="J270" s="33">
        <f>IF(OR(E270="",F270=""),"",ROUND(IF(MOD(F270,1)&gt;=TIME(22,0,0),(MOD(F270,1)-TIME(22,0,0))*24,IF(MOD(F270,1)&lt;TIME(6,0,0),(MOD(F270,1)+1-TIME(22,0,0))*24,0)),2))</f>
        <v/>
      </c>
      <c r="K270" s="33">
        <f>IF(H270="","",ROUND(IF(L270="휴일근로",MIN(H270,8)*1.5+MAX(0,H270-8)*2,I270*1.5)+N(J270)*0.5,2))</f>
        <v/>
      </c>
      <c r="L270" s="18" t="n"/>
      <c r="M270" s="18" t="n"/>
      <c r="N270" s="42" t="inlineStr">
        <is>
          <t>주말</t>
        </is>
      </c>
    </row>
    <row r="271">
      <c r="A271" s="19" t="n">
        <v>46300</v>
      </c>
      <c r="B271" s="25">
        <f>IF(A271="","",CHOOSE(WEEKDAY(A271,2),"월","화","수","목","금","토","일"))</f>
        <v/>
      </c>
      <c r="C271" s="18" t="inlineStr">
        <is>
          <t>M001</t>
        </is>
      </c>
      <c r="D271" s="25">
        <f>IFERROR(IF(C271="","",INDEX(직원명부!$B$5:$B$24,MATCH(C271,직원명부!$A$5:$A$24,0))),"사번 확인")</f>
        <v/>
      </c>
      <c r="E271" s="34" t="n"/>
      <c r="F271" s="34" t="n"/>
      <c r="G271" s="28" t="n"/>
      <c r="H271" s="33">
        <f>IF(OR(E271="",F271=""),"",ROUND(MOD(F271-E271,1)*24-N(G271),2))</f>
        <v/>
      </c>
      <c r="I271" s="33">
        <f>IF(H271="","",ROUND(MAX(0,H271-8),2))</f>
        <v/>
      </c>
      <c r="J271" s="33">
        <f>IF(OR(E271="",F271=""),"",ROUND(IF(MOD(F271,1)&gt;=TIME(22,0,0),(MOD(F271,1)-TIME(22,0,0))*24,IF(MOD(F271,1)&lt;TIME(6,0,0),(MOD(F271,1)+1-TIME(22,0,0))*24,0)),2))</f>
        <v/>
      </c>
      <c r="K271" s="33">
        <f>IF(H271="","",ROUND(IF(L271="휴일근로",MIN(H271,8)*1.5+MAX(0,H271-8)*2,I271*1.5)+N(J271)*0.5,2))</f>
        <v/>
      </c>
      <c r="L271" s="18" t="n"/>
      <c r="M271" s="18" t="n"/>
      <c r="N271" s="42" t="inlineStr">
        <is>
          <t>개천절 대체공휴일</t>
        </is>
      </c>
    </row>
    <row r="272">
      <c r="A272" s="19" t="n">
        <v>46301</v>
      </c>
      <c r="B272" s="25">
        <f>IF(A272="","",CHOOSE(WEEKDAY(A272,2),"월","화","수","목","금","토","일"))</f>
        <v/>
      </c>
      <c r="C272" s="18" t="inlineStr">
        <is>
          <t>M001</t>
        </is>
      </c>
      <c r="D272" s="25">
        <f>IFERROR(IF(C272="","",INDEX(직원명부!$B$5:$B$24,MATCH(C272,직원명부!$A$5:$A$24,0))),"사번 확인")</f>
        <v/>
      </c>
      <c r="E272" s="34" t="n"/>
      <c r="F272" s="34" t="n"/>
      <c r="G272" s="28" t="n"/>
      <c r="H272" s="33">
        <f>IF(OR(E272="",F272=""),"",ROUND(MOD(F272-E272,1)*24-N(G272),2))</f>
        <v/>
      </c>
      <c r="I272" s="33">
        <f>IF(H272="","",ROUND(MAX(0,H272-8),2))</f>
        <v/>
      </c>
      <c r="J272" s="33">
        <f>IF(OR(E272="",F272=""),"",ROUND(IF(MOD(F272,1)&gt;=TIME(22,0,0),(MOD(F272,1)-TIME(22,0,0))*24,IF(MOD(F272,1)&lt;TIME(6,0,0),(MOD(F272,1)+1-TIME(22,0,0))*24,0)),2))</f>
        <v/>
      </c>
      <c r="K272" s="33">
        <f>IF(H272="","",ROUND(IF(L272="휴일근로",MIN(H272,8)*1.5+MAX(0,H272-8)*2,I272*1.5)+N(J272)*0.5,2))</f>
        <v/>
      </c>
      <c r="L272" s="18" t="n"/>
      <c r="M272" s="18" t="n"/>
      <c r="N272" s="22" t="n"/>
    </row>
    <row r="273">
      <c r="A273" s="19" t="n">
        <v>46302</v>
      </c>
      <c r="B273" s="25">
        <f>IF(A273="","",CHOOSE(WEEKDAY(A273,2),"월","화","수","목","금","토","일"))</f>
        <v/>
      </c>
      <c r="C273" s="18" t="inlineStr">
        <is>
          <t>M001</t>
        </is>
      </c>
      <c r="D273" s="25">
        <f>IFERROR(IF(C273="","",INDEX(직원명부!$B$5:$B$24,MATCH(C273,직원명부!$A$5:$A$24,0))),"사번 확인")</f>
        <v/>
      </c>
      <c r="E273" s="34" t="n"/>
      <c r="F273" s="34" t="n"/>
      <c r="G273" s="28" t="n"/>
      <c r="H273" s="33">
        <f>IF(OR(E273="",F273=""),"",ROUND(MOD(F273-E273,1)*24-N(G273),2))</f>
        <v/>
      </c>
      <c r="I273" s="33">
        <f>IF(H273="","",ROUND(MAX(0,H273-8),2))</f>
        <v/>
      </c>
      <c r="J273" s="33">
        <f>IF(OR(E273="",F273=""),"",ROUND(IF(MOD(F273,1)&gt;=TIME(22,0,0),(MOD(F273,1)-TIME(22,0,0))*24,IF(MOD(F273,1)&lt;TIME(6,0,0),(MOD(F273,1)+1-TIME(22,0,0))*24,0)),2))</f>
        <v/>
      </c>
      <c r="K273" s="33">
        <f>IF(H273="","",ROUND(IF(L273="휴일근로",MIN(H273,8)*1.5+MAX(0,H273-8)*2,I273*1.5)+N(J273)*0.5,2))</f>
        <v/>
      </c>
      <c r="L273" s="18" t="n"/>
      <c r="M273" s="18" t="n"/>
      <c r="N273" s="22" t="n"/>
    </row>
    <row r="274">
      <c r="A274" s="19" t="n">
        <v>46303</v>
      </c>
      <c r="B274" s="25">
        <f>IF(A274="","",CHOOSE(WEEKDAY(A274,2),"월","화","수","목","금","토","일"))</f>
        <v/>
      </c>
      <c r="C274" s="18" t="inlineStr">
        <is>
          <t>M001</t>
        </is>
      </c>
      <c r="D274" s="25">
        <f>IFERROR(IF(C274="","",INDEX(직원명부!$B$5:$B$24,MATCH(C274,직원명부!$A$5:$A$24,0))),"사번 확인")</f>
        <v/>
      </c>
      <c r="E274" s="34" t="n"/>
      <c r="F274" s="34" t="n"/>
      <c r="G274" s="28" t="n"/>
      <c r="H274" s="33">
        <f>IF(OR(E274="",F274=""),"",ROUND(MOD(F274-E274,1)*24-N(G274),2))</f>
        <v/>
      </c>
      <c r="I274" s="33">
        <f>IF(H274="","",ROUND(MAX(0,H274-8),2))</f>
        <v/>
      </c>
      <c r="J274" s="33">
        <f>IF(OR(E274="",F274=""),"",ROUND(IF(MOD(F274,1)&gt;=TIME(22,0,0),(MOD(F274,1)-TIME(22,0,0))*24,IF(MOD(F274,1)&lt;TIME(6,0,0),(MOD(F274,1)+1-TIME(22,0,0))*24,0)),2))</f>
        <v/>
      </c>
      <c r="K274" s="33">
        <f>IF(H274="","",ROUND(IF(L274="휴일근로",MIN(H274,8)*1.5+MAX(0,H274-8)*2,I274*1.5)+N(J274)*0.5,2))</f>
        <v/>
      </c>
      <c r="L274" s="18" t="n"/>
      <c r="M274" s="18" t="n"/>
      <c r="N274" s="22" t="n"/>
    </row>
    <row r="275">
      <c r="A275" s="19" t="n">
        <v>46304</v>
      </c>
      <c r="B275" s="25">
        <f>IF(A275="","",CHOOSE(WEEKDAY(A275,2),"월","화","수","목","금","토","일"))</f>
        <v/>
      </c>
      <c r="C275" s="18" t="inlineStr">
        <is>
          <t>M001</t>
        </is>
      </c>
      <c r="D275" s="25">
        <f>IFERROR(IF(C275="","",INDEX(직원명부!$B$5:$B$24,MATCH(C275,직원명부!$A$5:$A$24,0))),"사번 확인")</f>
        <v/>
      </c>
      <c r="E275" s="34" t="n"/>
      <c r="F275" s="34" t="n"/>
      <c r="G275" s="28" t="n"/>
      <c r="H275" s="33">
        <f>IF(OR(E275="",F275=""),"",ROUND(MOD(F275-E275,1)*24-N(G275),2))</f>
        <v/>
      </c>
      <c r="I275" s="33">
        <f>IF(H275="","",ROUND(MAX(0,H275-8),2))</f>
        <v/>
      </c>
      <c r="J275" s="33">
        <f>IF(OR(E275="",F275=""),"",ROUND(IF(MOD(F275,1)&gt;=TIME(22,0,0),(MOD(F275,1)-TIME(22,0,0))*24,IF(MOD(F275,1)&lt;TIME(6,0,0),(MOD(F275,1)+1-TIME(22,0,0))*24,0)),2))</f>
        <v/>
      </c>
      <c r="K275" s="33">
        <f>IF(H275="","",ROUND(IF(L275="휴일근로",MIN(H275,8)*1.5+MAX(0,H275-8)*2,I275*1.5)+N(J275)*0.5,2))</f>
        <v/>
      </c>
      <c r="L275" s="18" t="n"/>
      <c r="M275" s="18" t="n"/>
      <c r="N275" s="42" t="inlineStr">
        <is>
          <t>한글날</t>
        </is>
      </c>
    </row>
    <row r="276">
      <c r="A276" s="19" t="n">
        <v>46305</v>
      </c>
      <c r="B276" s="25">
        <f>IF(A276="","",CHOOSE(WEEKDAY(A276,2),"월","화","수","목","금","토","일"))</f>
        <v/>
      </c>
      <c r="C276" s="18" t="inlineStr">
        <is>
          <t>M001</t>
        </is>
      </c>
      <c r="D276" s="25">
        <f>IFERROR(IF(C276="","",INDEX(직원명부!$B$5:$B$24,MATCH(C276,직원명부!$A$5:$A$24,0))),"사번 확인")</f>
        <v/>
      </c>
      <c r="E276" s="34" t="n"/>
      <c r="F276" s="34" t="n"/>
      <c r="G276" s="28" t="n"/>
      <c r="H276" s="33">
        <f>IF(OR(E276="",F276=""),"",ROUND(MOD(F276-E276,1)*24-N(G276),2))</f>
        <v/>
      </c>
      <c r="I276" s="33">
        <f>IF(H276="","",ROUND(MAX(0,H276-8),2))</f>
        <v/>
      </c>
      <c r="J276" s="33">
        <f>IF(OR(E276="",F276=""),"",ROUND(IF(MOD(F276,1)&gt;=TIME(22,0,0),(MOD(F276,1)-TIME(22,0,0))*24,IF(MOD(F276,1)&lt;TIME(6,0,0),(MOD(F276,1)+1-TIME(22,0,0))*24,0)),2))</f>
        <v/>
      </c>
      <c r="K276" s="33">
        <f>IF(H276="","",ROUND(IF(L276="휴일근로",MIN(H276,8)*1.5+MAX(0,H276-8)*2,I276*1.5)+N(J276)*0.5,2))</f>
        <v/>
      </c>
      <c r="L276" s="18" t="n"/>
      <c r="M276" s="18" t="n"/>
      <c r="N276" s="42" t="inlineStr">
        <is>
          <t>주말</t>
        </is>
      </c>
    </row>
    <row r="277">
      <c r="A277" s="19" t="n">
        <v>46306</v>
      </c>
      <c r="B277" s="25">
        <f>IF(A277="","",CHOOSE(WEEKDAY(A277,2),"월","화","수","목","금","토","일"))</f>
        <v/>
      </c>
      <c r="C277" s="18" t="inlineStr">
        <is>
          <t>M001</t>
        </is>
      </c>
      <c r="D277" s="25">
        <f>IFERROR(IF(C277="","",INDEX(직원명부!$B$5:$B$24,MATCH(C277,직원명부!$A$5:$A$24,0))),"사번 확인")</f>
        <v/>
      </c>
      <c r="E277" s="34" t="n"/>
      <c r="F277" s="34" t="n"/>
      <c r="G277" s="28" t="n"/>
      <c r="H277" s="33">
        <f>IF(OR(E277="",F277=""),"",ROUND(MOD(F277-E277,1)*24-N(G277),2))</f>
        <v/>
      </c>
      <c r="I277" s="33">
        <f>IF(H277="","",ROUND(MAX(0,H277-8),2))</f>
        <v/>
      </c>
      <c r="J277" s="33">
        <f>IF(OR(E277="",F277=""),"",ROUND(IF(MOD(F277,1)&gt;=TIME(22,0,0),(MOD(F277,1)-TIME(22,0,0))*24,IF(MOD(F277,1)&lt;TIME(6,0,0),(MOD(F277,1)+1-TIME(22,0,0))*24,0)),2))</f>
        <v/>
      </c>
      <c r="K277" s="33">
        <f>IF(H277="","",ROUND(IF(L277="휴일근로",MIN(H277,8)*1.5+MAX(0,H277-8)*2,I277*1.5)+N(J277)*0.5,2))</f>
        <v/>
      </c>
      <c r="L277" s="18" t="n"/>
      <c r="M277" s="18" t="n"/>
      <c r="N277" s="42" t="inlineStr">
        <is>
          <t>주말</t>
        </is>
      </c>
    </row>
    <row r="278">
      <c r="A278" s="19" t="n">
        <v>46307</v>
      </c>
      <c r="B278" s="25">
        <f>IF(A278="","",CHOOSE(WEEKDAY(A278,2),"월","화","수","목","금","토","일"))</f>
        <v/>
      </c>
      <c r="C278" s="18" t="inlineStr">
        <is>
          <t>M001</t>
        </is>
      </c>
      <c r="D278" s="25">
        <f>IFERROR(IF(C278="","",INDEX(직원명부!$B$5:$B$24,MATCH(C278,직원명부!$A$5:$A$24,0))),"사번 확인")</f>
        <v/>
      </c>
      <c r="E278" s="34" t="n"/>
      <c r="F278" s="34" t="n"/>
      <c r="G278" s="28" t="n"/>
      <c r="H278" s="33">
        <f>IF(OR(E278="",F278=""),"",ROUND(MOD(F278-E278,1)*24-N(G278),2))</f>
        <v/>
      </c>
      <c r="I278" s="33">
        <f>IF(H278="","",ROUND(MAX(0,H278-8),2))</f>
        <v/>
      </c>
      <c r="J278" s="33">
        <f>IF(OR(E278="",F278=""),"",ROUND(IF(MOD(F278,1)&gt;=TIME(22,0,0),(MOD(F278,1)-TIME(22,0,0))*24,IF(MOD(F278,1)&lt;TIME(6,0,0),(MOD(F278,1)+1-TIME(22,0,0))*24,0)),2))</f>
        <v/>
      </c>
      <c r="K278" s="33">
        <f>IF(H278="","",ROUND(IF(L278="휴일근로",MIN(H278,8)*1.5+MAX(0,H278-8)*2,I278*1.5)+N(J278)*0.5,2))</f>
        <v/>
      </c>
      <c r="L278" s="18" t="n"/>
      <c r="M278" s="18" t="n"/>
      <c r="N278" s="22" t="n"/>
    </row>
    <row r="279">
      <c r="A279" s="19" t="n">
        <v>46308</v>
      </c>
      <c r="B279" s="25">
        <f>IF(A279="","",CHOOSE(WEEKDAY(A279,2),"월","화","수","목","금","토","일"))</f>
        <v/>
      </c>
      <c r="C279" s="18" t="inlineStr">
        <is>
          <t>M001</t>
        </is>
      </c>
      <c r="D279" s="25">
        <f>IFERROR(IF(C279="","",INDEX(직원명부!$B$5:$B$24,MATCH(C279,직원명부!$A$5:$A$24,0))),"사번 확인")</f>
        <v/>
      </c>
      <c r="E279" s="34" t="n"/>
      <c r="F279" s="34" t="n"/>
      <c r="G279" s="28" t="n"/>
      <c r="H279" s="33">
        <f>IF(OR(E279="",F279=""),"",ROUND(MOD(F279-E279,1)*24-N(G279),2))</f>
        <v/>
      </c>
      <c r="I279" s="33">
        <f>IF(H279="","",ROUND(MAX(0,H279-8),2))</f>
        <v/>
      </c>
      <c r="J279" s="33">
        <f>IF(OR(E279="",F279=""),"",ROUND(IF(MOD(F279,1)&gt;=TIME(22,0,0),(MOD(F279,1)-TIME(22,0,0))*24,IF(MOD(F279,1)&lt;TIME(6,0,0),(MOD(F279,1)+1-TIME(22,0,0))*24,0)),2))</f>
        <v/>
      </c>
      <c r="K279" s="33">
        <f>IF(H279="","",ROUND(IF(L279="휴일근로",MIN(H279,8)*1.5+MAX(0,H279-8)*2,I279*1.5)+N(J279)*0.5,2))</f>
        <v/>
      </c>
      <c r="L279" s="18" t="n"/>
      <c r="M279" s="18" t="n"/>
      <c r="N279" s="22" t="n"/>
    </row>
    <row r="280">
      <c r="A280" s="19" t="n">
        <v>46309</v>
      </c>
      <c r="B280" s="25">
        <f>IF(A280="","",CHOOSE(WEEKDAY(A280,2),"월","화","수","목","금","토","일"))</f>
        <v/>
      </c>
      <c r="C280" s="18" t="inlineStr">
        <is>
          <t>M001</t>
        </is>
      </c>
      <c r="D280" s="25">
        <f>IFERROR(IF(C280="","",INDEX(직원명부!$B$5:$B$24,MATCH(C280,직원명부!$A$5:$A$24,0))),"사번 확인")</f>
        <v/>
      </c>
      <c r="E280" s="34" t="n"/>
      <c r="F280" s="34" t="n"/>
      <c r="G280" s="28" t="n"/>
      <c r="H280" s="33">
        <f>IF(OR(E280="",F280=""),"",ROUND(MOD(F280-E280,1)*24-N(G280),2))</f>
        <v/>
      </c>
      <c r="I280" s="33">
        <f>IF(H280="","",ROUND(MAX(0,H280-8),2))</f>
        <v/>
      </c>
      <c r="J280" s="33">
        <f>IF(OR(E280="",F280=""),"",ROUND(IF(MOD(F280,1)&gt;=TIME(22,0,0),(MOD(F280,1)-TIME(22,0,0))*24,IF(MOD(F280,1)&lt;TIME(6,0,0),(MOD(F280,1)+1-TIME(22,0,0))*24,0)),2))</f>
        <v/>
      </c>
      <c r="K280" s="33">
        <f>IF(H280="","",ROUND(IF(L280="휴일근로",MIN(H280,8)*1.5+MAX(0,H280-8)*2,I280*1.5)+N(J280)*0.5,2))</f>
        <v/>
      </c>
      <c r="L280" s="18" t="n"/>
      <c r="M280" s="18" t="n"/>
      <c r="N280" s="22" t="n"/>
    </row>
    <row r="281">
      <c r="A281" s="19" t="n">
        <v>46310</v>
      </c>
      <c r="B281" s="25">
        <f>IF(A281="","",CHOOSE(WEEKDAY(A281,2),"월","화","수","목","금","토","일"))</f>
        <v/>
      </c>
      <c r="C281" s="18" t="inlineStr">
        <is>
          <t>M001</t>
        </is>
      </c>
      <c r="D281" s="25">
        <f>IFERROR(IF(C281="","",INDEX(직원명부!$B$5:$B$24,MATCH(C281,직원명부!$A$5:$A$24,0))),"사번 확인")</f>
        <v/>
      </c>
      <c r="E281" s="34" t="n"/>
      <c r="F281" s="34" t="n"/>
      <c r="G281" s="28" t="n"/>
      <c r="H281" s="33">
        <f>IF(OR(E281="",F281=""),"",ROUND(MOD(F281-E281,1)*24-N(G281),2))</f>
        <v/>
      </c>
      <c r="I281" s="33">
        <f>IF(H281="","",ROUND(MAX(0,H281-8),2))</f>
        <v/>
      </c>
      <c r="J281" s="33">
        <f>IF(OR(E281="",F281=""),"",ROUND(IF(MOD(F281,1)&gt;=TIME(22,0,0),(MOD(F281,1)-TIME(22,0,0))*24,IF(MOD(F281,1)&lt;TIME(6,0,0),(MOD(F281,1)+1-TIME(22,0,0))*24,0)),2))</f>
        <v/>
      </c>
      <c r="K281" s="33">
        <f>IF(H281="","",ROUND(IF(L281="휴일근로",MIN(H281,8)*1.5+MAX(0,H281-8)*2,I281*1.5)+N(J281)*0.5,2))</f>
        <v/>
      </c>
      <c r="L281" s="18" t="n"/>
      <c r="M281" s="18" t="n"/>
      <c r="N281" s="22" t="n"/>
    </row>
    <row r="282">
      <c r="A282" s="19" t="n">
        <v>46311</v>
      </c>
      <c r="B282" s="25">
        <f>IF(A282="","",CHOOSE(WEEKDAY(A282,2),"월","화","수","목","금","토","일"))</f>
        <v/>
      </c>
      <c r="C282" s="18" t="inlineStr">
        <is>
          <t>M001</t>
        </is>
      </c>
      <c r="D282" s="25">
        <f>IFERROR(IF(C282="","",INDEX(직원명부!$B$5:$B$24,MATCH(C282,직원명부!$A$5:$A$24,0))),"사번 확인")</f>
        <v/>
      </c>
      <c r="E282" s="34" t="n"/>
      <c r="F282" s="34" t="n"/>
      <c r="G282" s="28" t="n"/>
      <c r="H282" s="33">
        <f>IF(OR(E282="",F282=""),"",ROUND(MOD(F282-E282,1)*24-N(G282),2))</f>
        <v/>
      </c>
      <c r="I282" s="33">
        <f>IF(H282="","",ROUND(MAX(0,H282-8),2))</f>
        <v/>
      </c>
      <c r="J282" s="33">
        <f>IF(OR(E282="",F282=""),"",ROUND(IF(MOD(F282,1)&gt;=TIME(22,0,0),(MOD(F282,1)-TIME(22,0,0))*24,IF(MOD(F282,1)&lt;TIME(6,0,0),(MOD(F282,1)+1-TIME(22,0,0))*24,0)),2))</f>
        <v/>
      </c>
      <c r="K282" s="33">
        <f>IF(H282="","",ROUND(IF(L282="휴일근로",MIN(H282,8)*1.5+MAX(0,H282-8)*2,I282*1.5)+N(J282)*0.5,2))</f>
        <v/>
      </c>
      <c r="L282" s="18" t="n"/>
      <c r="M282" s="18" t="n"/>
      <c r="N282" s="22" t="n"/>
    </row>
    <row r="283">
      <c r="A283" s="19" t="n">
        <v>46312</v>
      </c>
      <c r="B283" s="25">
        <f>IF(A283="","",CHOOSE(WEEKDAY(A283,2),"월","화","수","목","금","토","일"))</f>
        <v/>
      </c>
      <c r="C283" s="18" t="inlineStr">
        <is>
          <t>M001</t>
        </is>
      </c>
      <c r="D283" s="25">
        <f>IFERROR(IF(C283="","",INDEX(직원명부!$B$5:$B$24,MATCH(C283,직원명부!$A$5:$A$24,0))),"사번 확인")</f>
        <v/>
      </c>
      <c r="E283" s="34" t="n"/>
      <c r="F283" s="34" t="n"/>
      <c r="G283" s="28" t="n"/>
      <c r="H283" s="33">
        <f>IF(OR(E283="",F283=""),"",ROUND(MOD(F283-E283,1)*24-N(G283),2))</f>
        <v/>
      </c>
      <c r="I283" s="33">
        <f>IF(H283="","",ROUND(MAX(0,H283-8),2))</f>
        <v/>
      </c>
      <c r="J283" s="33">
        <f>IF(OR(E283="",F283=""),"",ROUND(IF(MOD(F283,1)&gt;=TIME(22,0,0),(MOD(F283,1)-TIME(22,0,0))*24,IF(MOD(F283,1)&lt;TIME(6,0,0),(MOD(F283,1)+1-TIME(22,0,0))*24,0)),2))</f>
        <v/>
      </c>
      <c r="K283" s="33">
        <f>IF(H283="","",ROUND(IF(L283="휴일근로",MIN(H283,8)*1.5+MAX(0,H283-8)*2,I283*1.5)+N(J283)*0.5,2))</f>
        <v/>
      </c>
      <c r="L283" s="18" t="n"/>
      <c r="M283" s="18" t="n"/>
      <c r="N283" s="42" t="inlineStr">
        <is>
          <t>주말</t>
        </is>
      </c>
    </row>
    <row r="284">
      <c r="A284" s="19" t="n">
        <v>46313</v>
      </c>
      <c r="B284" s="25">
        <f>IF(A284="","",CHOOSE(WEEKDAY(A284,2),"월","화","수","목","금","토","일"))</f>
        <v/>
      </c>
      <c r="C284" s="18" t="inlineStr">
        <is>
          <t>M001</t>
        </is>
      </c>
      <c r="D284" s="25">
        <f>IFERROR(IF(C284="","",INDEX(직원명부!$B$5:$B$24,MATCH(C284,직원명부!$A$5:$A$24,0))),"사번 확인")</f>
        <v/>
      </c>
      <c r="E284" s="34" t="n"/>
      <c r="F284" s="34" t="n"/>
      <c r="G284" s="28" t="n"/>
      <c r="H284" s="33">
        <f>IF(OR(E284="",F284=""),"",ROUND(MOD(F284-E284,1)*24-N(G284),2))</f>
        <v/>
      </c>
      <c r="I284" s="33">
        <f>IF(H284="","",ROUND(MAX(0,H284-8),2))</f>
        <v/>
      </c>
      <c r="J284" s="33">
        <f>IF(OR(E284="",F284=""),"",ROUND(IF(MOD(F284,1)&gt;=TIME(22,0,0),(MOD(F284,1)-TIME(22,0,0))*24,IF(MOD(F284,1)&lt;TIME(6,0,0),(MOD(F284,1)+1-TIME(22,0,0))*24,0)),2))</f>
        <v/>
      </c>
      <c r="K284" s="33">
        <f>IF(H284="","",ROUND(IF(L284="휴일근로",MIN(H284,8)*1.5+MAX(0,H284-8)*2,I284*1.5)+N(J284)*0.5,2))</f>
        <v/>
      </c>
      <c r="L284" s="18" t="n"/>
      <c r="M284" s="18" t="n"/>
      <c r="N284" s="42" t="inlineStr">
        <is>
          <t>주말</t>
        </is>
      </c>
    </row>
    <row r="285">
      <c r="A285" s="19" t="n">
        <v>46314</v>
      </c>
      <c r="B285" s="25">
        <f>IF(A285="","",CHOOSE(WEEKDAY(A285,2),"월","화","수","목","금","토","일"))</f>
        <v/>
      </c>
      <c r="C285" s="18" t="inlineStr">
        <is>
          <t>M001</t>
        </is>
      </c>
      <c r="D285" s="25">
        <f>IFERROR(IF(C285="","",INDEX(직원명부!$B$5:$B$24,MATCH(C285,직원명부!$A$5:$A$24,0))),"사번 확인")</f>
        <v/>
      </c>
      <c r="E285" s="34" t="n"/>
      <c r="F285" s="34" t="n"/>
      <c r="G285" s="28" t="n"/>
      <c r="H285" s="33">
        <f>IF(OR(E285="",F285=""),"",ROUND(MOD(F285-E285,1)*24-N(G285),2))</f>
        <v/>
      </c>
      <c r="I285" s="33">
        <f>IF(H285="","",ROUND(MAX(0,H285-8),2))</f>
        <v/>
      </c>
      <c r="J285" s="33">
        <f>IF(OR(E285="",F285=""),"",ROUND(IF(MOD(F285,1)&gt;=TIME(22,0,0),(MOD(F285,1)-TIME(22,0,0))*24,IF(MOD(F285,1)&lt;TIME(6,0,0),(MOD(F285,1)+1-TIME(22,0,0))*24,0)),2))</f>
        <v/>
      </c>
      <c r="K285" s="33">
        <f>IF(H285="","",ROUND(IF(L285="휴일근로",MIN(H285,8)*1.5+MAX(0,H285-8)*2,I285*1.5)+N(J285)*0.5,2))</f>
        <v/>
      </c>
      <c r="L285" s="18" t="n"/>
      <c r="M285" s="18" t="n"/>
      <c r="N285" s="22" t="n"/>
    </row>
    <row r="286">
      <c r="A286" s="19" t="n">
        <v>46315</v>
      </c>
      <c r="B286" s="25">
        <f>IF(A286="","",CHOOSE(WEEKDAY(A286,2),"월","화","수","목","금","토","일"))</f>
        <v/>
      </c>
      <c r="C286" s="18" t="inlineStr">
        <is>
          <t>M001</t>
        </is>
      </c>
      <c r="D286" s="25">
        <f>IFERROR(IF(C286="","",INDEX(직원명부!$B$5:$B$24,MATCH(C286,직원명부!$A$5:$A$24,0))),"사번 확인")</f>
        <v/>
      </c>
      <c r="E286" s="34" t="n"/>
      <c r="F286" s="34" t="n"/>
      <c r="G286" s="28" t="n"/>
      <c r="H286" s="33">
        <f>IF(OR(E286="",F286=""),"",ROUND(MOD(F286-E286,1)*24-N(G286),2))</f>
        <v/>
      </c>
      <c r="I286" s="33">
        <f>IF(H286="","",ROUND(MAX(0,H286-8),2))</f>
        <v/>
      </c>
      <c r="J286" s="33">
        <f>IF(OR(E286="",F286=""),"",ROUND(IF(MOD(F286,1)&gt;=TIME(22,0,0),(MOD(F286,1)-TIME(22,0,0))*24,IF(MOD(F286,1)&lt;TIME(6,0,0),(MOD(F286,1)+1-TIME(22,0,0))*24,0)),2))</f>
        <v/>
      </c>
      <c r="K286" s="33">
        <f>IF(H286="","",ROUND(IF(L286="휴일근로",MIN(H286,8)*1.5+MAX(0,H286-8)*2,I286*1.5)+N(J286)*0.5,2))</f>
        <v/>
      </c>
      <c r="L286" s="18" t="n"/>
      <c r="M286" s="18" t="n"/>
      <c r="N286" s="22" t="n"/>
    </row>
    <row r="287">
      <c r="A287" s="19" t="n">
        <v>46316</v>
      </c>
      <c r="B287" s="25">
        <f>IF(A287="","",CHOOSE(WEEKDAY(A287,2),"월","화","수","목","금","토","일"))</f>
        <v/>
      </c>
      <c r="C287" s="18" t="inlineStr">
        <is>
          <t>M001</t>
        </is>
      </c>
      <c r="D287" s="25">
        <f>IFERROR(IF(C287="","",INDEX(직원명부!$B$5:$B$24,MATCH(C287,직원명부!$A$5:$A$24,0))),"사번 확인")</f>
        <v/>
      </c>
      <c r="E287" s="34" t="n"/>
      <c r="F287" s="34" t="n"/>
      <c r="G287" s="28" t="n"/>
      <c r="H287" s="33">
        <f>IF(OR(E287="",F287=""),"",ROUND(MOD(F287-E287,1)*24-N(G287),2))</f>
        <v/>
      </c>
      <c r="I287" s="33">
        <f>IF(H287="","",ROUND(MAX(0,H287-8),2))</f>
        <v/>
      </c>
      <c r="J287" s="33">
        <f>IF(OR(E287="",F287=""),"",ROUND(IF(MOD(F287,1)&gt;=TIME(22,0,0),(MOD(F287,1)-TIME(22,0,0))*24,IF(MOD(F287,1)&lt;TIME(6,0,0),(MOD(F287,1)+1-TIME(22,0,0))*24,0)),2))</f>
        <v/>
      </c>
      <c r="K287" s="33">
        <f>IF(H287="","",ROUND(IF(L287="휴일근로",MIN(H287,8)*1.5+MAX(0,H287-8)*2,I287*1.5)+N(J287)*0.5,2))</f>
        <v/>
      </c>
      <c r="L287" s="18" t="n"/>
      <c r="M287" s="18" t="n"/>
      <c r="N287" s="22" t="n"/>
    </row>
    <row r="288">
      <c r="A288" s="19" t="n">
        <v>46317</v>
      </c>
      <c r="B288" s="25">
        <f>IF(A288="","",CHOOSE(WEEKDAY(A288,2),"월","화","수","목","금","토","일"))</f>
        <v/>
      </c>
      <c r="C288" s="18" t="inlineStr">
        <is>
          <t>M001</t>
        </is>
      </c>
      <c r="D288" s="25">
        <f>IFERROR(IF(C288="","",INDEX(직원명부!$B$5:$B$24,MATCH(C288,직원명부!$A$5:$A$24,0))),"사번 확인")</f>
        <v/>
      </c>
      <c r="E288" s="34" t="n"/>
      <c r="F288" s="34" t="n"/>
      <c r="G288" s="28" t="n"/>
      <c r="H288" s="33">
        <f>IF(OR(E288="",F288=""),"",ROUND(MOD(F288-E288,1)*24-N(G288),2))</f>
        <v/>
      </c>
      <c r="I288" s="33">
        <f>IF(H288="","",ROUND(MAX(0,H288-8),2))</f>
        <v/>
      </c>
      <c r="J288" s="33">
        <f>IF(OR(E288="",F288=""),"",ROUND(IF(MOD(F288,1)&gt;=TIME(22,0,0),(MOD(F288,1)-TIME(22,0,0))*24,IF(MOD(F288,1)&lt;TIME(6,0,0),(MOD(F288,1)+1-TIME(22,0,0))*24,0)),2))</f>
        <v/>
      </c>
      <c r="K288" s="33">
        <f>IF(H288="","",ROUND(IF(L288="휴일근로",MIN(H288,8)*1.5+MAX(0,H288-8)*2,I288*1.5)+N(J288)*0.5,2))</f>
        <v/>
      </c>
      <c r="L288" s="18" t="n"/>
      <c r="M288" s="18" t="n"/>
      <c r="N288" s="22" t="n"/>
    </row>
    <row r="289">
      <c r="A289" s="19" t="n">
        <v>46318</v>
      </c>
      <c r="B289" s="25">
        <f>IF(A289="","",CHOOSE(WEEKDAY(A289,2),"월","화","수","목","금","토","일"))</f>
        <v/>
      </c>
      <c r="C289" s="18" t="inlineStr">
        <is>
          <t>M001</t>
        </is>
      </c>
      <c r="D289" s="25">
        <f>IFERROR(IF(C289="","",INDEX(직원명부!$B$5:$B$24,MATCH(C289,직원명부!$A$5:$A$24,0))),"사번 확인")</f>
        <v/>
      </c>
      <c r="E289" s="34" t="n"/>
      <c r="F289" s="34" t="n"/>
      <c r="G289" s="28" t="n"/>
      <c r="H289" s="33">
        <f>IF(OR(E289="",F289=""),"",ROUND(MOD(F289-E289,1)*24-N(G289),2))</f>
        <v/>
      </c>
      <c r="I289" s="33">
        <f>IF(H289="","",ROUND(MAX(0,H289-8),2))</f>
        <v/>
      </c>
      <c r="J289" s="33">
        <f>IF(OR(E289="",F289=""),"",ROUND(IF(MOD(F289,1)&gt;=TIME(22,0,0),(MOD(F289,1)-TIME(22,0,0))*24,IF(MOD(F289,1)&lt;TIME(6,0,0),(MOD(F289,1)+1-TIME(22,0,0))*24,0)),2))</f>
        <v/>
      </c>
      <c r="K289" s="33">
        <f>IF(H289="","",ROUND(IF(L289="휴일근로",MIN(H289,8)*1.5+MAX(0,H289-8)*2,I289*1.5)+N(J289)*0.5,2))</f>
        <v/>
      </c>
      <c r="L289" s="18" t="n"/>
      <c r="M289" s="18" t="n"/>
      <c r="N289" s="22" t="n"/>
    </row>
    <row r="290">
      <c r="A290" s="19" t="n">
        <v>46319</v>
      </c>
      <c r="B290" s="25">
        <f>IF(A290="","",CHOOSE(WEEKDAY(A290,2),"월","화","수","목","금","토","일"))</f>
        <v/>
      </c>
      <c r="C290" s="18" t="inlineStr">
        <is>
          <t>M001</t>
        </is>
      </c>
      <c r="D290" s="25">
        <f>IFERROR(IF(C290="","",INDEX(직원명부!$B$5:$B$24,MATCH(C290,직원명부!$A$5:$A$24,0))),"사번 확인")</f>
        <v/>
      </c>
      <c r="E290" s="34" t="n"/>
      <c r="F290" s="34" t="n"/>
      <c r="G290" s="28" t="n"/>
      <c r="H290" s="33">
        <f>IF(OR(E290="",F290=""),"",ROUND(MOD(F290-E290,1)*24-N(G290),2))</f>
        <v/>
      </c>
      <c r="I290" s="33">
        <f>IF(H290="","",ROUND(MAX(0,H290-8),2))</f>
        <v/>
      </c>
      <c r="J290" s="33">
        <f>IF(OR(E290="",F290=""),"",ROUND(IF(MOD(F290,1)&gt;=TIME(22,0,0),(MOD(F290,1)-TIME(22,0,0))*24,IF(MOD(F290,1)&lt;TIME(6,0,0),(MOD(F290,1)+1-TIME(22,0,0))*24,0)),2))</f>
        <v/>
      </c>
      <c r="K290" s="33">
        <f>IF(H290="","",ROUND(IF(L290="휴일근로",MIN(H290,8)*1.5+MAX(0,H290-8)*2,I290*1.5)+N(J290)*0.5,2))</f>
        <v/>
      </c>
      <c r="L290" s="18" t="n"/>
      <c r="M290" s="18" t="n"/>
      <c r="N290" s="42" t="inlineStr">
        <is>
          <t>주말</t>
        </is>
      </c>
    </row>
    <row r="291">
      <c r="A291" s="19" t="n">
        <v>46320</v>
      </c>
      <c r="B291" s="25">
        <f>IF(A291="","",CHOOSE(WEEKDAY(A291,2),"월","화","수","목","금","토","일"))</f>
        <v/>
      </c>
      <c r="C291" s="18" t="inlineStr">
        <is>
          <t>M001</t>
        </is>
      </c>
      <c r="D291" s="25">
        <f>IFERROR(IF(C291="","",INDEX(직원명부!$B$5:$B$24,MATCH(C291,직원명부!$A$5:$A$24,0))),"사번 확인")</f>
        <v/>
      </c>
      <c r="E291" s="34" t="n"/>
      <c r="F291" s="34" t="n"/>
      <c r="G291" s="28" t="n"/>
      <c r="H291" s="33">
        <f>IF(OR(E291="",F291=""),"",ROUND(MOD(F291-E291,1)*24-N(G291),2))</f>
        <v/>
      </c>
      <c r="I291" s="33">
        <f>IF(H291="","",ROUND(MAX(0,H291-8),2))</f>
        <v/>
      </c>
      <c r="J291" s="33">
        <f>IF(OR(E291="",F291=""),"",ROUND(IF(MOD(F291,1)&gt;=TIME(22,0,0),(MOD(F291,1)-TIME(22,0,0))*24,IF(MOD(F291,1)&lt;TIME(6,0,0),(MOD(F291,1)+1-TIME(22,0,0))*24,0)),2))</f>
        <v/>
      </c>
      <c r="K291" s="33">
        <f>IF(H291="","",ROUND(IF(L291="휴일근로",MIN(H291,8)*1.5+MAX(0,H291-8)*2,I291*1.5)+N(J291)*0.5,2))</f>
        <v/>
      </c>
      <c r="L291" s="18" t="n"/>
      <c r="M291" s="18" t="n"/>
      <c r="N291" s="42" t="inlineStr">
        <is>
          <t>주말</t>
        </is>
      </c>
    </row>
    <row r="292">
      <c r="A292" s="19" t="n">
        <v>46321</v>
      </c>
      <c r="B292" s="25">
        <f>IF(A292="","",CHOOSE(WEEKDAY(A292,2),"월","화","수","목","금","토","일"))</f>
        <v/>
      </c>
      <c r="C292" s="18" t="inlineStr">
        <is>
          <t>M001</t>
        </is>
      </c>
      <c r="D292" s="25">
        <f>IFERROR(IF(C292="","",INDEX(직원명부!$B$5:$B$24,MATCH(C292,직원명부!$A$5:$A$24,0))),"사번 확인")</f>
        <v/>
      </c>
      <c r="E292" s="34" t="n"/>
      <c r="F292" s="34" t="n"/>
      <c r="G292" s="28" t="n"/>
      <c r="H292" s="33">
        <f>IF(OR(E292="",F292=""),"",ROUND(MOD(F292-E292,1)*24-N(G292),2))</f>
        <v/>
      </c>
      <c r="I292" s="33">
        <f>IF(H292="","",ROUND(MAX(0,H292-8),2))</f>
        <v/>
      </c>
      <c r="J292" s="33">
        <f>IF(OR(E292="",F292=""),"",ROUND(IF(MOD(F292,1)&gt;=TIME(22,0,0),(MOD(F292,1)-TIME(22,0,0))*24,IF(MOD(F292,1)&lt;TIME(6,0,0),(MOD(F292,1)+1-TIME(22,0,0))*24,0)),2))</f>
        <v/>
      </c>
      <c r="K292" s="33">
        <f>IF(H292="","",ROUND(IF(L292="휴일근로",MIN(H292,8)*1.5+MAX(0,H292-8)*2,I292*1.5)+N(J292)*0.5,2))</f>
        <v/>
      </c>
      <c r="L292" s="18" t="n"/>
      <c r="M292" s="18" t="n"/>
      <c r="N292" s="22" t="n"/>
    </row>
    <row r="293">
      <c r="A293" s="19" t="n">
        <v>46322</v>
      </c>
      <c r="B293" s="25">
        <f>IF(A293="","",CHOOSE(WEEKDAY(A293,2),"월","화","수","목","금","토","일"))</f>
        <v/>
      </c>
      <c r="C293" s="18" t="inlineStr">
        <is>
          <t>M001</t>
        </is>
      </c>
      <c r="D293" s="25">
        <f>IFERROR(IF(C293="","",INDEX(직원명부!$B$5:$B$24,MATCH(C293,직원명부!$A$5:$A$24,0))),"사번 확인")</f>
        <v/>
      </c>
      <c r="E293" s="34" t="n"/>
      <c r="F293" s="34" t="n"/>
      <c r="G293" s="28" t="n"/>
      <c r="H293" s="33">
        <f>IF(OR(E293="",F293=""),"",ROUND(MOD(F293-E293,1)*24-N(G293),2))</f>
        <v/>
      </c>
      <c r="I293" s="33">
        <f>IF(H293="","",ROUND(MAX(0,H293-8),2))</f>
        <v/>
      </c>
      <c r="J293" s="33">
        <f>IF(OR(E293="",F293=""),"",ROUND(IF(MOD(F293,1)&gt;=TIME(22,0,0),(MOD(F293,1)-TIME(22,0,0))*24,IF(MOD(F293,1)&lt;TIME(6,0,0),(MOD(F293,1)+1-TIME(22,0,0))*24,0)),2))</f>
        <v/>
      </c>
      <c r="K293" s="33">
        <f>IF(H293="","",ROUND(IF(L293="휴일근로",MIN(H293,8)*1.5+MAX(0,H293-8)*2,I293*1.5)+N(J293)*0.5,2))</f>
        <v/>
      </c>
      <c r="L293" s="18" t="n"/>
      <c r="M293" s="18" t="n"/>
      <c r="N293" s="22" t="n"/>
    </row>
    <row r="294">
      <c r="A294" s="19" t="n">
        <v>46323</v>
      </c>
      <c r="B294" s="25">
        <f>IF(A294="","",CHOOSE(WEEKDAY(A294,2),"월","화","수","목","금","토","일"))</f>
        <v/>
      </c>
      <c r="C294" s="18" t="inlineStr">
        <is>
          <t>M001</t>
        </is>
      </c>
      <c r="D294" s="25">
        <f>IFERROR(IF(C294="","",INDEX(직원명부!$B$5:$B$24,MATCH(C294,직원명부!$A$5:$A$24,0))),"사번 확인")</f>
        <v/>
      </c>
      <c r="E294" s="34" t="n"/>
      <c r="F294" s="34" t="n"/>
      <c r="G294" s="28" t="n"/>
      <c r="H294" s="33">
        <f>IF(OR(E294="",F294=""),"",ROUND(MOD(F294-E294,1)*24-N(G294),2))</f>
        <v/>
      </c>
      <c r="I294" s="33">
        <f>IF(H294="","",ROUND(MAX(0,H294-8),2))</f>
        <v/>
      </c>
      <c r="J294" s="33">
        <f>IF(OR(E294="",F294=""),"",ROUND(IF(MOD(F294,1)&gt;=TIME(22,0,0),(MOD(F294,1)-TIME(22,0,0))*24,IF(MOD(F294,1)&lt;TIME(6,0,0),(MOD(F294,1)+1-TIME(22,0,0))*24,0)),2))</f>
        <v/>
      </c>
      <c r="K294" s="33">
        <f>IF(H294="","",ROUND(IF(L294="휴일근로",MIN(H294,8)*1.5+MAX(0,H294-8)*2,I294*1.5)+N(J294)*0.5,2))</f>
        <v/>
      </c>
      <c r="L294" s="18" t="n"/>
      <c r="M294" s="18" t="n"/>
      <c r="N294" s="22" t="n"/>
    </row>
    <row r="295">
      <c r="A295" s="19" t="n">
        <v>46324</v>
      </c>
      <c r="B295" s="25">
        <f>IF(A295="","",CHOOSE(WEEKDAY(A295,2),"월","화","수","목","금","토","일"))</f>
        <v/>
      </c>
      <c r="C295" s="18" t="inlineStr">
        <is>
          <t>M001</t>
        </is>
      </c>
      <c r="D295" s="25">
        <f>IFERROR(IF(C295="","",INDEX(직원명부!$B$5:$B$24,MATCH(C295,직원명부!$A$5:$A$24,0))),"사번 확인")</f>
        <v/>
      </c>
      <c r="E295" s="34" t="n"/>
      <c r="F295" s="34" t="n"/>
      <c r="G295" s="28" t="n"/>
      <c r="H295" s="33">
        <f>IF(OR(E295="",F295=""),"",ROUND(MOD(F295-E295,1)*24-N(G295),2))</f>
        <v/>
      </c>
      <c r="I295" s="33">
        <f>IF(H295="","",ROUND(MAX(0,H295-8),2))</f>
        <v/>
      </c>
      <c r="J295" s="33">
        <f>IF(OR(E295="",F295=""),"",ROUND(IF(MOD(F295,1)&gt;=TIME(22,0,0),(MOD(F295,1)-TIME(22,0,0))*24,IF(MOD(F295,1)&lt;TIME(6,0,0),(MOD(F295,1)+1-TIME(22,0,0))*24,0)),2))</f>
        <v/>
      </c>
      <c r="K295" s="33">
        <f>IF(H295="","",ROUND(IF(L295="휴일근로",MIN(H295,8)*1.5+MAX(0,H295-8)*2,I295*1.5)+N(J295)*0.5,2))</f>
        <v/>
      </c>
      <c r="L295" s="18" t="n"/>
      <c r="M295" s="18" t="n"/>
      <c r="N295" s="22" t="n"/>
    </row>
    <row r="296">
      <c r="A296" s="19" t="n">
        <v>46325</v>
      </c>
      <c r="B296" s="25">
        <f>IF(A296="","",CHOOSE(WEEKDAY(A296,2),"월","화","수","목","금","토","일"))</f>
        <v/>
      </c>
      <c r="C296" s="18" t="inlineStr">
        <is>
          <t>M001</t>
        </is>
      </c>
      <c r="D296" s="25">
        <f>IFERROR(IF(C296="","",INDEX(직원명부!$B$5:$B$24,MATCH(C296,직원명부!$A$5:$A$24,0))),"사번 확인")</f>
        <v/>
      </c>
      <c r="E296" s="34" t="n"/>
      <c r="F296" s="34" t="n"/>
      <c r="G296" s="28" t="n"/>
      <c r="H296" s="33">
        <f>IF(OR(E296="",F296=""),"",ROUND(MOD(F296-E296,1)*24-N(G296),2))</f>
        <v/>
      </c>
      <c r="I296" s="33">
        <f>IF(H296="","",ROUND(MAX(0,H296-8),2))</f>
        <v/>
      </c>
      <c r="J296" s="33">
        <f>IF(OR(E296="",F296=""),"",ROUND(IF(MOD(F296,1)&gt;=TIME(22,0,0),(MOD(F296,1)-TIME(22,0,0))*24,IF(MOD(F296,1)&lt;TIME(6,0,0),(MOD(F296,1)+1-TIME(22,0,0))*24,0)),2))</f>
        <v/>
      </c>
      <c r="K296" s="33">
        <f>IF(H296="","",ROUND(IF(L296="휴일근로",MIN(H296,8)*1.5+MAX(0,H296-8)*2,I296*1.5)+N(J296)*0.5,2))</f>
        <v/>
      </c>
      <c r="L296" s="18" t="n"/>
      <c r="M296" s="18" t="n"/>
      <c r="N296" s="22" t="n"/>
    </row>
    <row r="297">
      <c r="A297" s="19" t="n">
        <v>46326</v>
      </c>
      <c r="B297" s="25">
        <f>IF(A297="","",CHOOSE(WEEKDAY(A297,2),"월","화","수","목","금","토","일"))</f>
        <v/>
      </c>
      <c r="C297" s="18" t="inlineStr">
        <is>
          <t>M001</t>
        </is>
      </c>
      <c r="D297" s="25">
        <f>IFERROR(IF(C297="","",INDEX(직원명부!$B$5:$B$24,MATCH(C297,직원명부!$A$5:$A$24,0))),"사번 확인")</f>
        <v/>
      </c>
      <c r="E297" s="34" t="n"/>
      <c r="F297" s="34" t="n"/>
      <c r="G297" s="28" t="n"/>
      <c r="H297" s="33">
        <f>IF(OR(E297="",F297=""),"",ROUND(MOD(F297-E297,1)*24-N(G297),2))</f>
        <v/>
      </c>
      <c r="I297" s="33">
        <f>IF(H297="","",ROUND(MAX(0,H297-8),2))</f>
        <v/>
      </c>
      <c r="J297" s="33">
        <f>IF(OR(E297="",F297=""),"",ROUND(IF(MOD(F297,1)&gt;=TIME(22,0,0),(MOD(F297,1)-TIME(22,0,0))*24,IF(MOD(F297,1)&lt;TIME(6,0,0),(MOD(F297,1)+1-TIME(22,0,0))*24,0)),2))</f>
        <v/>
      </c>
      <c r="K297" s="33">
        <f>IF(H297="","",ROUND(IF(L297="휴일근로",MIN(H297,8)*1.5+MAX(0,H297-8)*2,I297*1.5)+N(J297)*0.5,2))</f>
        <v/>
      </c>
      <c r="L297" s="18" t="n"/>
      <c r="M297" s="18" t="n"/>
      <c r="N297" s="42" t="inlineStr">
        <is>
          <t>주말</t>
        </is>
      </c>
    </row>
    <row r="298">
      <c r="A298" s="19" t="n">
        <v>46327</v>
      </c>
      <c r="B298" s="25">
        <f>IF(A298="","",CHOOSE(WEEKDAY(A298,2),"월","화","수","목","금","토","일"))</f>
        <v/>
      </c>
      <c r="C298" s="18" t="inlineStr">
        <is>
          <t>M001</t>
        </is>
      </c>
      <c r="D298" s="25">
        <f>IFERROR(IF(C298="","",INDEX(직원명부!$B$5:$B$24,MATCH(C298,직원명부!$A$5:$A$24,0))),"사번 확인")</f>
        <v/>
      </c>
      <c r="E298" s="34" t="n"/>
      <c r="F298" s="34" t="n"/>
      <c r="G298" s="28" t="n"/>
      <c r="H298" s="33">
        <f>IF(OR(E298="",F298=""),"",ROUND(MOD(F298-E298,1)*24-N(G298),2))</f>
        <v/>
      </c>
      <c r="I298" s="33">
        <f>IF(H298="","",ROUND(MAX(0,H298-8),2))</f>
        <v/>
      </c>
      <c r="J298" s="33">
        <f>IF(OR(E298="",F298=""),"",ROUND(IF(MOD(F298,1)&gt;=TIME(22,0,0),(MOD(F298,1)-TIME(22,0,0))*24,IF(MOD(F298,1)&lt;TIME(6,0,0),(MOD(F298,1)+1-TIME(22,0,0))*24,0)),2))</f>
        <v/>
      </c>
      <c r="K298" s="33">
        <f>IF(H298="","",ROUND(IF(L298="휴일근로",MIN(H298,8)*1.5+MAX(0,H298-8)*2,I298*1.5)+N(J298)*0.5,2))</f>
        <v/>
      </c>
      <c r="L298" s="18" t="n"/>
      <c r="M298" s="18" t="n"/>
      <c r="N298" s="42" t="inlineStr">
        <is>
          <t>주말</t>
        </is>
      </c>
    </row>
    <row r="299">
      <c r="A299" s="19" t="n">
        <v>46328</v>
      </c>
      <c r="B299" s="25">
        <f>IF(A299="","",CHOOSE(WEEKDAY(A299,2),"월","화","수","목","금","토","일"))</f>
        <v/>
      </c>
      <c r="C299" s="18" t="inlineStr">
        <is>
          <t>M001</t>
        </is>
      </c>
      <c r="D299" s="25">
        <f>IFERROR(IF(C299="","",INDEX(직원명부!$B$5:$B$24,MATCH(C299,직원명부!$A$5:$A$24,0))),"사번 확인")</f>
        <v/>
      </c>
      <c r="E299" s="34" t="n"/>
      <c r="F299" s="34" t="n"/>
      <c r="G299" s="28" t="n"/>
      <c r="H299" s="33">
        <f>IF(OR(E299="",F299=""),"",ROUND(MOD(F299-E299,1)*24-N(G299),2))</f>
        <v/>
      </c>
      <c r="I299" s="33">
        <f>IF(H299="","",ROUND(MAX(0,H299-8),2))</f>
        <v/>
      </c>
      <c r="J299" s="33">
        <f>IF(OR(E299="",F299=""),"",ROUND(IF(MOD(F299,1)&gt;=TIME(22,0,0),(MOD(F299,1)-TIME(22,0,0))*24,IF(MOD(F299,1)&lt;TIME(6,0,0),(MOD(F299,1)+1-TIME(22,0,0))*24,0)),2))</f>
        <v/>
      </c>
      <c r="K299" s="33">
        <f>IF(H299="","",ROUND(IF(L299="휴일근로",MIN(H299,8)*1.5+MAX(0,H299-8)*2,I299*1.5)+N(J299)*0.5,2))</f>
        <v/>
      </c>
      <c r="L299" s="18" t="n"/>
      <c r="M299" s="18" t="n"/>
      <c r="N299" s="22" t="n"/>
    </row>
    <row r="300">
      <c r="A300" s="19" t="n">
        <v>46329</v>
      </c>
      <c r="B300" s="25">
        <f>IF(A300="","",CHOOSE(WEEKDAY(A300,2),"월","화","수","목","금","토","일"))</f>
        <v/>
      </c>
      <c r="C300" s="18" t="inlineStr">
        <is>
          <t>M001</t>
        </is>
      </c>
      <c r="D300" s="25">
        <f>IFERROR(IF(C300="","",INDEX(직원명부!$B$5:$B$24,MATCH(C300,직원명부!$A$5:$A$24,0))),"사번 확인")</f>
        <v/>
      </c>
      <c r="E300" s="34" t="n"/>
      <c r="F300" s="34" t="n"/>
      <c r="G300" s="28" t="n"/>
      <c r="H300" s="33">
        <f>IF(OR(E300="",F300=""),"",ROUND(MOD(F300-E300,1)*24-N(G300),2))</f>
        <v/>
      </c>
      <c r="I300" s="33">
        <f>IF(H300="","",ROUND(MAX(0,H300-8),2))</f>
        <v/>
      </c>
      <c r="J300" s="33">
        <f>IF(OR(E300="",F300=""),"",ROUND(IF(MOD(F300,1)&gt;=TIME(22,0,0),(MOD(F300,1)-TIME(22,0,0))*24,IF(MOD(F300,1)&lt;TIME(6,0,0),(MOD(F300,1)+1-TIME(22,0,0))*24,0)),2))</f>
        <v/>
      </c>
      <c r="K300" s="33">
        <f>IF(H300="","",ROUND(IF(L300="휴일근로",MIN(H300,8)*1.5+MAX(0,H300-8)*2,I300*1.5)+N(J300)*0.5,2))</f>
        <v/>
      </c>
      <c r="L300" s="18" t="n"/>
      <c r="M300" s="18" t="n"/>
      <c r="N300" s="22" t="n"/>
    </row>
    <row r="301">
      <c r="A301" s="19" t="n">
        <v>46330</v>
      </c>
      <c r="B301" s="25">
        <f>IF(A301="","",CHOOSE(WEEKDAY(A301,2),"월","화","수","목","금","토","일"))</f>
        <v/>
      </c>
      <c r="C301" s="18" t="inlineStr">
        <is>
          <t>M001</t>
        </is>
      </c>
      <c r="D301" s="25">
        <f>IFERROR(IF(C301="","",INDEX(직원명부!$B$5:$B$24,MATCH(C301,직원명부!$A$5:$A$24,0))),"사번 확인")</f>
        <v/>
      </c>
      <c r="E301" s="34" t="n"/>
      <c r="F301" s="34" t="n"/>
      <c r="G301" s="28" t="n"/>
      <c r="H301" s="33">
        <f>IF(OR(E301="",F301=""),"",ROUND(MOD(F301-E301,1)*24-N(G301),2))</f>
        <v/>
      </c>
      <c r="I301" s="33">
        <f>IF(H301="","",ROUND(MAX(0,H301-8),2))</f>
        <v/>
      </c>
      <c r="J301" s="33">
        <f>IF(OR(E301="",F301=""),"",ROUND(IF(MOD(F301,1)&gt;=TIME(22,0,0),(MOD(F301,1)-TIME(22,0,0))*24,IF(MOD(F301,1)&lt;TIME(6,0,0),(MOD(F301,1)+1-TIME(22,0,0))*24,0)),2))</f>
        <v/>
      </c>
      <c r="K301" s="33">
        <f>IF(H301="","",ROUND(IF(L301="휴일근로",MIN(H301,8)*1.5+MAX(0,H301-8)*2,I301*1.5)+N(J301)*0.5,2))</f>
        <v/>
      </c>
      <c r="L301" s="18" t="n"/>
      <c r="M301" s="18" t="n"/>
      <c r="N301" s="22" t="n"/>
    </row>
    <row r="302">
      <c r="A302" s="19" t="n">
        <v>46331</v>
      </c>
      <c r="B302" s="25">
        <f>IF(A302="","",CHOOSE(WEEKDAY(A302,2),"월","화","수","목","금","토","일"))</f>
        <v/>
      </c>
      <c r="C302" s="18" t="inlineStr">
        <is>
          <t>M001</t>
        </is>
      </c>
      <c r="D302" s="25">
        <f>IFERROR(IF(C302="","",INDEX(직원명부!$B$5:$B$24,MATCH(C302,직원명부!$A$5:$A$24,0))),"사번 확인")</f>
        <v/>
      </c>
      <c r="E302" s="34" t="n"/>
      <c r="F302" s="34" t="n"/>
      <c r="G302" s="28" t="n"/>
      <c r="H302" s="33">
        <f>IF(OR(E302="",F302=""),"",ROUND(MOD(F302-E302,1)*24-N(G302),2))</f>
        <v/>
      </c>
      <c r="I302" s="33">
        <f>IF(H302="","",ROUND(MAX(0,H302-8),2))</f>
        <v/>
      </c>
      <c r="J302" s="33">
        <f>IF(OR(E302="",F302=""),"",ROUND(IF(MOD(F302,1)&gt;=TIME(22,0,0),(MOD(F302,1)-TIME(22,0,0))*24,IF(MOD(F302,1)&lt;TIME(6,0,0),(MOD(F302,1)+1-TIME(22,0,0))*24,0)),2))</f>
        <v/>
      </c>
      <c r="K302" s="33">
        <f>IF(H302="","",ROUND(IF(L302="휴일근로",MIN(H302,8)*1.5+MAX(0,H302-8)*2,I302*1.5)+N(J302)*0.5,2))</f>
        <v/>
      </c>
      <c r="L302" s="18" t="n"/>
      <c r="M302" s="18" t="n"/>
      <c r="N302" s="22" t="n"/>
    </row>
    <row r="303">
      <c r="A303" s="19" t="n">
        <v>46332</v>
      </c>
      <c r="B303" s="25">
        <f>IF(A303="","",CHOOSE(WEEKDAY(A303,2),"월","화","수","목","금","토","일"))</f>
        <v/>
      </c>
      <c r="C303" s="18" t="inlineStr">
        <is>
          <t>M001</t>
        </is>
      </c>
      <c r="D303" s="25">
        <f>IFERROR(IF(C303="","",INDEX(직원명부!$B$5:$B$24,MATCH(C303,직원명부!$A$5:$A$24,0))),"사번 확인")</f>
        <v/>
      </c>
      <c r="E303" s="34" t="n"/>
      <c r="F303" s="34" t="n"/>
      <c r="G303" s="28" t="n"/>
      <c r="H303" s="33">
        <f>IF(OR(E303="",F303=""),"",ROUND(MOD(F303-E303,1)*24-N(G303),2))</f>
        <v/>
      </c>
      <c r="I303" s="33">
        <f>IF(H303="","",ROUND(MAX(0,H303-8),2))</f>
        <v/>
      </c>
      <c r="J303" s="33">
        <f>IF(OR(E303="",F303=""),"",ROUND(IF(MOD(F303,1)&gt;=TIME(22,0,0),(MOD(F303,1)-TIME(22,0,0))*24,IF(MOD(F303,1)&lt;TIME(6,0,0),(MOD(F303,1)+1-TIME(22,0,0))*24,0)),2))</f>
        <v/>
      </c>
      <c r="K303" s="33">
        <f>IF(H303="","",ROUND(IF(L303="휴일근로",MIN(H303,8)*1.5+MAX(0,H303-8)*2,I303*1.5)+N(J303)*0.5,2))</f>
        <v/>
      </c>
      <c r="L303" s="18" t="n"/>
      <c r="M303" s="18" t="n"/>
      <c r="N303" s="22" t="n"/>
    </row>
    <row r="304">
      <c r="A304" s="19" t="n">
        <v>46333</v>
      </c>
      <c r="B304" s="25">
        <f>IF(A304="","",CHOOSE(WEEKDAY(A304,2),"월","화","수","목","금","토","일"))</f>
        <v/>
      </c>
      <c r="C304" s="18" t="inlineStr">
        <is>
          <t>M001</t>
        </is>
      </c>
      <c r="D304" s="25">
        <f>IFERROR(IF(C304="","",INDEX(직원명부!$B$5:$B$24,MATCH(C304,직원명부!$A$5:$A$24,0))),"사번 확인")</f>
        <v/>
      </c>
      <c r="E304" s="34" t="n"/>
      <c r="F304" s="34" t="n"/>
      <c r="G304" s="28" t="n"/>
      <c r="H304" s="33">
        <f>IF(OR(E304="",F304=""),"",ROUND(MOD(F304-E304,1)*24-N(G304),2))</f>
        <v/>
      </c>
      <c r="I304" s="33">
        <f>IF(H304="","",ROUND(MAX(0,H304-8),2))</f>
        <v/>
      </c>
      <c r="J304" s="33">
        <f>IF(OR(E304="",F304=""),"",ROUND(IF(MOD(F304,1)&gt;=TIME(22,0,0),(MOD(F304,1)-TIME(22,0,0))*24,IF(MOD(F304,1)&lt;TIME(6,0,0),(MOD(F304,1)+1-TIME(22,0,0))*24,0)),2))</f>
        <v/>
      </c>
      <c r="K304" s="33">
        <f>IF(H304="","",ROUND(IF(L304="휴일근로",MIN(H304,8)*1.5+MAX(0,H304-8)*2,I304*1.5)+N(J304)*0.5,2))</f>
        <v/>
      </c>
      <c r="L304" s="18" t="n"/>
      <c r="M304" s="18" t="n"/>
      <c r="N304" s="42" t="inlineStr">
        <is>
          <t>주말</t>
        </is>
      </c>
    </row>
    <row r="305">
      <c r="A305" s="19" t="n">
        <v>46334</v>
      </c>
      <c r="B305" s="25">
        <f>IF(A305="","",CHOOSE(WEEKDAY(A305,2),"월","화","수","목","금","토","일"))</f>
        <v/>
      </c>
      <c r="C305" s="18" t="inlineStr">
        <is>
          <t>M001</t>
        </is>
      </c>
      <c r="D305" s="25">
        <f>IFERROR(IF(C305="","",INDEX(직원명부!$B$5:$B$24,MATCH(C305,직원명부!$A$5:$A$24,0))),"사번 확인")</f>
        <v/>
      </c>
      <c r="E305" s="34" t="n"/>
      <c r="F305" s="34" t="n"/>
      <c r="G305" s="28" t="n"/>
      <c r="H305" s="33">
        <f>IF(OR(E305="",F305=""),"",ROUND(MOD(F305-E305,1)*24-N(G305),2))</f>
        <v/>
      </c>
      <c r="I305" s="33">
        <f>IF(H305="","",ROUND(MAX(0,H305-8),2))</f>
        <v/>
      </c>
      <c r="J305" s="33">
        <f>IF(OR(E305="",F305=""),"",ROUND(IF(MOD(F305,1)&gt;=TIME(22,0,0),(MOD(F305,1)-TIME(22,0,0))*24,IF(MOD(F305,1)&lt;TIME(6,0,0),(MOD(F305,1)+1-TIME(22,0,0))*24,0)),2))</f>
        <v/>
      </c>
      <c r="K305" s="33">
        <f>IF(H305="","",ROUND(IF(L305="휴일근로",MIN(H305,8)*1.5+MAX(0,H305-8)*2,I305*1.5)+N(J305)*0.5,2))</f>
        <v/>
      </c>
      <c r="L305" s="18" t="n"/>
      <c r="M305" s="18" t="n"/>
      <c r="N305" s="42" t="inlineStr">
        <is>
          <t>주말</t>
        </is>
      </c>
    </row>
    <row r="306">
      <c r="A306" s="19" t="n">
        <v>46335</v>
      </c>
      <c r="B306" s="25">
        <f>IF(A306="","",CHOOSE(WEEKDAY(A306,2),"월","화","수","목","금","토","일"))</f>
        <v/>
      </c>
      <c r="C306" s="18" t="inlineStr">
        <is>
          <t>M001</t>
        </is>
      </c>
      <c r="D306" s="25">
        <f>IFERROR(IF(C306="","",INDEX(직원명부!$B$5:$B$24,MATCH(C306,직원명부!$A$5:$A$24,0))),"사번 확인")</f>
        <v/>
      </c>
      <c r="E306" s="34" t="n"/>
      <c r="F306" s="34" t="n"/>
      <c r="G306" s="28" t="n"/>
      <c r="H306" s="33">
        <f>IF(OR(E306="",F306=""),"",ROUND(MOD(F306-E306,1)*24-N(G306),2))</f>
        <v/>
      </c>
      <c r="I306" s="33">
        <f>IF(H306="","",ROUND(MAX(0,H306-8),2))</f>
        <v/>
      </c>
      <c r="J306" s="33">
        <f>IF(OR(E306="",F306=""),"",ROUND(IF(MOD(F306,1)&gt;=TIME(22,0,0),(MOD(F306,1)-TIME(22,0,0))*24,IF(MOD(F306,1)&lt;TIME(6,0,0),(MOD(F306,1)+1-TIME(22,0,0))*24,0)),2))</f>
        <v/>
      </c>
      <c r="K306" s="33">
        <f>IF(H306="","",ROUND(IF(L306="휴일근로",MIN(H306,8)*1.5+MAX(0,H306-8)*2,I306*1.5)+N(J306)*0.5,2))</f>
        <v/>
      </c>
      <c r="L306" s="18" t="n"/>
      <c r="M306" s="18" t="n"/>
      <c r="N306" s="22" t="n"/>
    </row>
    <row r="307">
      <c r="A307" s="19" t="n">
        <v>46336</v>
      </c>
      <c r="B307" s="25">
        <f>IF(A307="","",CHOOSE(WEEKDAY(A307,2),"월","화","수","목","금","토","일"))</f>
        <v/>
      </c>
      <c r="C307" s="18" t="inlineStr">
        <is>
          <t>M001</t>
        </is>
      </c>
      <c r="D307" s="25">
        <f>IFERROR(IF(C307="","",INDEX(직원명부!$B$5:$B$24,MATCH(C307,직원명부!$A$5:$A$24,0))),"사번 확인")</f>
        <v/>
      </c>
      <c r="E307" s="34" t="n"/>
      <c r="F307" s="34" t="n"/>
      <c r="G307" s="28" t="n"/>
      <c r="H307" s="33">
        <f>IF(OR(E307="",F307=""),"",ROUND(MOD(F307-E307,1)*24-N(G307),2))</f>
        <v/>
      </c>
      <c r="I307" s="33">
        <f>IF(H307="","",ROUND(MAX(0,H307-8),2))</f>
        <v/>
      </c>
      <c r="J307" s="33">
        <f>IF(OR(E307="",F307=""),"",ROUND(IF(MOD(F307,1)&gt;=TIME(22,0,0),(MOD(F307,1)-TIME(22,0,0))*24,IF(MOD(F307,1)&lt;TIME(6,0,0),(MOD(F307,1)+1-TIME(22,0,0))*24,0)),2))</f>
        <v/>
      </c>
      <c r="K307" s="33">
        <f>IF(H307="","",ROUND(IF(L307="휴일근로",MIN(H307,8)*1.5+MAX(0,H307-8)*2,I307*1.5)+N(J307)*0.5,2))</f>
        <v/>
      </c>
      <c r="L307" s="18" t="n"/>
      <c r="M307" s="18" t="n"/>
      <c r="N307" s="22" t="n"/>
    </row>
    <row r="308">
      <c r="A308" s="19" t="n">
        <v>46337</v>
      </c>
      <c r="B308" s="25">
        <f>IF(A308="","",CHOOSE(WEEKDAY(A308,2),"월","화","수","목","금","토","일"))</f>
        <v/>
      </c>
      <c r="C308" s="18" t="inlineStr">
        <is>
          <t>M001</t>
        </is>
      </c>
      <c r="D308" s="25">
        <f>IFERROR(IF(C308="","",INDEX(직원명부!$B$5:$B$24,MATCH(C308,직원명부!$A$5:$A$24,0))),"사번 확인")</f>
        <v/>
      </c>
      <c r="E308" s="34" t="n"/>
      <c r="F308" s="34" t="n"/>
      <c r="G308" s="28" t="n"/>
      <c r="H308" s="33">
        <f>IF(OR(E308="",F308=""),"",ROUND(MOD(F308-E308,1)*24-N(G308),2))</f>
        <v/>
      </c>
      <c r="I308" s="33">
        <f>IF(H308="","",ROUND(MAX(0,H308-8),2))</f>
        <v/>
      </c>
      <c r="J308" s="33">
        <f>IF(OR(E308="",F308=""),"",ROUND(IF(MOD(F308,1)&gt;=TIME(22,0,0),(MOD(F308,1)-TIME(22,0,0))*24,IF(MOD(F308,1)&lt;TIME(6,0,0),(MOD(F308,1)+1-TIME(22,0,0))*24,0)),2))</f>
        <v/>
      </c>
      <c r="K308" s="33">
        <f>IF(H308="","",ROUND(IF(L308="휴일근로",MIN(H308,8)*1.5+MAX(0,H308-8)*2,I308*1.5)+N(J308)*0.5,2))</f>
        <v/>
      </c>
      <c r="L308" s="18" t="n"/>
      <c r="M308" s="18" t="n"/>
      <c r="N308" s="22" t="n"/>
    </row>
    <row r="309">
      <c r="A309" s="19" t="n">
        <v>46338</v>
      </c>
      <c r="B309" s="25">
        <f>IF(A309="","",CHOOSE(WEEKDAY(A309,2),"월","화","수","목","금","토","일"))</f>
        <v/>
      </c>
      <c r="C309" s="18" t="inlineStr">
        <is>
          <t>M001</t>
        </is>
      </c>
      <c r="D309" s="25">
        <f>IFERROR(IF(C309="","",INDEX(직원명부!$B$5:$B$24,MATCH(C309,직원명부!$A$5:$A$24,0))),"사번 확인")</f>
        <v/>
      </c>
      <c r="E309" s="34" t="n"/>
      <c r="F309" s="34" t="n"/>
      <c r="G309" s="28" t="n"/>
      <c r="H309" s="33">
        <f>IF(OR(E309="",F309=""),"",ROUND(MOD(F309-E309,1)*24-N(G309),2))</f>
        <v/>
      </c>
      <c r="I309" s="33">
        <f>IF(H309="","",ROUND(MAX(0,H309-8),2))</f>
        <v/>
      </c>
      <c r="J309" s="33">
        <f>IF(OR(E309="",F309=""),"",ROUND(IF(MOD(F309,1)&gt;=TIME(22,0,0),(MOD(F309,1)-TIME(22,0,0))*24,IF(MOD(F309,1)&lt;TIME(6,0,0),(MOD(F309,1)+1-TIME(22,0,0))*24,0)),2))</f>
        <v/>
      </c>
      <c r="K309" s="33">
        <f>IF(H309="","",ROUND(IF(L309="휴일근로",MIN(H309,8)*1.5+MAX(0,H309-8)*2,I309*1.5)+N(J309)*0.5,2))</f>
        <v/>
      </c>
      <c r="L309" s="18" t="n"/>
      <c r="M309" s="18" t="n"/>
      <c r="N309" s="22" t="n"/>
    </row>
    <row r="310">
      <c r="A310" s="19" t="n">
        <v>46339</v>
      </c>
      <c r="B310" s="25">
        <f>IF(A310="","",CHOOSE(WEEKDAY(A310,2),"월","화","수","목","금","토","일"))</f>
        <v/>
      </c>
      <c r="C310" s="18" t="inlineStr">
        <is>
          <t>M001</t>
        </is>
      </c>
      <c r="D310" s="25">
        <f>IFERROR(IF(C310="","",INDEX(직원명부!$B$5:$B$24,MATCH(C310,직원명부!$A$5:$A$24,0))),"사번 확인")</f>
        <v/>
      </c>
      <c r="E310" s="34" t="n"/>
      <c r="F310" s="34" t="n"/>
      <c r="G310" s="28" t="n"/>
      <c r="H310" s="33">
        <f>IF(OR(E310="",F310=""),"",ROUND(MOD(F310-E310,1)*24-N(G310),2))</f>
        <v/>
      </c>
      <c r="I310" s="33">
        <f>IF(H310="","",ROUND(MAX(0,H310-8),2))</f>
        <v/>
      </c>
      <c r="J310" s="33">
        <f>IF(OR(E310="",F310=""),"",ROUND(IF(MOD(F310,1)&gt;=TIME(22,0,0),(MOD(F310,1)-TIME(22,0,0))*24,IF(MOD(F310,1)&lt;TIME(6,0,0),(MOD(F310,1)+1-TIME(22,0,0))*24,0)),2))</f>
        <v/>
      </c>
      <c r="K310" s="33">
        <f>IF(H310="","",ROUND(IF(L310="휴일근로",MIN(H310,8)*1.5+MAX(0,H310-8)*2,I310*1.5)+N(J310)*0.5,2))</f>
        <v/>
      </c>
      <c r="L310" s="18" t="n"/>
      <c r="M310" s="18" t="n"/>
      <c r="N310" s="22" t="n"/>
    </row>
    <row r="311">
      <c r="A311" s="19" t="n">
        <v>46340</v>
      </c>
      <c r="B311" s="25">
        <f>IF(A311="","",CHOOSE(WEEKDAY(A311,2),"월","화","수","목","금","토","일"))</f>
        <v/>
      </c>
      <c r="C311" s="18" t="inlineStr">
        <is>
          <t>M001</t>
        </is>
      </c>
      <c r="D311" s="25">
        <f>IFERROR(IF(C311="","",INDEX(직원명부!$B$5:$B$24,MATCH(C311,직원명부!$A$5:$A$24,0))),"사번 확인")</f>
        <v/>
      </c>
      <c r="E311" s="34" t="n"/>
      <c r="F311" s="34" t="n"/>
      <c r="G311" s="28" t="n"/>
      <c r="H311" s="33">
        <f>IF(OR(E311="",F311=""),"",ROUND(MOD(F311-E311,1)*24-N(G311),2))</f>
        <v/>
      </c>
      <c r="I311" s="33">
        <f>IF(H311="","",ROUND(MAX(0,H311-8),2))</f>
        <v/>
      </c>
      <c r="J311" s="33">
        <f>IF(OR(E311="",F311=""),"",ROUND(IF(MOD(F311,1)&gt;=TIME(22,0,0),(MOD(F311,1)-TIME(22,0,0))*24,IF(MOD(F311,1)&lt;TIME(6,0,0),(MOD(F311,1)+1-TIME(22,0,0))*24,0)),2))</f>
        <v/>
      </c>
      <c r="K311" s="33">
        <f>IF(H311="","",ROUND(IF(L311="휴일근로",MIN(H311,8)*1.5+MAX(0,H311-8)*2,I311*1.5)+N(J311)*0.5,2))</f>
        <v/>
      </c>
      <c r="L311" s="18" t="n"/>
      <c r="M311" s="18" t="n"/>
      <c r="N311" s="42" t="inlineStr">
        <is>
          <t>주말</t>
        </is>
      </c>
    </row>
    <row r="312">
      <c r="A312" s="19" t="n">
        <v>46341</v>
      </c>
      <c r="B312" s="25">
        <f>IF(A312="","",CHOOSE(WEEKDAY(A312,2),"월","화","수","목","금","토","일"))</f>
        <v/>
      </c>
      <c r="C312" s="18" t="inlineStr">
        <is>
          <t>M001</t>
        </is>
      </c>
      <c r="D312" s="25">
        <f>IFERROR(IF(C312="","",INDEX(직원명부!$B$5:$B$24,MATCH(C312,직원명부!$A$5:$A$24,0))),"사번 확인")</f>
        <v/>
      </c>
      <c r="E312" s="34" t="n"/>
      <c r="F312" s="34" t="n"/>
      <c r="G312" s="28" t="n"/>
      <c r="H312" s="33">
        <f>IF(OR(E312="",F312=""),"",ROUND(MOD(F312-E312,1)*24-N(G312),2))</f>
        <v/>
      </c>
      <c r="I312" s="33">
        <f>IF(H312="","",ROUND(MAX(0,H312-8),2))</f>
        <v/>
      </c>
      <c r="J312" s="33">
        <f>IF(OR(E312="",F312=""),"",ROUND(IF(MOD(F312,1)&gt;=TIME(22,0,0),(MOD(F312,1)-TIME(22,0,0))*24,IF(MOD(F312,1)&lt;TIME(6,0,0),(MOD(F312,1)+1-TIME(22,0,0))*24,0)),2))</f>
        <v/>
      </c>
      <c r="K312" s="33">
        <f>IF(H312="","",ROUND(IF(L312="휴일근로",MIN(H312,8)*1.5+MAX(0,H312-8)*2,I312*1.5)+N(J312)*0.5,2))</f>
        <v/>
      </c>
      <c r="L312" s="18" t="n"/>
      <c r="M312" s="18" t="n"/>
      <c r="N312" s="42" t="inlineStr">
        <is>
          <t>주말</t>
        </is>
      </c>
    </row>
    <row r="313">
      <c r="A313" s="19" t="n">
        <v>46342</v>
      </c>
      <c r="B313" s="25">
        <f>IF(A313="","",CHOOSE(WEEKDAY(A313,2),"월","화","수","목","금","토","일"))</f>
        <v/>
      </c>
      <c r="C313" s="18" t="inlineStr">
        <is>
          <t>M001</t>
        </is>
      </c>
      <c r="D313" s="25">
        <f>IFERROR(IF(C313="","",INDEX(직원명부!$B$5:$B$24,MATCH(C313,직원명부!$A$5:$A$24,0))),"사번 확인")</f>
        <v/>
      </c>
      <c r="E313" s="34" t="n"/>
      <c r="F313" s="34" t="n"/>
      <c r="G313" s="28" t="n"/>
      <c r="H313" s="33">
        <f>IF(OR(E313="",F313=""),"",ROUND(MOD(F313-E313,1)*24-N(G313),2))</f>
        <v/>
      </c>
      <c r="I313" s="33">
        <f>IF(H313="","",ROUND(MAX(0,H313-8),2))</f>
        <v/>
      </c>
      <c r="J313" s="33">
        <f>IF(OR(E313="",F313=""),"",ROUND(IF(MOD(F313,1)&gt;=TIME(22,0,0),(MOD(F313,1)-TIME(22,0,0))*24,IF(MOD(F313,1)&lt;TIME(6,0,0),(MOD(F313,1)+1-TIME(22,0,0))*24,0)),2))</f>
        <v/>
      </c>
      <c r="K313" s="33">
        <f>IF(H313="","",ROUND(IF(L313="휴일근로",MIN(H313,8)*1.5+MAX(0,H313-8)*2,I313*1.5)+N(J313)*0.5,2))</f>
        <v/>
      </c>
      <c r="L313" s="18" t="n"/>
      <c r="M313" s="18" t="n"/>
      <c r="N313" s="22" t="n"/>
    </row>
    <row r="314">
      <c r="A314" s="19" t="n">
        <v>46343</v>
      </c>
      <c r="B314" s="25">
        <f>IF(A314="","",CHOOSE(WEEKDAY(A314,2),"월","화","수","목","금","토","일"))</f>
        <v/>
      </c>
      <c r="C314" s="18" t="inlineStr">
        <is>
          <t>M001</t>
        </is>
      </c>
      <c r="D314" s="25">
        <f>IFERROR(IF(C314="","",INDEX(직원명부!$B$5:$B$24,MATCH(C314,직원명부!$A$5:$A$24,0))),"사번 확인")</f>
        <v/>
      </c>
      <c r="E314" s="34" t="n"/>
      <c r="F314" s="34" t="n"/>
      <c r="G314" s="28" t="n"/>
      <c r="H314" s="33">
        <f>IF(OR(E314="",F314=""),"",ROUND(MOD(F314-E314,1)*24-N(G314),2))</f>
        <v/>
      </c>
      <c r="I314" s="33">
        <f>IF(H314="","",ROUND(MAX(0,H314-8),2))</f>
        <v/>
      </c>
      <c r="J314" s="33">
        <f>IF(OR(E314="",F314=""),"",ROUND(IF(MOD(F314,1)&gt;=TIME(22,0,0),(MOD(F314,1)-TIME(22,0,0))*24,IF(MOD(F314,1)&lt;TIME(6,0,0),(MOD(F314,1)+1-TIME(22,0,0))*24,0)),2))</f>
        <v/>
      </c>
      <c r="K314" s="33">
        <f>IF(H314="","",ROUND(IF(L314="휴일근로",MIN(H314,8)*1.5+MAX(0,H314-8)*2,I314*1.5)+N(J314)*0.5,2))</f>
        <v/>
      </c>
      <c r="L314" s="18" t="n"/>
      <c r="M314" s="18" t="n"/>
      <c r="N314" s="22" t="n"/>
    </row>
    <row r="315">
      <c r="A315" s="19" t="n">
        <v>46344</v>
      </c>
      <c r="B315" s="25">
        <f>IF(A315="","",CHOOSE(WEEKDAY(A315,2),"월","화","수","목","금","토","일"))</f>
        <v/>
      </c>
      <c r="C315" s="18" t="inlineStr">
        <is>
          <t>M001</t>
        </is>
      </c>
      <c r="D315" s="25">
        <f>IFERROR(IF(C315="","",INDEX(직원명부!$B$5:$B$24,MATCH(C315,직원명부!$A$5:$A$24,0))),"사번 확인")</f>
        <v/>
      </c>
      <c r="E315" s="34" t="n"/>
      <c r="F315" s="34" t="n"/>
      <c r="G315" s="28" t="n"/>
      <c r="H315" s="33">
        <f>IF(OR(E315="",F315=""),"",ROUND(MOD(F315-E315,1)*24-N(G315),2))</f>
        <v/>
      </c>
      <c r="I315" s="33">
        <f>IF(H315="","",ROUND(MAX(0,H315-8),2))</f>
        <v/>
      </c>
      <c r="J315" s="33">
        <f>IF(OR(E315="",F315=""),"",ROUND(IF(MOD(F315,1)&gt;=TIME(22,0,0),(MOD(F315,1)-TIME(22,0,0))*24,IF(MOD(F315,1)&lt;TIME(6,0,0),(MOD(F315,1)+1-TIME(22,0,0))*24,0)),2))</f>
        <v/>
      </c>
      <c r="K315" s="33">
        <f>IF(H315="","",ROUND(IF(L315="휴일근로",MIN(H315,8)*1.5+MAX(0,H315-8)*2,I315*1.5)+N(J315)*0.5,2))</f>
        <v/>
      </c>
      <c r="L315" s="18" t="n"/>
      <c r="M315" s="18" t="n"/>
      <c r="N315" s="22" t="n"/>
    </row>
    <row r="316">
      <c r="A316" s="19" t="n">
        <v>46345</v>
      </c>
      <c r="B316" s="25">
        <f>IF(A316="","",CHOOSE(WEEKDAY(A316,2),"월","화","수","목","금","토","일"))</f>
        <v/>
      </c>
      <c r="C316" s="18" t="inlineStr">
        <is>
          <t>M001</t>
        </is>
      </c>
      <c r="D316" s="25">
        <f>IFERROR(IF(C316="","",INDEX(직원명부!$B$5:$B$24,MATCH(C316,직원명부!$A$5:$A$24,0))),"사번 확인")</f>
        <v/>
      </c>
      <c r="E316" s="34" t="n"/>
      <c r="F316" s="34" t="n"/>
      <c r="G316" s="28" t="n"/>
      <c r="H316" s="33">
        <f>IF(OR(E316="",F316=""),"",ROUND(MOD(F316-E316,1)*24-N(G316),2))</f>
        <v/>
      </c>
      <c r="I316" s="33">
        <f>IF(H316="","",ROUND(MAX(0,H316-8),2))</f>
        <v/>
      </c>
      <c r="J316" s="33">
        <f>IF(OR(E316="",F316=""),"",ROUND(IF(MOD(F316,1)&gt;=TIME(22,0,0),(MOD(F316,1)-TIME(22,0,0))*24,IF(MOD(F316,1)&lt;TIME(6,0,0),(MOD(F316,1)+1-TIME(22,0,0))*24,0)),2))</f>
        <v/>
      </c>
      <c r="K316" s="33">
        <f>IF(H316="","",ROUND(IF(L316="휴일근로",MIN(H316,8)*1.5+MAX(0,H316-8)*2,I316*1.5)+N(J316)*0.5,2))</f>
        <v/>
      </c>
      <c r="L316" s="18" t="n"/>
      <c r="M316" s="18" t="n"/>
      <c r="N316" s="22" t="n"/>
    </row>
    <row r="317">
      <c r="A317" s="19" t="n">
        <v>46346</v>
      </c>
      <c r="B317" s="25">
        <f>IF(A317="","",CHOOSE(WEEKDAY(A317,2),"월","화","수","목","금","토","일"))</f>
        <v/>
      </c>
      <c r="C317" s="18" t="inlineStr">
        <is>
          <t>M001</t>
        </is>
      </c>
      <c r="D317" s="25">
        <f>IFERROR(IF(C317="","",INDEX(직원명부!$B$5:$B$24,MATCH(C317,직원명부!$A$5:$A$24,0))),"사번 확인")</f>
        <v/>
      </c>
      <c r="E317" s="34" t="n"/>
      <c r="F317" s="34" t="n"/>
      <c r="G317" s="28" t="n"/>
      <c r="H317" s="33">
        <f>IF(OR(E317="",F317=""),"",ROUND(MOD(F317-E317,1)*24-N(G317),2))</f>
        <v/>
      </c>
      <c r="I317" s="33">
        <f>IF(H317="","",ROUND(MAX(0,H317-8),2))</f>
        <v/>
      </c>
      <c r="J317" s="33">
        <f>IF(OR(E317="",F317=""),"",ROUND(IF(MOD(F317,1)&gt;=TIME(22,0,0),(MOD(F317,1)-TIME(22,0,0))*24,IF(MOD(F317,1)&lt;TIME(6,0,0),(MOD(F317,1)+1-TIME(22,0,0))*24,0)),2))</f>
        <v/>
      </c>
      <c r="K317" s="33">
        <f>IF(H317="","",ROUND(IF(L317="휴일근로",MIN(H317,8)*1.5+MAX(0,H317-8)*2,I317*1.5)+N(J317)*0.5,2))</f>
        <v/>
      </c>
      <c r="L317" s="18" t="n"/>
      <c r="M317" s="18" t="n"/>
      <c r="N317" s="22" t="n"/>
    </row>
    <row r="318">
      <c r="A318" s="19" t="n">
        <v>46347</v>
      </c>
      <c r="B318" s="25">
        <f>IF(A318="","",CHOOSE(WEEKDAY(A318,2),"월","화","수","목","금","토","일"))</f>
        <v/>
      </c>
      <c r="C318" s="18" t="inlineStr">
        <is>
          <t>M001</t>
        </is>
      </c>
      <c r="D318" s="25">
        <f>IFERROR(IF(C318="","",INDEX(직원명부!$B$5:$B$24,MATCH(C318,직원명부!$A$5:$A$24,0))),"사번 확인")</f>
        <v/>
      </c>
      <c r="E318" s="34" t="n"/>
      <c r="F318" s="34" t="n"/>
      <c r="G318" s="28" t="n"/>
      <c r="H318" s="33">
        <f>IF(OR(E318="",F318=""),"",ROUND(MOD(F318-E318,1)*24-N(G318),2))</f>
        <v/>
      </c>
      <c r="I318" s="33">
        <f>IF(H318="","",ROUND(MAX(0,H318-8),2))</f>
        <v/>
      </c>
      <c r="J318" s="33">
        <f>IF(OR(E318="",F318=""),"",ROUND(IF(MOD(F318,1)&gt;=TIME(22,0,0),(MOD(F318,1)-TIME(22,0,0))*24,IF(MOD(F318,1)&lt;TIME(6,0,0),(MOD(F318,1)+1-TIME(22,0,0))*24,0)),2))</f>
        <v/>
      </c>
      <c r="K318" s="33">
        <f>IF(H318="","",ROUND(IF(L318="휴일근로",MIN(H318,8)*1.5+MAX(0,H318-8)*2,I318*1.5)+N(J318)*0.5,2))</f>
        <v/>
      </c>
      <c r="L318" s="18" t="n"/>
      <c r="M318" s="18" t="n"/>
      <c r="N318" s="42" t="inlineStr">
        <is>
          <t>주말</t>
        </is>
      </c>
    </row>
    <row r="319">
      <c r="A319" s="19" t="n">
        <v>46348</v>
      </c>
      <c r="B319" s="25">
        <f>IF(A319="","",CHOOSE(WEEKDAY(A319,2),"월","화","수","목","금","토","일"))</f>
        <v/>
      </c>
      <c r="C319" s="18" t="inlineStr">
        <is>
          <t>M001</t>
        </is>
      </c>
      <c r="D319" s="25">
        <f>IFERROR(IF(C319="","",INDEX(직원명부!$B$5:$B$24,MATCH(C319,직원명부!$A$5:$A$24,0))),"사번 확인")</f>
        <v/>
      </c>
      <c r="E319" s="34" t="n"/>
      <c r="F319" s="34" t="n"/>
      <c r="G319" s="28" t="n"/>
      <c r="H319" s="33">
        <f>IF(OR(E319="",F319=""),"",ROUND(MOD(F319-E319,1)*24-N(G319),2))</f>
        <v/>
      </c>
      <c r="I319" s="33">
        <f>IF(H319="","",ROUND(MAX(0,H319-8),2))</f>
        <v/>
      </c>
      <c r="J319" s="33">
        <f>IF(OR(E319="",F319=""),"",ROUND(IF(MOD(F319,1)&gt;=TIME(22,0,0),(MOD(F319,1)-TIME(22,0,0))*24,IF(MOD(F319,1)&lt;TIME(6,0,0),(MOD(F319,1)+1-TIME(22,0,0))*24,0)),2))</f>
        <v/>
      </c>
      <c r="K319" s="33">
        <f>IF(H319="","",ROUND(IF(L319="휴일근로",MIN(H319,8)*1.5+MAX(0,H319-8)*2,I319*1.5)+N(J319)*0.5,2))</f>
        <v/>
      </c>
      <c r="L319" s="18" t="n"/>
      <c r="M319" s="18" t="n"/>
      <c r="N319" s="42" t="inlineStr">
        <is>
          <t>주말</t>
        </is>
      </c>
    </row>
    <row r="320">
      <c r="A320" s="19" t="n">
        <v>46349</v>
      </c>
      <c r="B320" s="25">
        <f>IF(A320="","",CHOOSE(WEEKDAY(A320,2),"월","화","수","목","금","토","일"))</f>
        <v/>
      </c>
      <c r="C320" s="18" t="inlineStr">
        <is>
          <t>M001</t>
        </is>
      </c>
      <c r="D320" s="25">
        <f>IFERROR(IF(C320="","",INDEX(직원명부!$B$5:$B$24,MATCH(C320,직원명부!$A$5:$A$24,0))),"사번 확인")</f>
        <v/>
      </c>
      <c r="E320" s="34" t="n"/>
      <c r="F320" s="34" t="n"/>
      <c r="G320" s="28" t="n"/>
      <c r="H320" s="33">
        <f>IF(OR(E320="",F320=""),"",ROUND(MOD(F320-E320,1)*24-N(G320),2))</f>
        <v/>
      </c>
      <c r="I320" s="33">
        <f>IF(H320="","",ROUND(MAX(0,H320-8),2))</f>
        <v/>
      </c>
      <c r="J320" s="33">
        <f>IF(OR(E320="",F320=""),"",ROUND(IF(MOD(F320,1)&gt;=TIME(22,0,0),(MOD(F320,1)-TIME(22,0,0))*24,IF(MOD(F320,1)&lt;TIME(6,0,0),(MOD(F320,1)+1-TIME(22,0,0))*24,0)),2))</f>
        <v/>
      </c>
      <c r="K320" s="33">
        <f>IF(H320="","",ROUND(IF(L320="휴일근로",MIN(H320,8)*1.5+MAX(0,H320-8)*2,I320*1.5)+N(J320)*0.5,2))</f>
        <v/>
      </c>
      <c r="L320" s="18" t="n"/>
      <c r="M320" s="18" t="n"/>
      <c r="N320" s="22" t="n"/>
    </row>
    <row r="321">
      <c r="A321" s="19" t="n">
        <v>46350</v>
      </c>
      <c r="B321" s="25">
        <f>IF(A321="","",CHOOSE(WEEKDAY(A321,2),"월","화","수","목","금","토","일"))</f>
        <v/>
      </c>
      <c r="C321" s="18" t="inlineStr">
        <is>
          <t>M001</t>
        </is>
      </c>
      <c r="D321" s="25">
        <f>IFERROR(IF(C321="","",INDEX(직원명부!$B$5:$B$24,MATCH(C321,직원명부!$A$5:$A$24,0))),"사번 확인")</f>
        <v/>
      </c>
      <c r="E321" s="34" t="n"/>
      <c r="F321" s="34" t="n"/>
      <c r="G321" s="28" t="n"/>
      <c r="H321" s="33">
        <f>IF(OR(E321="",F321=""),"",ROUND(MOD(F321-E321,1)*24-N(G321),2))</f>
        <v/>
      </c>
      <c r="I321" s="33">
        <f>IF(H321="","",ROUND(MAX(0,H321-8),2))</f>
        <v/>
      </c>
      <c r="J321" s="33">
        <f>IF(OR(E321="",F321=""),"",ROUND(IF(MOD(F321,1)&gt;=TIME(22,0,0),(MOD(F321,1)-TIME(22,0,0))*24,IF(MOD(F321,1)&lt;TIME(6,0,0),(MOD(F321,1)+1-TIME(22,0,0))*24,0)),2))</f>
        <v/>
      </c>
      <c r="K321" s="33">
        <f>IF(H321="","",ROUND(IF(L321="휴일근로",MIN(H321,8)*1.5+MAX(0,H321-8)*2,I321*1.5)+N(J321)*0.5,2))</f>
        <v/>
      </c>
      <c r="L321" s="18" t="n"/>
      <c r="M321" s="18" t="n"/>
      <c r="N321" s="22" t="n"/>
    </row>
    <row r="322">
      <c r="A322" s="19" t="n">
        <v>46351</v>
      </c>
      <c r="B322" s="25">
        <f>IF(A322="","",CHOOSE(WEEKDAY(A322,2),"월","화","수","목","금","토","일"))</f>
        <v/>
      </c>
      <c r="C322" s="18" t="inlineStr">
        <is>
          <t>M001</t>
        </is>
      </c>
      <c r="D322" s="25">
        <f>IFERROR(IF(C322="","",INDEX(직원명부!$B$5:$B$24,MATCH(C322,직원명부!$A$5:$A$24,0))),"사번 확인")</f>
        <v/>
      </c>
      <c r="E322" s="34" t="n"/>
      <c r="F322" s="34" t="n"/>
      <c r="G322" s="28" t="n"/>
      <c r="H322" s="33">
        <f>IF(OR(E322="",F322=""),"",ROUND(MOD(F322-E322,1)*24-N(G322),2))</f>
        <v/>
      </c>
      <c r="I322" s="33">
        <f>IF(H322="","",ROUND(MAX(0,H322-8),2))</f>
        <v/>
      </c>
      <c r="J322" s="33">
        <f>IF(OR(E322="",F322=""),"",ROUND(IF(MOD(F322,1)&gt;=TIME(22,0,0),(MOD(F322,1)-TIME(22,0,0))*24,IF(MOD(F322,1)&lt;TIME(6,0,0),(MOD(F322,1)+1-TIME(22,0,0))*24,0)),2))</f>
        <v/>
      </c>
      <c r="K322" s="33">
        <f>IF(H322="","",ROUND(IF(L322="휴일근로",MIN(H322,8)*1.5+MAX(0,H322-8)*2,I322*1.5)+N(J322)*0.5,2))</f>
        <v/>
      </c>
      <c r="L322" s="18" t="n"/>
      <c r="M322" s="18" t="n"/>
      <c r="N322" s="22" t="n"/>
    </row>
    <row r="323">
      <c r="A323" s="19" t="n">
        <v>46352</v>
      </c>
      <c r="B323" s="25">
        <f>IF(A323="","",CHOOSE(WEEKDAY(A323,2),"월","화","수","목","금","토","일"))</f>
        <v/>
      </c>
      <c r="C323" s="18" t="inlineStr">
        <is>
          <t>M001</t>
        </is>
      </c>
      <c r="D323" s="25">
        <f>IFERROR(IF(C323="","",INDEX(직원명부!$B$5:$B$24,MATCH(C323,직원명부!$A$5:$A$24,0))),"사번 확인")</f>
        <v/>
      </c>
      <c r="E323" s="34" t="n"/>
      <c r="F323" s="34" t="n"/>
      <c r="G323" s="28" t="n"/>
      <c r="H323" s="33">
        <f>IF(OR(E323="",F323=""),"",ROUND(MOD(F323-E323,1)*24-N(G323),2))</f>
        <v/>
      </c>
      <c r="I323" s="33">
        <f>IF(H323="","",ROUND(MAX(0,H323-8),2))</f>
        <v/>
      </c>
      <c r="J323" s="33">
        <f>IF(OR(E323="",F323=""),"",ROUND(IF(MOD(F323,1)&gt;=TIME(22,0,0),(MOD(F323,1)-TIME(22,0,0))*24,IF(MOD(F323,1)&lt;TIME(6,0,0),(MOD(F323,1)+1-TIME(22,0,0))*24,0)),2))</f>
        <v/>
      </c>
      <c r="K323" s="33">
        <f>IF(H323="","",ROUND(IF(L323="휴일근로",MIN(H323,8)*1.5+MAX(0,H323-8)*2,I323*1.5)+N(J323)*0.5,2))</f>
        <v/>
      </c>
      <c r="L323" s="18" t="n"/>
      <c r="M323" s="18" t="n"/>
      <c r="N323" s="22" t="n"/>
    </row>
    <row r="324">
      <c r="A324" s="19" t="n">
        <v>46353</v>
      </c>
      <c r="B324" s="25">
        <f>IF(A324="","",CHOOSE(WEEKDAY(A324,2),"월","화","수","목","금","토","일"))</f>
        <v/>
      </c>
      <c r="C324" s="18" t="inlineStr">
        <is>
          <t>M001</t>
        </is>
      </c>
      <c r="D324" s="25">
        <f>IFERROR(IF(C324="","",INDEX(직원명부!$B$5:$B$24,MATCH(C324,직원명부!$A$5:$A$24,0))),"사번 확인")</f>
        <v/>
      </c>
      <c r="E324" s="34" t="n"/>
      <c r="F324" s="34" t="n"/>
      <c r="G324" s="28" t="n"/>
      <c r="H324" s="33">
        <f>IF(OR(E324="",F324=""),"",ROUND(MOD(F324-E324,1)*24-N(G324),2))</f>
        <v/>
      </c>
      <c r="I324" s="33">
        <f>IF(H324="","",ROUND(MAX(0,H324-8),2))</f>
        <v/>
      </c>
      <c r="J324" s="33">
        <f>IF(OR(E324="",F324=""),"",ROUND(IF(MOD(F324,1)&gt;=TIME(22,0,0),(MOD(F324,1)-TIME(22,0,0))*24,IF(MOD(F324,1)&lt;TIME(6,0,0),(MOD(F324,1)+1-TIME(22,0,0))*24,0)),2))</f>
        <v/>
      </c>
      <c r="K324" s="33">
        <f>IF(H324="","",ROUND(IF(L324="휴일근로",MIN(H324,8)*1.5+MAX(0,H324-8)*2,I324*1.5)+N(J324)*0.5,2))</f>
        <v/>
      </c>
      <c r="L324" s="18" t="n"/>
      <c r="M324" s="18" t="n"/>
      <c r="N324" s="22" t="n"/>
    </row>
    <row r="325">
      <c r="A325" s="19" t="n">
        <v>46354</v>
      </c>
      <c r="B325" s="25">
        <f>IF(A325="","",CHOOSE(WEEKDAY(A325,2),"월","화","수","목","금","토","일"))</f>
        <v/>
      </c>
      <c r="C325" s="18" t="inlineStr">
        <is>
          <t>M001</t>
        </is>
      </c>
      <c r="D325" s="25">
        <f>IFERROR(IF(C325="","",INDEX(직원명부!$B$5:$B$24,MATCH(C325,직원명부!$A$5:$A$24,0))),"사번 확인")</f>
        <v/>
      </c>
      <c r="E325" s="34" t="n"/>
      <c r="F325" s="34" t="n"/>
      <c r="G325" s="28" t="n"/>
      <c r="H325" s="33">
        <f>IF(OR(E325="",F325=""),"",ROUND(MOD(F325-E325,1)*24-N(G325),2))</f>
        <v/>
      </c>
      <c r="I325" s="33">
        <f>IF(H325="","",ROUND(MAX(0,H325-8),2))</f>
        <v/>
      </c>
      <c r="J325" s="33">
        <f>IF(OR(E325="",F325=""),"",ROUND(IF(MOD(F325,1)&gt;=TIME(22,0,0),(MOD(F325,1)-TIME(22,0,0))*24,IF(MOD(F325,1)&lt;TIME(6,0,0),(MOD(F325,1)+1-TIME(22,0,0))*24,0)),2))</f>
        <v/>
      </c>
      <c r="K325" s="33">
        <f>IF(H325="","",ROUND(IF(L325="휴일근로",MIN(H325,8)*1.5+MAX(0,H325-8)*2,I325*1.5)+N(J325)*0.5,2))</f>
        <v/>
      </c>
      <c r="L325" s="18" t="n"/>
      <c r="M325" s="18" t="n"/>
      <c r="N325" s="42" t="inlineStr">
        <is>
          <t>주말</t>
        </is>
      </c>
    </row>
    <row r="326">
      <c r="A326" s="19" t="n">
        <v>46355</v>
      </c>
      <c r="B326" s="25">
        <f>IF(A326="","",CHOOSE(WEEKDAY(A326,2),"월","화","수","목","금","토","일"))</f>
        <v/>
      </c>
      <c r="C326" s="18" t="inlineStr">
        <is>
          <t>M001</t>
        </is>
      </c>
      <c r="D326" s="25">
        <f>IFERROR(IF(C326="","",INDEX(직원명부!$B$5:$B$24,MATCH(C326,직원명부!$A$5:$A$24,0))),"사번 확인")</f>
        <v/>
      </c>
      <c r="E326" s="34" t="n"/>
      <c r="F326" s="34" t="n"/>
      <c r="G326" s="28" t="n"/>
      <c r="H326" s="33">
        <f>IF(OR(E326="",F326=""),"",ROUND(MOD(F326-E326,1)*24-N(G326),2))</f>
        <v/>
      </c>
      <c r="I326" s="33">
        <f>IF(H326="","",ROUND(MAX(0,H326-8),2))</f>
        <v/>
      </c>
      <c r="J326" s="33">
        <f>IF(OR(E326="",F326=""),"",ROUND(IF(MOD(F326,1)&gt;=TIME(22,0,0),(MOD(F326,1)-TIME(22,0,0))*24,IF(MOD(F326,1)&lt;TIME(6,0,0),(MOD(F326,1)+1-TIME(22,0,0))*24,0)),2))</f>
        <v/>
      </c>
      <c r="K326" s="33">
        <f>IF(H326="","",ROUND(IF(L326="휴일근로",MIN(H326,8)*1.5+MAX(0,H326-8)*2,I326*1.5)+N(J326)*0.5,2))</f>
        <v/>
      </c>
      <c r="L326" s="18" t="n"/>
      <c r="M326" s="18" t="n"/>
      <c r="N326" s="42" t="inlineStr">
        <is>
          <t>주말</t>
        </is>
      </c>
    </row>
    <row r="327">
      <c r="A327" s="19" t="n">
        <v>46356</v>
      </c>
      <c r="B327" s="25">
        <f>IF(A327="","",CHOOSE(WEEKDAY(A327,2),"월","화","수","목","금","토","일"))</f>
        <v/>
      </c>
      <c r="C327" s="18" t="inlineStr">
        <is>
          <t>M001</t>
        </is>
      </c>
      <c r="D327" s="25">
        <f>IFERROR(IF(C327="","",INDEX(직원명부!$B$5:$B$24,MATCH(C327,직원명부!$A$5:$A$24,0))),"사번 확인")</f>
        <v/>
      </c>
      <c r="E327" s="34" t="n"/>
      <c r="F327" s="34" t="n"/>
      <c r="G327" s="28" t="n"/>
      <c r="H327" s="33">
        <f>IF(OR(E327="",F327=""),"",ROUND(MOD(F327-E327,1)*24-N(G327),2))</f>
        <v/>
      </c>
      <c r="I327" s="33">
        <f>IF(H327="","",ROUND(MAX(0,H327-8),2))</f>
        <v/>
      </c>
      <c r="J327" s="33">
        <f>IF(OR(E327="",F327=""),"",ROUND(IF(MOD(F327,1)&gt;=TIME(22,0,0),(MOD(F327,1)-TIME(22,0,0))*24,IF(MOD(F327,1)&lt;TIME(6,0,0),(MOD(F327,1)+1-TIME(22,0,0))*24,0)),2))</f>
        <v/>
      </c>
      <c r="K327" s="33">
        <f>IF(H327="","",ROUND(IF(L327="휴일근로",MIN(H327,8)*1.5+MAX(0,H327-8)*2,I327*1.5)+N(J327)*0.5,2))</f>
        <v/>
      </c>
      <c r="L327" s="18" t="n"/>
      <c r="M327" s="18" t="n"/>
      <c r="N327" s="22" t="n"/>
    </row>
    <row r="328">
      <c r="A328" s="19" t="n">
        <v>46357</v>
      </c>
      <c r="B328" s="25">
        <f>IF(A328="","",CHOOSE(WEEKDAY(A328,2),"월","화","수","목","금","토","일"))</f>
        <v/>
      </c>
      <c r="C328" s="18" t="inlineStr">
        <is>
          <t>M001</t>
        </is>
      </c>
      <c r="D328" s="25">
        <f>IFERROR(IF(C328="","",INDEX(직원명부!$B$5:$B$24,MATCH(C328,직원명부!$A$5:$A$24,0))),"사번 확인")</f>
        <v/>
      </c>
      <c r="E328" s="34" t="n"/>
      <c r="F328" s="34" t="n"/>
      <c r="G328" s="28" t="n"/>
      <c r="H328" s="33">
        <f>IF(OR(E328="",F328=""),"",ROUND(MOD(F328-E328,1)*24-N(G328),2))</f>
        <v/>
      </c>
      <c r="I328" s="33">
        <f>IF(H328="","",ROUND(MAX(0,H328-8),2))</f>
        <v/>
      </c>
      <c r="J328" s="33">
        <f>IF(OR(E328="",F328=""),"",ROUND(IF(MOD(F328,1)&gt;=TIME(22,0,0),(MOD(F328,1)-TIME(22,0,0))*24,IF(MOD(F328,1)&lt;TIME(6,0,0),(MOD(F328,1)+1-TIME(22,0,0))*24,0)),2))</f>
        <v/>
      </c>
      <c r="K328" s="33">
        <f>IF(H328="","",ROUND(IF(L328="휴일근로",MIN(H328,8)*1.5+MAX(0,H328-8)*2,I328*1.5)+N(J328)*0.5,2))</f>
        <v/>
      </c>
      <c r="L328" s="18" t="n"/>
      <c r="M328" s="18" t="n"/>
      <c r="N328" s="22" t="n"/>
    </row>
    <row r="329">
      <c r="A329" s="19" t="n">
        <v>46358</v>
      </c>
      <c r="B329" s="25">
        <f>IF(A329="","",CHOOSE(WEEKDAY(A329,2),"월","화","수","목","금","토","일"))</f>
        <v/>
      </c>
      <c r="C329" s="18" t="inlineStr">
        <is>
          <t>M001</t>
        </is>
      </c>
      <c r="D329" s="25">
        <f>IFERROR(IF(C329="","",INDEX(직원명부!$B$5:$B$24,MATCH(C329,직원명부!$A$5:$A$24,0))),"사번 확인")</f>
        <v/>
      </c>
      <c r="E329" s="34" t="n"/>
      <c r="F329" s="34" t="n"/>
      <c r="G329" s="28" t="n"/>
      <c r="H329" s="33">
        <f>IF(OR(E329="",F329=""),"",ROUND(MOD(F329-E329,1)*24-N(G329),2))</f>
        <v/>
      </c>
      <c r="I329" s="33">
        <f>IF(H329="","",ROUND(MAX(0,H329-8),2))</f>
        <v/>
      </c>
      <c r="J329" s="33">
        <f>IF(OR(E329="",F329=""),"",ROUND(IF(MOD(F329,1)&gt;=TIME(22,0,0),(MOD(F329,1)-TIME(22,0,0))*24,IF(MOD(F329,1)&lt;TIME(6,0,0),(MOD(F329,1)+1-TIME(22,0,0))*24,0)),2))</f>
        <v/>
      </c>
      <c r="K329" s="33">
        <f>IF(H329="","",ROUND(IF(L329="휴일근로",MIN(H329,8)*1.5+MAX(0,H329-8)*2,I329*1.5)+N(J329)*0.5,2))</f>
        <v/>
      </c>
      <c r="L329" s="18" t="n"/>
      <c r="M329" s="18" t="n"/>
      <c r="N329" s="22" t="n"/>
    </row>
    <row r="330">
      <c r="A330" s="19" t="n">
        <v>46359</v>
      </c>
      <c r="B330" s="25">
        <f>IF(A330="","",CHOOSE(WEEKDAY(A330,2),"월","화","수","목","금","토","일"))</f>
        <v/>
      </c>
      <c r="C330" s="18" t="inlineStr">
        <is>
          <t>M001</t>
        </is>
      </c>
      <c r="D330" s="25">
        <f>IFERROR(IF(C330="","",INDEX(직원명부!$B$5:$B$24,MATCH(C330,직원명부!$A$5:$A$24,0))),"사번 확인")</f>
        <v/>
      </c>
      <c r="E330" s="34" t="n"/>
      <c r="F330" s="34" t="n"/>
      <c r="G330" s="28" t="n"/>
      <c r="H330" s="33">
        <f>IF(OR(E330="",F330=""),"",ROUND(MOD(F330-E330,1)*24-N(G330),2))</f>
        <v/>
      </c>
      <c r="I330" s="33">
        <f>IF(H330="","",ROUND(MAX(0,H330-8),2))</f>
        <v/>
      </c>
      <c r="J330" s="33">
        <f>IF(OR(E330="",F330=""),"",ROUND(IF(MOD(F330,1)&gt;=TIME(22,0,0),(MOD(F330,1)-TIME(22,0,0))*24,IF(MOD(F330,1)&lt;TIME(6,0,0),(MOD(F330,1)+1-TIME(22,0,0))*24,0)),2))</f>
        <v/>
      </c>
      <c r="K330" s="33">
        <f>IF(H330="","",ROUND(IF(L330="휴일근로",MIN(H330,8)*1.5+MAX(0,H330-8)*2,I330*1.5)+N(J330)*0.5,2))</f>
        <v/>
      </c>
      <c r="L330" s="18" t="n"/>
      <c r="M330" s="18" t="n"/>
      <c r="N330" s="22" t="n"/>
    </row>
    <row r="331">
      <c r="A331" s="19" t="n">
        <v>46360</v>
      </c>
      <c r="B331" s="25">
        <f>IF(A331="","",CHOOSE(WEEKDAY(A331,2),"월","화","수","목","금","토","일"))</f>
        <v/>
      </c>
      <c r="C331" s="18" t="inlineStr">
        <is>
          <t>M001</t>
        </is>
      </c>
      <c r="D331" s="25">
        <f>IFERROR(IF(C331="","",INDEX(직원명부!$B$5:$B$24,MATCH(C331,직원명부!$A$5:$A$24,0))),"사번 확인")</f>
        <v/>
      </c>
      <c r="E331" s="34" t="n"/>
      <c r="F331" s="34" t="n"/>
      <c r="G331" s="28" t="n"/>
      <c r="H331" s="33">
        <f>IF(OR(E331="",F331=""),"",ROUND(MOD(F331-E331,1)*24-N(G331),2))</f>
        <v/>
      </c>
      <c r="I331" s="33">
        <f>IF(H331="","",ROUND(MAX(0,H331-8),2))</f>
        <v/>
      </c>
      <c r="J331" s="33">
        <f>IF(OR(E331="",F331=""),"",ROUND(IF(MOD(F331,1)&gt;=TIME(22,0,0),(MOD(F331,1)-TIME(22,0,0))*24,IF(MOD(F331,1)&lt;TIME(6,0,0),(MOD(F331,1)+1-TIME(22,0,0))*24,0)),2))</f>
        <v/>
      </c>
      <c r="K331" s="33">
        <f>IF(H331="","",ROUND(IF(L331="휴일근로",MIN(H331,8)*1.5+MAX(0,H331-8)*2,I331*1.5)+N(J331)*0.5,2))</f>
        <v/>
      </c>
      <c r="L331" s="18" t="n"/>
      <c r="M331" s="18" t="n"/>
      <c r="N331" s="22" t="n"/>
    </row>
    <row r="332">
      <c r="A332" s="19" t="n">
        <v>46361</v>
      </c>
      <c r="B332" s="25">
        <f>IF(A332="","",CHOOSE(WEEKDAY(A332,2),"월","화","수","목","금","토","일"))</f>
        <v/>
      </c>
      <c r="C332" s="18" t="inlineStr">
        <is>
          <t>M001</t>
        </is>
      </c>
      <c r="D332" s="25">
        <f>IFERROR(IF(C332="","",INDEX(직원명부!$B$5:$B$24,MATCH(C332,직원명부!$A$5:$A$24,0))),"사번 확인")</f>
        <v/>
      </c>
      <c r="E332" s="34" t="n"/>
      <c r="F332" s="34" t="n"/>
      <c r="G332" s="28" t="n"/>
      <c r="H332" s="33">
        <f>IF(OR(E332="",F332=""),"",ROUND(MOD(F332-E332,1)*24-N(G332),2))</f>
        <v/>
      </c>
      <c r="I332" s="33">
        <f>IF(H332="","",ROUND(MAX(0,H332-8),2))</f>
        <v/>
      </c>
      <c r="J332" s="33">
        <f>IF(OR(E332="",F332=""),"",ROUND(IF(MOD(F332,1)&gt;=TIME(22,0,0),(MOD(F332,1)-TIME(22,0,0))*24,IF(MOD(F332,1)&lt;TIME(6,0,0),(MOD(F332,1)+1-TIME(22,0,0))*24,0)),2))</f>
        <v/>
      </c>
      <c r="K332" s="33">
        <f>IF(H332="","",ROUND(IF(L332="휴일근로",MIN(H332,8)*1.5+MAX(0,H332-8)*2,I332*1.5)+N(J332)*0.5,2))</f>
        <v/>
      </c>
      <c r="L332" s="18" t="n"/>
      <c r="M332" s="18" t="n"/>
      <c r="N332" s="42" t="inlineStr">
        <is>
          <t>주말</t>
        </is>
      </c>
    </row>
    <row r="333">
      <c r="A333" s="19" t="n">
        <v>46362</v>
      </c>
      <c r="B333" s="25">
        <f>IF(A333="","",CHOOSE(WEEKDAY(A333,2),"월","화","수","목","금","토","일"))</f>
        <v/>
      </c>
      <c r="C333" s="18" t="inlineStr">
        <is>
          <t>M001</t>
        </is>
      </c>
      <c r="D333" s="25">
        <f>IFERROR(IF(C333="","",INDEX(직원명부!$B$5:$B$24,MATCH(C333,직원명부!$A$5:$A$24,0))),"사번 확인")</f>
        <v/>
      </c>
      <c r="E333" s="34" t="n"/>
      <c r="F333" s="34" t="n"/>
      <c r="G333" s="28" t="n"/>
      <c r="H333" s="33">
        <f>IF(OR(E333="",F333=""),"",ROUND(MOD(F333-E333,1)*24-N(G333),2))</f>
        <v/>
      </c>
      <c r="I333" s="33">
        <f>IF(H333="","",ROUND(MAX(0,H333-8),2))</f>
        <v/>
      </c>
      <c r="J333" s="33">
        <f>IF(OR(E333="",F333=""),"",ROUND(IF(MOD(F333,1)&gt;=TIME(22,0,0),(MOD(F333,1)-TIME(22,0,0))*24,IF(MOD(F333,1)&lt;TIME(6,0,0),(MOD(F333,1)+1-TIME(22,0,0))*24,0)),2))</f>
        <v/>
      </c>
      <c r="K333" s="33">
        <f>IF(H333="","",ROUND(IF(L333="휴일근로",MIN(H333,8)*1.5+MAX(0,H333-8)*2,I333*1.5)+N(J333)*0.5,2))</f>
        <v/>
      </c>
      <c r="L333" s="18" t="n"/>
      <c r="M333" s="18" t="n"/>
      <c r="N333" s="42" t="inlineStr">
        <is>
          <t>주말</t>
        </is>
      </c>
    </row>
    <row r="334">
      <c r="A334" s="19" t="n">
        <v>46363</v>
      </c>
      <c r="B334" s="25">
        <f>IF(A334="","",CHOOSE(WEEKDAY(A334,2),"월","화","수","목","금","토","일"))</f>
        <v/>
      </c>
      <c r="C334" s="18" t="inlineStr">
        <is>
          <t>M001</t>
        </is>
      </c>
      <c r="D334" s="25">
        <f>IFERROR(IF(C334="","",INDEX(직원명부!$B$5:$B$24,MATCH(C334,직원명부!$A$5:$A$24,0))),"사번 확인")</f>
        <v/>
      </c>
      <c r="E334" s="34" t="n"/>
      <c r="F334" s="34" t="n"/>
      <c r="G334" s="28" t="n"/>
      <c r="H334" s="33">
        <f>IF(OR(E334="",F334=""),"",ROUND(MOD(F334-E334,1)*24-N(G334),2))</f>
        <v/>
      </c>
      <c r="I334" s="33">
        <f>IF(H334="","",ROUND(MAX(0,H334-8),2))</f>
        <v/>
      </c>
      <c r="J334" s="33">
        <f>IF(OR(E334="",F334=""),"",ROUND(IF(MOD(F334,1)&gt;=TIME(22,0,0),(MOD(F334,1)-TIME(22,0,0))*24,IF(MOD(F334,1)&lt;TIME(6,0,0),(MOD(F334,1)+1-TIME(22,0,0))*24,0)),2))</f>
        <v/>
      </c>
      <c r="K334" s="33">
        <f>IF(H334="","",ROUND(IF(L334="휴일근로",MIN(H334,8)*1.5+MAX(0,H334-8)*2,I334*1.5)+N(J334)*0.5,2))</f>
        <v/>
      </c>
      <c r="L334" s="18" t="n"/>
      <c r="M334" s="18" t="n"/>
      <c r="N334" s="22" t="n"/>
    </row>
    <row r="335">
      <c r="A335" s="19" t="n">
        <v>46364</v>
      </c>
      <c r="B335" s="25">
        <f>IF(A335="","",CHOOSE(WEEKDAY(A335,2),"월","화","수","목","금","토","일"))</f>
        <v/>
      </c>
      <c r="C335" s="18" t="inlineStr">
        <is>
          <t>M001</t>
        </is>
      </c>
      <c r="D335" s="25">
        <f>IFERROR(IF(C335="","",INDEX(직원명부!$B$5:$B$24,MATCH(C335,직원명부!$A$5:$A$24,0))),"사번 확인")</f>
        <v/>
      </c>
      <c r="E335" s="34" t="n"/>
      <c r="F335" s="34" t="n"/>
      <c r="G335" s="28" t="n"/>
      <c r="H335" s="33">
        <f>IF(OR(E335="",F335=""),"",ROUND(MOD(F335-E335,1)*24-N(G335),2))</f>
        <v/>
      </c>
      <c r="I335" s="33">
        <f>IF(H335="","",ROUND(MAX(0,H335-8),2))</f>
        <v/>
      </c>
      <c r="J335" s="33">
        <f>IF(OR(E335="",F335=""),"",ROUND(IF(MOD(F335,1)&gt;=TIME(22,0,0),(MOD(F335,1)-TIME(22,0,0))*24,IF(MOD(F335,1)&lt;TIME(6,0,0),(MOD(F335,1)+1-TIME(22,0,0))*24,0)),2))</f>
        <v/>
      </c>
      <c r="K335" s="33">
        <f>IF(H335="","",ROUND(IF(L335="휴일근로",MIN(H335,8)*1.5+MAX(0,H335-8)*2,I335*1.5)+N(J335)*0.5,2))</f>
        <v/>
      </c>
      <c r="L335" s="18" t="n"/>
      <c r="M335" s="18" t="n"/>
      <c r="N335" s="22" t="n"/>
    </row>
    <row r="336">
      <c r="A336" s="19" t="n">
        <v>46365</v>
      </c>
      <c r="B336" s="25">
        <f>IF(A336="","",CHOOSE(WEEKDAY(A336,2),"월","화","수","목","금","토","일"))</f>
        <v/>
      </c>
      <c r="C336" s="18" t="inlineStr">
        <is>
          <t>M001</t>
        </is>
      </c>
      <c r="D336" s="25">
        <f>IFERROR(IF(C336="","",INDEX(직원명부!$B$5:$B$24,MATCH(C336,직원명부!$A$5:$A$24,0))),"사번 확인")</f>
        <v/>
      </c>
      <c r="E336" s="34" t="n"/>
      <c r="F336" s="34" t="n"/>
      <c r="G336" s="28" t="n"/>
      <c r="H336" s="33">
        <f>IF(OR(E336="",F336=""),"",ROUND(MOD(F336-E336,1)*24-N(G336),2))</f>
        <v/>
      </c>
      <c r="I336" s="33">
        <f>IF(H336="","",ROUND(MAX(0,H336-8),2))</f>
        <v/>
      </c>
      <c r="J336" s="33">
        <f>IF(OR(E336="",F336=""),"",ROUND(IF(MOD(F336,1)&gt;=TIME(22,0,0),(MOD(F336,1)-TIME(22,0,0))*24,IF(MOD(F336,1)&lt;TIME(6,0,0),(MOD(F336,1)+1-TIME(22,0,0))*24,0)),2))</f>
        <v/>
      </c>
      <c r="K336" s="33">
        <f>IF(H336="","",ROUND(IF(L336="휴일근로",MIN(H336,8)*1.5+MAX(0,H336-8)*2,I336*1.5)+N(J336)*0.5,2))</f>
        <v/>
      </c>
      <c r="L336" s="18" t="n"/>
      <c r="M336" s="18" t="n"/>
      <c r="N336" s="22" t="n"/>
    </row>
    <row r="337">
      <c r="A337" s="19" t="n">
        <v>46366</v>
      </c>
      <c r="B337" s="25">
        <f>IF(A337="","",CHOOSE(WEEKDAY(A337,2),"월","화","수","목","금","토","일"))</f>
        <v/>
      </c>
      <c r="C337" s="18" t="inlineStr">
        <is>
          <t>M001</t>
        </is>
      </c>
      <c r="D337" s="25">
        <f>IFERROR(IF(C337="","",INDEX(직원명부!$B$5:$B$24,MATCH(C337,직원명부!$A$5:$A$24,0))),"사번 확인")</f>
        <v/>
      </c>
      <c r="E337" s="34" t="n"/>
      <c r="F337" s="34" t="n"/>
      <c r="G337" s="28" t="n"/>
      <c r="H337" s="33">
        <f>IF(OR(E337="",F337=""),"",ROUND(MOD(F337-E337,1)*24-N(G337),2))</f>
        <v/>
      </c>
      <c r="I337" s="33">
        <f>IF(H337="","",ROUND(MAX(0,H337-8),2))</f>
        <v/>
      </c>
      <c r="J337" s="33">
        <f>IF(OR(E337="",F337=""),"",ROUND(IF(MOD(F337,1)&gt;=TIME(22,0,0),(MOD(F337,1)-TIME(22,0,0))*24,IF(MOD(F337,1)&lt;TIME(6,0,0),(MOD(F337,1)+1-TIME(22,0,0))*24,0)),2))</f>
        <v/>
      </c>
      <c r="K337" s="33">
        <f>IF(H337="","",ROUND(IF(L337="휴일근로",MIN(H337,8)*1.5+MAX(0,H337-8)*2,I337*1.5)+N(J337)*0.5,2))</f>
        <v/>
      </c>
      <c r="L337" s="18" t="n"/>
      <c r="M337" s="18" t="n"/>
      <c r="N337" s="22" t="n"/>
    </row>
    <row r="338">
      <c r="A338" s="19" t="n">
        <v>46367</v>
      </c>
      <c r="B338" s="25">
        <f>IF(A338="","",CHOOSE(WEEKDAY(A338,2),"월","화","수","목","금","토","일"))</f>
        <v/>
      </c>
      <c r="C338" s="18" t="inlineStr">
        <is>
          <t>M001</t>
        </is>
      </c>
      <c r="D338" s="25">
        <f>IFERROR(IF(C338="","",INDEX(직원명부!$B$5:$B$24,MATCH(C338,직원명부!$A$5:$A$24,0))),"사번 확인")</f>
        <v/>
      </c>
      <c r="E338" s="34" t="n"/>
      <c r="F338" s="34" t="n"/>
      <c r="G338" s="28" t="n"/>
      <c r="H338" s="33">
        <f>IF(OR(E338="",F338=""),"",ROUND(MOD(F338-E338,1)*24-N(G338),2))</f>
        <v/>
      </c>
      <c r="I338" s="33">
        <f>IF(H338="","",ROUND(MAX(0,H338-8),2))</f>
        <v/>
      </c>
      <c r="J338" s="33">
        <f>IF(OR(E338="",F338=""),"",ROUND(IF(MOD(F338,1)&gt;=TIME(22,0,0),(MOD(F338,1)-TIME(22,0,0))*24,IF(MOD(F338,1)&lt;TIME(6,0,0),(MOD(F338,1)+1-TIME(22,0,0))*24,0)),2))</f>
        <v/>
      </c>
      <c r="K338" s="33">
        <f>IF(H338="","",ROUND(IF(L338="휴일근로",MIN(H338,8)*1.5+MAX(0,H338-8)*2,I338*1.5)+N(J338)*0.5,2))</f>
        <v/>
      </c>
      <c r="L338" s="18" t="n"/>
      <c r="M338" s="18" t="n"/>
      <c r="N338" s="22" t="n"/>
    </row>
    <row r="339">
      <c r="A339" s="19" t="n">
        <v>46368</v>
      </c>
      <c r="B339" s="25">
        <f>IF(A339="","",CHOOSE(WEEKDAY(A339,2),"월","화","수","목","금","토","일"))</f>
        <v/>
      </c>
      <c r="C339" s="18" t="inlineStr">
        <is>
          <t>M001</t>
        </is>
      </c>
      <c r="D339" s="25">
        <f>IFERROR(IF(C339="","",INDEX(직원명부!$B$5:$B$24,MATCH(C339,직원명부!$A$5:$A$24,0))),"사번 확인")</f>
        <v/>
      </c>
      <c r="E339" s="34" t="n"/>
      <c r="F339" s="34" t="n"/>
      <c r="G339" s="28" t="n"/>
      <c r="H339" s="33">
        <f>IF(OR(E339="",F339=""),"",ROUND(MOD(F339-E339,1)*24-N(G339),2))</f>
        <v/>
      </c>
      <c r="I339" s="33">
        <f>IF(H339="","",ROUND(MAX(0,H339-8),2))</f>
        <v/>
      </c>
      <c r="J339" s="33">
        <f>IF(OR(E339="",F339=""),"",ROUND(IF(MOD(F339,1)&gt;=TIME(22,0,0),(MOD(F339,1)-TIME(22,0,0))*24,IF(MOD(F339,1)&lt;TIME(6,0,0),(MOD(F339,1)+1-TIME(22,0,0))*24,0)),2))</f>
        <v/>
      </c>
      <c r="K339" s="33">
        <f>IF(H339="","",ROUND(IF(L339="휴일근로",MIN(H339,8)*1.5+MAX(0,H339-8)*2,I339*1.5)+N(J339)*0.5,2))</f>
        <v/>
      </c>
      <c r="L339" s="18" t="n"/>
      <c r="M339" s="18" t="n"/>
      <c r="N339" s="42" t="inlineStr">
        <is>
          <t>주말</t>
        </is>
      </c>
    </row>
    <row r="340">
      <c r="A340" s="19" t="n">
        <v>46369</v>
      </c>
      <c r="B340" s="25">
        <f>IF(A340="","",CHOOSE(WEEKDAY(A340,2),"월","화","수","목","금","토","일"))</f>
        <v/>
      </c>
      <c r="C340" s="18" t="inlineStr">
        <is>
          <t>M001</t>
        </is>
      </c>
      <c r="D340" s="25">
        <f>IFERROR(IF(C340="","",INDEX(직원명부!$B$5:$B$24,MATCH(C340,직원명부!$A$5:$A$24,0))),"사번 확인")</f>
        <v/>
      </c>
      <c r="E340" s="34" t="n"/>
      <c r="F340" s="34" t="n"/>
      <c r="G340" s="28" t="n"/>
      <c r="H340" s="33">
        <f>IF(OR(E340="",F340=""),"",ROUND(MOD(F340-E340,1)*24-N(G340),2))</f>
        <v/>
      </c>
      <c r="I340" s="33">
        <f>IF(H340="","",ROUND(MAX(0,H340-8),2))</f>
        <v/>
      </c>
      <c r="J340" s="33">
        <f>IF(OR(E340="",F340=""),"",ROUND(IF(MOD(F340,1)&gt;=TIME(22,0,0),(MOD(F340,1)-TIME(22,0,0))*24,IF(MOD(F340,1)&lt;TIME(6,0,0),(MOD(F340,1)+1-TIME(22,0,0))*24,0)),2))</f>
        <v/>
      </c>
      <c r="K340" s="33">
        <f>IF(H340="","",ROUND(IF(L340="휴일근로",MIN(H340,8)*1.5+MAX(0,H340-8)*2,I340*1.5)+N(J340)*0.5,2))</f>
        <v/>
      </c>
      <c r="L340" s="18" t="n"/>
      <c r="M340" s="18" t="n"/>
      <c r="N340" s="42" t="inlineStr">
        <is>
          <t>주말</t>
        </is>
      </c>
    </row>
    <row r="341">
      <c r="A341" s="19" t="n">
        <v>46370</v>
      </c>
      <c r="B341" s="25">
        <f>IF(A341="","",CHOOSE(WEEKDAY(A341,2),"월","화","수","목","금","토","일"))</f>
        <v/>
      </c>
      <c r="C341" s="18" t="inlineStr">
        <is>
          <t>M001</t>
        </is>
      </c>
      <c r="D341" s="25">
        <f>IFERROR(IF(C341="","",INDEX(직원명부!$B$5:$B$24,MATCH(C341,직원명부!$A$5:$A$24,0))),"사번 확인")</f>
        <v/>
      </c>
      <c r="E341" s="34" t="n"/>
      <c r="F341" s="34" t="n"/>
      <c r="G341" s="28" t="n"/>
      <c r="H341" s="33">
        <f>IF(OR(E341="",F341=""),"",ROUND(MOD(F341-E341,1)*24-N(G341),2))</f>
        <v/>
      </c>
      <c r="I341" s="33">
        <f>IF(H341="","",ROUND(MAX(0,H341-8),2))</f>
        <v/>
      </c>
      <c r="J341" s="33">
        <f>IF(OR(E341="",F341=""),"",ROUND(IF(MOD(F341,1)&gt;=TIME(22,0,0),(MOD(F341,1)-TIME(22,0,0))*24,IF(MOD(F341,1)&lt;TIME(6,0,0),(MOD(F341,1)+1-TIME(22,0,0))*24,0)),2))</f>
        <v/>
      </c>
      <c r="K341" s="33">
        <f>IF(H341="","",ROUND(IF(L341="휴일근로",MIN(H341,8)*1.5+MAX(0,H341-8)*2,I341*1.5)+N(J341)*0.5,2))</f>
        <v/>
      </c>
      <c r="L341" s="18" t="n"/>
      <c r="M341" s="18" t="n"/>
      <c r="N341" s="22" t="n"/>
    </row>
    <row r="342">
      <c r="A342" s="19" t="n">
        <v>46371</v>
      </c>
      <c r="B342" s="25">
        <f>IF(A342="","",CHOOSE(WEEKDAY(A342,2),"월","화","수","목","금","토","일"))</f>
        <v/>
      </c>
      <c r="C342" s="18" t="inlineStr">
        <is>
          <t>M001</t>
        </is>
      </c>
      <c r="D342" s="25">
        <f>IFERROR(IF(C342="","",INDEX(직원명부!$B$5:$B$24,MATCH(C342,직원명부!$A$5:$A$24,0))),"사번 확인")</f>
        <v/>
      </c>
      <c r="E342" s="34" t="n"/>
      <c r="F342" s="34" t="n"/>
      <c r="G342" s="28" t="n"/>
      <c r="H342" s="33">
        <f>IF(OR(E342="",F342=""),"",ROUND(MOD(F342-E342,1)*24-N(G342),2))</f>
        <v/>
      </c>
      <c r="I342" s="33">
        <f>IF(H342="","",ROUND(MAX(0,H342-8),2))</f>
        <v/>
      </c>
      <c r="J342" s="33">
        <f>IF(OR(E342="",F342=""),"",ROUND(IF(MOD(F342,1)&gt;=TIME(22,0,0),(MOD(F342,1)-TIME(22,0,0))*24,IF(MOD(F342,1)&lt;TIME(6,0,0),(MOD(F342,1)+1-TIME(22,0,0))*24,0)),2))</f>
        <v/>
      </c>
      <c r="K342" s="33">
        <f>IF(H342="","",ROUND(IF(L342="휴일근로",MIN(H342,8)*1.5+MAX(0,H342-8)*2,I342*1.5)+N(J342)*0.5,2))</f>
        <v/>
      </c>
      <c r="L342" s="18" t="n"/>
      <c r="M342" s="18" t="n"/>
      <c r="N342" s="22" t="n"/>
    </row>
    <row r="343">
      <c r="A343" s="19" t="n">
        <v>46372</v>
      </c>
      <c r="B343" s="25">
        <f>IF(A343="","",CHOOSE(WEEKDAY(A343,2),"월","화","수","목","금","토","일"))</f>
        <v/>
      </c>
      <c r="C343" s="18" t="inlineStr">
        <is>
          <t>M001</t>
        </is>
      </c>
      <c r="D343" s="25">
        <f>IFERROR(IF(C343="","",INDEX(직원명부!$B$5:$B$24,MATCH(C343,직원명부!$A$5:$A$24,0))),"사번 확인")</f>
        <v/>
      </c>
      <c r="E343" s="34" t="n"/>
      <c r="F343" s="34" t="n"/>
      <c r="G343" s="28" t="n"/>
      <c r="H343" s="33">
        <f>IF(OR(E343="",F343=""),"",ROUND(MOD(F343-E343,1)*24-N(G343),2))</f>
        <v/>
      </c>
      <c r="I343" s="33">
        <f>IF(H343="","",ROUND(MAX(0,H343-8),2))</f>
        <v/>
      </c>
      <c r="J343" s="33">
        <f>IF(OR(E343="",F343=""),"",ROUND(IF(MOD(F343,1)&gt;=TIME(22,0,0),(MOD(F343,1)-TIME(22,0,0))*24,IF(MOD(F343,1)&lt;TIME(6,0,0),(MOD(F343,1)+1-TIME(22,0,0))*24,0)),2))</f>
        <v/>
      </c>
      <c r="K343" s="33">
        <f>IF(H343="","",ROUND(IF(L343="휴일근로",MIN(H343,8)*1.5+MAX(0,H343-8)*2,I343*1.5)+N(J343)*0.5,2))</f>
        <v/>
      </c>
      <c r="L343" s="18" t="n"/>
      <c r="M343" s="18" t="n"/>
      <c r="N343" s="22" t="n"/>
    </row>
    <row r="344">
      <c r="A344" s="19" t="n">
        <v>46373</v>
      </c>
      <c r="B344" s="25">
        <f>IF(A344="","",CHOOSE(WEEKDAY(A344,2),"월","화","수","목","금","토","일"))</f>
        <v/>
      </c>
      <c r="C344" s="18" t="inlineStr">
        <is>
          <t>M001</t>
        </is>
      </c>
      <c r="D344" s="25">
        <f>IFERROR(IF(C344="","",INDEX(직원명부!$B$5:$B$24,MATCH(C344,직원명부!$A$5:$A$24,0))),"사번 확인")</f>
        <v/>
      </c>
      <c r="E344" s="34" t="n"/>
      <c r="F344" s="34" t="n"/>
      <c r="G344" s="28" t="n"/>
      <c r="H344" s="33">
        <f>IF(OR(E344="",F344=""),"",ROUND(MOD(F344-E344,1)*24-N(G344),2))</f>
        <v/>
      </c>
      <c r="I344" s="33">
        <f>IF(H344="","",ROUND(MAX(0,H344-8),2))</f>
        <v/>
      </c>
      <c r="J344" s="33">
        <f>IF(OR(E344="",F344=""),"",ROUND(IF(MOD(F344,1)&gt;=TIME(22,0,0),(MOD(F344,1)-TIME(22,0,0))*24,IF(MOD(F344,1)&lt;TIME(6,0,0),(MOD(F344,1)+1-TIME(22,0,0))*24,0)),2))</f>
        <v/>
      </c>
      <c r="K344" s="33">
        <f>IF(H344="","",ROUND(IF(L344="휴일근로",MIN(H344,8)*1.5+MAX(0,H344-8)*2,I344*1.5)+N(J344)*0.5,2))</f>
        <v/>
      </c>
      <c r="L344" s="18" t="n"/>
      <c r="M344" s="18" t="n"/>
      <c r="N344" s="22" t="n"/>
    </row>
    <row r="345">
      <c r="A345" s="19" t="n">
        <v>46374</v>
      </c>
      <c r="B345" s="25">
        <f>IF(A345="","",CHOOSE(WEEKDAY(A345,2),"월","화","수","목","금","토","일"))</f>
        <v/>
      </c>
      <c r="C345" s="18" t="inlineStr">
        <is>
          <t>M001</t>
        </is>
      </c>
      <c r="D345" s="25">
        <f>IFERROR(IF(C345="","",INDEX(직원명부!$B$5:$B$24,MATCH(C345,직원명부!$A$5:$A$24,0))),"사번 확인")</f>
        <v/>
      </c>
      <c r="E345" s="34" t="n"/>
      <c r="F345" s="34" t="n"/>
      <c r="G345" s="28" t="n"/>
      <c r="H345" s="33">
        <f>IF(OR(E345="",F345=""),"",ROUND(MOD(F345-E345,1)*24-N(G345),2))</f>
        <v/>
      </c>
      <c r="I345" s="33">
        <f>IF(H345="","",ROUND(MAX(0,H345-8),2))</f>
        <v/>
      </c>
      <c r="J345" s="33">
        <f>IF(OR(E345="",F345=""),"",ROUND(IF(MOD(F345,1)&gt;=TIME(22,0,0),(MOD(F345,1)-TIME(22,0,0))*24,IF(MOD(F345,1)&lt;TIME(6,0,0),(MOD(F345,1)+1-TIME(22,0,0))*24,0)),2))</f>
        <v/>
      </c>
      <c r="K345" s="33">
        <f>IF(H345="","",ROUND(IF(L345="휴일근로",MIN(H345,8)*1.5+MAX(0,H345-8)*2,I345*1.5)+N(J345)*0.5,2))</f>
        <v/>
      </c>
      <c r="L345" s="18" t="n"/>
      <c r="M345" s="18" t="n"/>
      <c r="N345" s="22" t="n"/>
    </row>
    <row r="346">
      <c r="A346" s="19" t="n">
        <v>46375</v>
      </c>
      <c r="B346" s="25">
        <f>IF(A346="","",CHOOSE(WEEKDAY(A346,2),"월","화","수","목","금","토","일"))</f>
        <v/>
      </c>
      <c r="C346" s="18" t="inlineStr">
        <is>
          <t>M001</t>
        </is>
      </c>
      <c r="D346" s="25">
        <f>IFERROR(IF(C346="","",INDEX(직원명부!$B$5:$B$24,MATCH(C346,직원명부!$A$5:$A$24,0))),"사번 확인")</f>
        <v/>
      </c>
      <c r="E346" s="34" t="n"/>
      <c r="F346" s="34" t="n"/>
      <c r="G346" s="28" t="n"/>
      <c r="H346" s="33">
        <f>IF(OR(E346="",F346=""),"",ROUND(MOD(F346-E346,1)*24-N(G346),2))</f>
        <v/>
      </c>
      <c r="I346" s="33">
        <f>IF(H346="","",ROUND(MAX(0,H346-8),2))</f>
        <v/>
      </c>
      <c r="J346" s="33">
        <f>IF(OR(E346="",F346=""),"",ROUND(IF(MOD(F346,1)&gt;=TIME(22,0,0),(MOD(F346,1)-TIME(22,0,0))*24,IF(MOD(F346,1)&lt;TIME(6,0,0),(MOD(F346,1)+1-TIME(22,0,0))*24,0)),2))</f>
        <v/>
      </c>
      <c r="K346" s="33">
        <f>IF(H346="","",ROUND(IF(L346="휴일근로",MIN(H346,8)*1.5+MAX(0,H346-8)*2,I346*1.5)+N(J346)*0.5,2))</f>
        <v/>
      </c>
      <c r="L346" s="18" t="n"/>
      <c r="M346" s="18" t="n"/>
      <c r="N346" s="42" t="inlineStr">
        <is>
          <t>주말</t>
        </is>
      </c>
    </row>
    <row r="347">
      <c r="A347" s="19" t="n">
        <v>46376</v>
      </c>
      <c r="B347" s="25">
        <f>IF(A347="","",CHOOSE(WEEKDAY(A347,2),"월","화","수","목","금","토","일"))</f>
        <v/>
      </c>
      <c r="C347" s="18" t="inlineStr">
        <is>
          <t>M001</t>
        </is>
      </c>
      <c r="D347" s="25">
        <f>IFERROR(IF(C347="","",INDEX(직원명부!$B$5:$B$24,MATCH(C347,직원명부!$A$5:$A$24,0))),"사번 확인")</f>
        <v/>
      </c>
      <c r="E347" s="34" t="n"/>
      <c r="F347" s="34" t="n"/>
      <c r="G347" s="28" t="n"/>
      <c r="H347" s="33">
        <f>IF(OR(E347="",F347=""),"",ROUND(MOD(F347-E347,1)*24-N(G347),2))</f>
        <v/>
      </c>
      <c r="I347" s="33">
        <f>IF(H347="","",ROUND(MAX(0,H347-8),2))</f>
        <v/>
      </c>
      <c r="J347" s="33">
        <f>IF(OR(E347="",F347=""),"",ROUND(IF(MOD(F347,1)&gt;=TIME(22,0,0),(MOD(F347,1)-TIME(22,0,0))*24,IF(MOD(F347,1)&lt;TIME(6,0,0),(MOD(F347,1)+1-TIME(22,0,0))*24,0)),2))</f>
        <v/>
      </c>
      <c r="K347" s="33">
        <f>IF(H347="","",ROUND(IF(L347="휴일근로",MIN(H347,8)*1.5+MAX(0,H347-8)*2,I347*1.5)+N(J347)*0.5,2))</f>
        <v/>
      </c>
      <c r="L347" s="18" t="n"/>
      <c r="M347" s="18" t="n"/>
      <c r="N347" s="42" t="inlineStr">
        <is>
          <t>주말</t>
        </is>
      </c>
    </row>
    <row r="348">
      <c r="A348" s="19" t="n">
        <v>46377</v>
      </c>
      <c r="B348" s="25">
        <f>IF(A348="","",CHOOSE(WEEKDAY(A348,2),"월","화","수","목","금","토","일"))</f>
        <v/>
      </c>
      <c r="C348" s="18" t="inlineStr">
        <is>
          <t>M001</t>
        </is>
      </c>
      <c r="D348" s="25">
        <f>IFERROR(IF(C348="","",INDEX(직원명부!$B$5:$B$24,MATCH(C348,직원명부!$A$5:$A$24,0))),"사번 확인")</f>
        <v/>
      </c>
      <c r="E348" s="34" t="n"/>
      <c r="F348" s="34" t="n"/>
      <c r="G348" s="28" t="n"/>
      <c r="H348" s="33">
        <f>IF(OR(E348="",F348=""),"",ROUND(MOD(F348-E348,1)*24-N(G348),2))</f>
        <v/>
      </c>
      <c r="I348" s="33">
        <f>IF(H348="","",ROUND(MAX(0,H348-8),2))</f>
        <v/>
      </c>
      <c r="J348" s="33">
        <f>IF(OR(E348="",F348=""),"",ROUND(IF(MOD(F348,1)&gt;=TIME(22,0,0),(MOD(F348,1)-TIME(22,0,0))*24,IF(MOD(F348,1)&lt;TIME(6,0,0),(MOD(F348,1)+1-TIME(22,0,0))*24,0)),2))</f>
        <v/>
      </c>
      <c r="K348" s="33">
        <f>IF(H348="","",ROUND(IF(L348="휴일근로",MIN(H348,8)*1.5+MAX(0,H348-8)*2,I348*1.5)+N(J348)*0.5,2))</f>
        <v/>
      </c>
      <c r="L348" s="18" t="n"/>
      <c r="M348" s="18" t="n"/>
      <c r="N348" s="22" t="n"/>
    </row>
    <row r="349">
      <c r="A349" s="19" t="n">
        <v>46378</v>
      </c>
      <c r="B349" s="25">
        <f>IF(A349="","",CHOOSE(WEEKDAY(A349,2),"월","화","수","목","금","토","일"))</f>
        <v/>
      </c>
      <c r="C349" s="18" t="inlineStr">
        <is>
          <t>M001</t>
        </is>
      </c>
      <c r="D349" s="25">
        <f>IFERROR(IF(C349="","",INDEX(직원명부!$B$5:$B$24,MATCH(C349,직원명부!$A$5:$A$24,0))),"사번 확인")</f>
        <v/>
      </c>
      <c r="E349" s="34" t="n"/>
      <c r="F349" s="34" t="n"/>
      <c r="G349" s="28" t="n"/>
      <c r="H349" s="33">
        <f>IF(OR(E349="",F349=""),"",ROUND(MOD(F349-E349,1)*24-N(G349),2))</f>
        <v/>
      </c>
      <c r="I349" s="33">
        <f>IF(H349="","",ROUND(MAX(0,H349-8),2))</f>
        <v/>
      </c>
      <c r="J349" s="33">
        <f>IF(OR(E349="",F349=""),"",ROUND(IF(MOD(F349,1)&gt;=TIME(22,0,0),(MOD(F349,1)-TIME(22,0,0))*24,IF(MOD(F349,1)&lt;TIME(6,0,0),(MOD(F349,1)+1-TIME(22,0,0))*24,0)),2))</f>
        <v/>
      </c>
      <c r="K349" s="33">
        <f>IF(H349="","",ROUND(IF(L349="휴일근로",MIN(H349,8)*1.5+MAX(0,H349-8)*2,I349*1.5)+N(J349)*0.5,2))</f>
        <v/>
      </c>
      <c r="L349" s="18" t="n"/>
      <c r="M349" s="18" t="n"/>
      <c r="N349" s="22" t="n"/>
    </row>
    <row r="350">
      <c r="A350" s="19" t="n">
        <v>46379</v>
      </c>
      <c r="B350" s="25">
        <f>IF(A350="","",CHOOSE(WEEKDAY(A350,2),"월","화","수","목","금","토","일"))</f>
        <v/>
      </c>
      <c r="C350" s="18" t="inlineStr">
        <is>
          <t>M001</t>
        </is>
      </c>
      <c r="D350" s="25">
        <f>IFERROR(IF(C350="","",INDEX(직원명부!$B$5:$B$24,MATCH(C350,직원명부!$A$5:$A$24,0))),"사번 확인")</f>
        <v/>
      </c>
      <c r="E350" s="34" t="n"/>
      <c r="F350" s="34" t="n"/>
      <c r="G350" s="28" t="n"/>
      <c r="H350" s="33">
        <f>IF(OR(E350="",F350=""),"",ROUND(MOD(F350-E350,1)*24-N(G350),2))</f>
        <v/>
      </c>
      <c r="I350" s="33">
        <f>IF(H350="","",ROUND(MAX(0,H350-8),2))</f>
        <v/>
      </c>
      <c r="J350" s="33">
        <f>IF(OR(E350="",F350=""),"",ROUND(IF(MOD(F350,1)&gt;=TIME(22,0,0),(MOD(F350,1)-TIME(22,0,0))*24,IF(MOD(F350,1)&lt;TIME(6,0,0),(MOD(F350,1)+1-TIME(22,0,0))*24,0)),2))</f>
        <v/>
      </c>
      <c r="K350" s="33">
        <f>IF(H350="","",ROUND(IF(L350="휴일근로",MIN(H350,8)*1.5+MAX(0,H350-8)*2,I350*1.5)+N(J350)*0.5,2))</f>
        <v/>
      </c>
      <c r="L350" s="18" t="n"/>
      <c r="M350" s="18" t="n"/>
      <c r="N350" s="22" t="n"/>
    </row>
    <row r="351">
      <c r="A351" s="19" t="n">
        <v>46380</v>
      </c>
      <c r="B351" s="25">
        <f>IF(A351="","",CHOOSE(WEEKDAY(A351,2),"월","화","수","목","금","토","일"))</f>
        <v/>
      </c>
      <c r="C351" s="18" t="inlineStr">
        <is>
          <t>M001</t>
        </is>
      </c>
      <c r="D351" s="25">
        <f>IFERROR(IF(C351="","",INDEX(직원명부!$B$5:$B$24,MATCH(C351,직원명부!$A$5:$A$24,0))),"사번 확인")</f>
        <v/>
      </c>
      <c r="E351" s="34" t="n"/>
      <c r="F351" s="34" t="n"/>
      <c r="G351" s="28" t="n"/>
      <c r="H351" s="33">
        <f>IF(OR(E351="",F351=""),"",ROUND(MOD(F351-E351,1)*24-N(G351),2))</f>
        <v/>
      </c>
      <c r="I351" s="33">
        <f>IF(H351="","",ROUND(MAX(0,H351-8),2))</f>
        <v/>
      </c>
      <c r="J351" s="33">
        <f>IF(OR(E351="",F351=""),"",ROUND(IF(MOD(F351,1)&gt;=TIME(22,0,0),(MOD(F351,1)-TIME(22,0,0))*24,IF(MOD(F351,1)&lt;TIME(6,0,0),(MOD(F351,1)+1-TIME(22,0,0))*24,0)),2))</f>
        <v/>
      </c>
      <c r="K351" s="33">
        <f>IF(H351="","",ROUND(IF(L351="휴일근로",MIN(H351,8)*1.5+MAX(0,H351-8)*2,I351*1.5)+N(J351)*0.5,2))</f>
        <v/>
      </c>
      <c r="L351" s="18" t="n"/>
      <c r="M351" s="18" t="n"/>
      <c r="N351" s="22" t="n"/>
    </row>
    <row r="352">
      <c r="A352" s="19" t="n">
        <v>46381</v>
      </c>
      <c r="B352" s="25">
        <f>IF(A352="","",CHOOSE(WEEKDAY(A352,2),"월","화","수","목","금","토","일"))</f>
        <v/>
      </c>
      <c r="C352" s="18" t="inlineStr">
        <is>
          <t>M001</t>
        </is>
      </c>
      <c r="D352" s="25">
        <f>IFERROR(IF(C352="","",INDEX(직원명부!$B$5:$B$24,MATCH(C352,직원명부!$A$5:$A$24,0))),"사번 확인")</f>
        <v/>
      </c>
      <c r="E352" s="34" t="n"/>
      <c r="F352" s="34" t="n"/>
      <c r="G352" s="28" t="n"/>
      <c r="H352" s="33">
        <f>IF(OR(E352="",F352=""),"",ROUND(MOD(F352-E352,1)*24-N(G352),2))</f>
        <v/>
      </c>
      <c r="I352" s="33">
        <f>IF(H352="","",ROUND(MAX(0,H352-8),2))</f>
        <v/>
      </c>
      <c r="J352" s="33">
        <f>IF(OR(E352="",F352=""),"",ROUND(IF(MOD(F352,1)&gt;=TIME(22,0,0),(MOD(F352,1)-TIME(22,0,0))*24,IF(MOD(F352,1)&lt;TIME(6,0,0),(MOD(F352,1)+1-TIME(22,0,0))*24,0)),2))</f>
        <v/>
      </c>
      <c r="K352" s="33">
        <f>IF(H352="","",ROUND(IF(L352="휴일근로",MIN(H352,8)*1.5+MAX(0,H352-8)*2,I352*1.5)+N(J352)*0.5,2))</f>
        <v/>
      </c>
      <c r="L352" s="18" t="n"/>
      <c r="M352" s="18" t="n"/>
      <c r="N352" s="42" t="inlineStr">
        <is>
          <t>성탄절</t>
        </is>
      </c>
    </row>
    <row r="353">
      <c r="A353" s="19" t="n">
        <v>46382</v>
      </c>
      <c r="B353" s="25">
        <f>IF(A353="","",CHOOSE(WEEKDAY(A353,2),"월","화","수","목","금","토","일"))</f>
        <v/>
      </c>
      <c r="C353" s="18" t="inlineStr">
        <is>
          <t>M001</t>
        </is>
      </c>
      <c r="D353" s="25">
        <f>IFERROR(IF(C353="","",INDEX(직원명부!$B$5:$B$24,MATCH(C353,직원명부!$A$5:$A$24,0))),"사번 확인")</f>
        <v/>
      </c>
      <c r="E353" s="34" t="n"/>
      <c r="F353" s="34" t="n"/>
      <c r="G353" s="28" t="n"/>
      <c r="H353" s="33">
        <f>IF(OR(E353="",F353=""),"",ROUND(MOD(F353-E353,1)*24-N(G353),2))</f>
        <v/>
      </c>
      <c r="I353" s="33">
        <f>IF(H353="","",ROUND(MAX(0,H353-8),2))</f>
        <v/>
      </c>
      <c r="J353" s="33">
        <f>IF(OR(E353="",F353=""),"",ROUND(IF(MOD(F353,1)&gt;=TIME(22,0,0),(MOD(F353,1)-TIME(22,0,0))*24,IF(MOD(F353,1)&lt;TIME(6,0,0),(MOD(F353,1)+1-TIME(22,0,0))*24,0)),2))</f>
        <v/>
      </c>
      <c r="K353" s="33">
        <f>IF(H353="","",ROUND(IF(L353="휴일근로",MIN(H353,8)*1.5+MAX(0,H353-8)*2,I353*1.5)+N(J353)*0.5,2))</f>
        <v/>
      </c>
      <c r="L353" s="18" t="n"/>
      <c r="M353" s="18" t="n"/>
      <c r="N353" s="42" t="inlineStr">
        <is>
          <t>주말</t>
        </is>
      </c>
    </row>
    <row r="354">
      <c r="A354" s="19" t="n">
        <v>46383</v>
      </c>
      <c r="B354" s="25">
        <f>IF(A354="","",CHOOSE(WEEKDAY(A354,2),"월","화","수","목","금","토","일"))</f>
        <v/>
      </c>
      <c r="C354" s="18" t="inlineStr">
        <is>
          <t>M001</t>
        </is>
      </c>
      <c r="D354" s="25">
        <f>IFERROR(IF(C354="","",INDEX(직원명부!$B$5:$B$24,MATCH(C354,직원명부!$A$5:$A$24,0))),"사번 확인")</f>
        <v/>
      </c>
      <c r="E354" s="34" t="n"/>
      <c r="F354" s="34" t="n"/>
      <c r="G354" s="28" t="n"/>
      <c r="H354" s="33">
        <f>IF(OR(E354="",F354=""),"",ROUND(MOD(F354-E354,1)*24-N(G354),2))</f>
        <v/>
      </c>
      <c r="I354" s="33">
        <f>IF(H354="","",ROUND(MAX(0,H354-8),2))</f>
        <v/>
      </c>
      <c r="J354" s="33">
        <f>IF(OR(E354="",F354=""),"",ROUND(IF(MOD(F354,1)&gt;=TIME(22,0,0),(MOD(F354,1)-TIME(22,0,0))*24,IF(MOD(F354,1)&lt;TIME(6,0,0),(MOD(F354,1)+1-TIME(22,0,0))*24,0)),2))</f>
        <v/>
      </c>
      <c r="K354" s="33">
        <f>IF(H354="","",ROUND(IF(L354="휴일근로",MIN(H354,8)*1.5+MAX(0,H354-8)*2,I354*1.5)+N(J354)*0.5,2))</f>
        <v/>
      </c>
      <c r="L354" s="18" t="n"/>
      <c r="M354" s="18" t="n"/>
      <c r="N354" s="42" t="inlineStr">
        <is>
          <t>주말</t>
        </is>
      </c>
    </row>
    <row r="355">
      <c r="A355" s="19" t="n">
        <v>46384</v>
      </c>
      <c r="B355" s="25">
        <f>IF(A355="","",CHOOSE(WEEKDAY(A355,2),"월","화","수","목","금","토","일"))</f>
        <v/>
      </c>
      <c r="C355" s="18" t="inlineStr">
        <is>
          <t>M001</t>
        </is>
      </c>
      <c r="D355" s="25">
        <f>IFERROR(IF(C355="","",INDEX(직원명부!$B$5:$B$24,MATCH(C355,직원명부!$A$5:$A$24,0))),"사번 확인")</f>
        <v/>
      </c>
      <c r="E355" s="34" t="n"/>
      <c r="F355" s="34" t="n"/>
      <c r="G355" s="28" t="n"/>
      <c r="H355" s="33">
        <f>IF(OR(E355="",F355=""),"",ROUND(MOD(F355-E355,1)*24-N(G355),2))</f>
        <v/>
      </c>
      <c r="I355" s="33">
        <f>IF(H355="","",ROUND(MAX(0,H355-8),2))</f>
        <v/>
      </c>
      <c r="J355" s="33">
        <f>IF(OR(E355="",F355=""),"",ROUND(IF(MOD(F355,1)&gt;=TIME(22,0,0),(MOD(F355,1)-TIME(22,0,0))*24,IF(MOD(F355,1)&lt;TIME(6,0,0),(MOD(F355,1)+1-TIME(22,0,0))*24,0)),2))</f>
        <v/>
      </c>
      <c r="K355" s="33">
        <f>IF(H355="","",ROUND(IF(L355="휴일근로",MIN(H355,8)*1.5+MAX(0,H355-8)*2,I355*1.5)+N(J355)*0.5,2))</f>
        <v/>
      </c>
      <c r="L355" s="18" t="n"/>
      <c r="M355" s="18" t="n"/>
      <c r="N355" s="22" t="n"/>
    </row>
    <row r="356">
      <c r="A356" s="19" t="n">
        <v>46385</v>
      </c>
      <c r="B356" s="25">
        <f>IF(A356="","",CHOOSE(WEEKDAY(A356,2),"월","화","수","목","금","토","일"))</f>
        <v/>
      </c>
      <c r="C356" s="18" t="inlineStr">
        <is>
          <t>M001</t>
        </is>
      </c>
      <c r="D356" s="25">
        <f>IFERROR(IF(C356="","",INDEX(직원명부!$B$5:$B$24,MATCH(C356,직원명부!$A$5:$A$24,0))),"사번 확인")</f>
        <v/>
      </c>
      <c r="E356" s="34" t="n"/>
      <c r="F356" s="34" t="n"/>
      <c r="G356" s="28" t="n"/>
      <c r="H356" s="33">
        <f>IF(OR(E356="",F356=""),"",ROUND(MOD(F356-E356,1)*24-N(G356),2))</f>
        <v/>
      </c>
      <c r="I356" s="33">
        <f>IF(H356="","",ROUND(MAX(0,H356-8),2))</f>
        <v/>
      </c>
      <c r="J356" s="33">
        <f>IF(OR(E356="",F356=""),"",ROUND(IF(MOD(F356,1)&gt;=TIME(22,0,0),(MOD(F356,1)-TIME(22,0,0))*24,IF(MOD(F356,1)&lt;TIME(6,0,0),(MOD(F356,1)+1-TIME(22,0,0))*24,0)),2))</f>
        <v/>
      </c>
      <c r="K356" s="33">
        <f>IF(H356="","",ROUND(IF(L356="휴일근로",MIN(H356,8)*1.5+MAX(0,H356-8)*2,I356*1.5)+N(J356)*0.5,2))</f>
        <v/>
      </c>
      <c r="L356" s="18" t="n"/>
      <c r="M356" s="18" t="n"/>
      <c r="N356" s="22" t="n"/>
    </row>
    <row r="357">
      <c r="A357" s="19" t="n">
        <v>46386</v>
      </c>
      <c r="B357" s="25">
        <f>IF(A357="","",CHOOSE(WEEKDAY(A357,2),"월","화","수","목","금","토","일"))</f>
        <v/>
      </c>
      <c r="C357" s="18" t="inlineStr">
        <is>
          <t>M001</t>
        </is>
      </c>
      <c r="D357" s="25">
        <f>IFERROR(IF(C357="","",INDEX(직원명부!$B$5:$B$24,MATCH(C357,직원명부!$A$5:$A$24,0))),"사번 확인")</f>
        <v/>
      </c>
      <c r="E357" s="34" t="n"/>
      <c r="F357" s="34" t="n"/>
      <c r="G357" s="28" t="n"/>
      <c r="H357" s="33">
        <f>IF(OR(E357="",F357=""),"",ROUND(MOD(F357-E357,1)*24-N(G357),2))</f>
        <v/>
      </c>
      <c r="I357" s="33">
        <f>IF(H357="","",ROUND(MAX(0,H357-8),2))</f>
        <v/>
      </c>
      <c r="J357" s="33">
        <f>IF(OR(E357="",F357=""),"",ROUND(IF(MOD(F357,1)&gt;=TIME(22,0,0),(MOD(F357,1)-TIME(22,0,0))*24,IF(MOD(F357,1)&lt;TIME(6,0,0),(MOD(F357,1)+1-TIME(22,0,0))*24,0)),2))</f>
        <v/>
      </c>
      <c r="K357" s="33">
        <f>IF(H357="","",ROUND(IF(L357="휴일근로",MIN(H357,8)*1.5+MAX(0,H357-8)*2,I357*1.5)+N(J357)*0.5,2))</f>
        <v/>
      </c>
      <c r="L357" s="18" t="n"/>
      <c r="M357" s="18" t="n"/>
      <c r="N357" s="22" t="n"/>
    </row>
    <row r="358">
      <c r="A358" s="19" t="n">
        <v>46387</v>
      </c>
      <c r="B358" s="25">
        <f>IF(A358="","",CHOOSE(WEEKDAY(A358,2),"월","화","수","목","금","토","일"))</f>
        <v/>
      </c>
      <c r="C358" s="18" t="inlineStr">
        <is>
          <t>M001</t>
        </is>
      </c>
      <c r="D358" s="25">
        <f>IFERROR(IF(C358="","",INDEX(직원명부!$B$5:$B$24,MATCH(C358,직원명부!$A$5:$A$24,0))),"사번 확인")</f>
        <v/>
      </c>
      <c r="E358" s="34" t="n"/>
      <c r="F358" s="34" t="n"/>
      <c r="G358" s="28" t="n"/>
      <c r="H358" s="33">
        <f>IF(OR(E358="",F358=""),"",ROUND(MOD(F358-E358,1)*24-N(G358),2))</f>
        <v/>
      </c>
      <c r="I358" s="33">
        <f>IF(H358="","",ROUND(MAX(0,H358-8),2))</f>
        <v/>
      </c>
      <c r="J358" s="33">
        <f>IF(OR(E358="",F358=""),"",ROUND(IF(MOD(F358,1)&gt;=TIME(22,0,0),(MOD(F358,1)-TIME(22,0,0))*24,IF(MOD(F358,1)&lt;TIME(6,0,0),(MOD(F358,1)+1-TIME(22,0,0))*24,0)),2))</f>
        <v/>
      </c>
      <c r="K358" s="33">
        <f>IF(H358="","",ROUND(IF(L358="휴일근로",MIN(H358,8)*1.5+MAX(0,H358-8)*2,I358*1.5)+N(J358)*0.5,2))</f>
        <v/>
      </c>
      <c r="L358" s="18" t="n"/>
      <c r="M358" s="18" t="n"/>
      <c r="N358" s="22" t="n"/>
    </row>
    <row r="359">
      <c r="A359" s="19" t="n"/>
      <c r="B359" s="25">
        <f>IF(A359="","",CHOOSE(WEEKDAY(A359,2),"월","화","수","목","금","토","일"))</f>
        <v/>
      </c>
      <c r="C359" s="18" t="n"/>
      <c r="D359" s="25">
        <f>IFERROR(IF(C359="","",INDEX(직원명부!$B$5:$B$24,MATCH(C359,직원명부!$A$5:$A$24,0))),"사번 확인")</f>
        <v/>
      </c>
      <c r="E359" s="34" t="n"/>
      <c r="F359" s="34" t="n"/>
      <c r="G359" s="28" t="n"/>
      <c r="H359" s="33">
        <f>IF(OR(E359="",F359=""),"",ROUND(MOD(F359-E359,1)*24-N(G359),2))</f>
        <v/>
      </c>
      <c r="I359" s="33">
        <f>IF(H359="","",ROUND(MAX(0,H359-8),2))</f>
        <v/>
      </c>
      <c r="J359" s="33">
        <f>IF(OR(E359="",F359=""),"",ROUND(IF(MOD(F359,1)&gt;=TIME(22,0,0),(MOD(F359,1)-TIME(22,0,0))*24,IF(MOD(F359,1)&lt;TIME(6,0,0),(MOD(F359,1)+1-TIME(22,0,0))*24,0)),2))</f>
        <v/>
      </c>
      <c r="K359" s="33">
        <f>IF(H359="","",ROUND(IF(L359="휴일근로",MIN(H359,8)*1.5+MAX(0,H359-8)*2,I359*1.5)+N(J359)*0.5,2))</f>
        <v/>
      </c>
      <c r="L359" s="18" t="n"/>
      <c r="M359" s="18" t="n"/>
      <c r="N359" s="22" t="n"/>
    </row>
    <row r="360">
      <c r="A360" s="19" t="n"/>
      <c r="B360" s="25">
        <f>IF(A360="","",CHOOSE(WEEKDAY(A360,2),"월","화","수","목","금","토","일"))</f>
        <v/>
      </c>
      <c r="C360" s="18" t="n"/>
      <c r="D360" s="25">
        <f>IFERROR(IF(C360="","",INDEX(직원명부!$B$5:$B$24,MATCH(C360,직원명부!$A$5:$A$24,0))),"사번 확인")</f>
        <v/>
      </c>
      <c r="E360" s="34" t="n"/>
      <c r="F360" s="34" t="n"/>
      <c r="G360" s="28" t="n"/>
      <c r="H360" s="33">
        <f>IF(OR(E360="",F360=""),"",ROUND(MOD(F360-E360,1)*24-N(G360),2))</f>
        <v/>
      </c>
      <c r="I360" s="33">
        <f>IF(H360="","",ROUND(MAX(0,H360-8),2))</f>
        <v/>
      </c>
      <c r="J360" s="33">
        <f>IF(OR(E360="",F360=""),"",ROUND(IF(MOD(F360,1)&gt;=TIME(22,0,0),(MOD(F360,1)-TIME(22,0,0))*24,IF(MOD(F360,1)&lt;TIME(6,0,0),(MOD(F360,1)+1-TIME(22,0,0))*24,0)),2))</f>
        <v/>
      </c>
      <c r="K360" s="33">
        <f>IF(H360="","",ROUND(IF(L360="휴일근로",MIN(H360,8)*1.5+MAX(0,H360-8)*2,I360*1.5)+N(J360)*0.5,2))</f>
        <v/>
      </c>
      <c r="L360" s="18" t="n"/>
      <c r="M360" s="18" t="n"/>
      <c r="N360" s="22" t="n"/>
    </row>
    <row r="361">
      <c r="A361" s="19" t="n"/>
      <c r="B361" s="25">
        <f>IF(A361="","",CHOOSE(WEEKDAY(A361,2),"월","화","수","목","금","토","일"))</f>
        <v/>
      </c>
      <c r="C361" s="18" t="n"/>
      <c r="D361" s="25">
        <f>IFERROR(IF(C361="","",INDEX(직원명부!$B$5:$B$24,MATCH(C361,직원명부!$A$5:$A$24,0))),"사번 확인")</f>
        <v/>
      </c>
      <c r="E361" s="34" t="n"/>
      <c r="F361" s="34" t="n"/>
      <c r="G361" s="28" t="n"/>
      <c r="H361" s="33">
        <f>IF(OR(E361="",F361=""),"",ROUND(MOD(F361-E361,1)*24-N(G361),2))</f>
        <v/>
      </c>
      <c r="I361" s="33">
        <f>IF(H361="","",ROUND(MAX(0,H361-8),2))</f>
        <v/>
      </c>
      <c r="J361" s="33">
        <f>IF(OR(E361="",F361=""),"",ROUND(IF(MOD(F361,1)&gt;=TIME(22,0,0),(MOD(F361,1)-TIME(22,0,0))*24,IF(MOD(F361,1)&lt;TIME(6,0,0),(MOD(F361,1)+1-TIME(22,0,0))*24,0)),2))</f>
        <v/>
      </c>
      <c r="K361" s="33">
        <f>IF(H361="","",ROUND(IF(L361="휴일근로",MIN(H361,8)*1.5+MAX(0,H361-8)*2,I361*1.5)+N(J361)*0.5,2))</f>
        <v/>
      </c>
      <c r="L361" s="18" t="n"/>
      <c r="M361" s="18" t="n"/>
      <c r="N361" s="22" t="n"/>
    </row>
    <row r="362">
      <c r="A362" s="19" t="n"/>
      <c r="B362" s="25">
        <f>IF(A362="","",CHOOSE(WEEKDAY(A362,2),"월","화","수","목","금","토","일"))</f>
        <v/>
      </c>
      <c r="C362" s="18" t="n"/>
      <c r="D362" s="25">
        <f>IFERROR(IF(C362="","",INDEX(직원명부!$B$5:$B$24,MATCH(C362,직원명부!$A$5:$A$24,0))),"사번 확인")</f>
        <v/>
      </c>
      <c r="E362" s="34" t="n"/>
      <c r="F362" s="34" t="n"/>
      <c r="G362" s="28" t="n"/>
      <c r="H362" s="33">
        <f>IF(OR(E362="",F362=""),"",ROUND(MOD(F362-E362,1)*24-N(G362),2))</f>
        <v/>
      </c>
      <c r="I362" s="33">
        <f>IF(H362="","",ROUND(MAX(0,H362-8),2))</f>
        <v/>
      </c>
      <c r="J362" s="33">
        <f>IF(OR(E362="",F362=""),"",ROUND(IF(MOD(F362,1)&gt;=TIME(22,0,0),(MOD(F362,1)-TIME(22,0,0))*24,IF(MOD(F362,1)&lt;TIME(6,0,0),(MOD(F362,1)+1-TIME(22,0,0))*24,0)),2))</f>
        <v/>
      </c>
      <c r="K362" s="33">
        <f>IF(H362="","",ROUND(IF(L362="휴일근로",MIN(H362,8)*1.5+MAX(0,H362-8)*2,I362*1.5)+N(J362)*0.5,2))</f>
        <v/>
      </c>
      <c r="L362" s="18" t="n"/>
      <c r="M362" s="18" t="n"/>
      <c r="N362" s="22" t="n"/>
    </row>
    <row r="363">
      <c r="A363" s="19" t="n"/>
      <c r="B363" s="25">
        <f>IF(A363="","",CHOOSE(WEEKDAY(A363,2),"월","화","수","목","금","토","일"))</f>
        <v/>
      </c>
      <c r="C363" s="18" t="n"/>
      <c r="D363" s="25">
        <f>IFERROR(IF(C363="","",INDEX(직원명부!$B$5:$B$24,MATCH(C363,직원명부!$A$5:$A$24,0))),"사번 확인")</f>
        <v/>
      </c>
      <c r="E363" s="34" t="n"/>
      <c r="F363" s="34" t="n"/>
      <c r="G363" s="28" t="n"/>
      <c r="H363" s="33">
        <f>IF(OR(E363="",F363=""),"",ROUND(MOD(F363-E363,1)*24-N(G363),2))</f>
        <v/>
      </c>
      <c r="I363" s="33">
        <f>IF(H363="","",ROUND(MAX(0,H363-8),2))</f>
        <v/>
      </c>
      <c r="J363" s="33">
        <f>IF(OR(E363="",F363=""),"",ROUND(IF(MOD(F363,1)&gt;=TIME(22,0,0),(MOD(F363,1)-TIME(22,0,0))*24,IF(MOD(F363,1)&lt;TIME(6,0,0),(MOD(F363,1)+1-TIME(22,0,0))*24,0)),2))</f>
        <v/>
      </c>
      <c r="K363" s="33">
        <f>IF(H363="","",ROUND(IF(L363="휴일근로",MIN(H363,8)*1.5+MAX(0,H363-8)*2,I363*1.5)+N(J363)*0.5,2))</f>
        <v/>
      </c>
      <c r="L363" s="18" t="n"/>
      <c r="M363" s="18" t="n"/>
      <c r="N363" s="22" t="n"/>
    </row>
    <row r="364">
      <c r="A364" s="19" t="n"/>
      <c r="B364" s="25">
        <f>IF(A364="","",CHOOSE(WEEKDAY(A364,2),"월","화","수","목","금","토","일"))</f>
        <v/>
      </c>
      <c r="C364" s="18" t="n"/>
      <c r="D364" s="25">
        <f>IFERROR(IF(C364="","",INDEX(직원명부!$B$5:$B$24,MATCH(C364,직원명부!$A$5:$A$24,0))),"사번 확인")</f>
        <v/>
      </c>
      <c r="E364" s="34" t="n"/>
      <c r="F364" s="34" t="n"/>
      <c r="G364" s="28" t="n"/>
      <c r="H364" s="33">
        <f>IF(OR(E364="",F364=""),"",ROUND(MOD(F364-E364,1)*24-N(G364),2))</f>
        <v/>
      </c>
      <c r="I364" s="33">
        <f>IF(H364="","",ROUND(MAX(0,H364-8),2))</f>
        <v/>
      </c>
      <c r="J364" s="33">
        <f>IF(OR(E364="",F364=""),"",ROUND(IF(MOD(F364,1)&gt;=TIME(22,0,0),(MOD(F364,1)-TIME(22,0,0))*24,IF(MOD(F364,1)&lt;TIME(6,0,0),(MOD(F364,1)+1-TIME(22,0,0))*24,0)),2))</f>
        <v/>
      </c>
      <c r="K364" s="33">
        <f>IF(H364="","",ROUND(IF(L364="휴일근로",MIN(H364,8)*1.5+MAX(0,H364-8)*2,I364*1.5)+N(J364)*0.5,2))</f>
        <v/>
      </c>
      <c r="L364" s="18" t="n"/>
      <c r="M364" s="18" t="n"/>
      <c r="N364" s="22" t="n"/>
    </row>
    <row r="365">
      <c r="A365" s="19" t="n"/>
      <c r="B365" s="25">
        <f>IF(A365="","",CHOOSE(WEEKDAY(A365,2),"월","화","수","목","금","토","일"))</f>
        <v/>
      </c>
      <c r="C365" s="18" t="n"/>
      <c r="D365" s="25">
        <f>IFERROR(IF(C365="","",INDEX(직원명부!$B$5:$B$24,MATCH(C365,직원명부!$A$5:$A$24,0))),"사번 확인")</f>
        <v/>
      </c>
      <c r="E365" s="34" t="n"/>
      <c r="F365" s="34" t="n"/>
      <c r="G365" s="28" t="n"/>
      <c r="H365" s="33">
        <f>IF(OR(E365="",F365=""),"",ROUND(MOD(F365-E365,1)*24-N(G365),2))</f>
        <v/>
      </c>
      <c r="I365" s="33">
        <f>IF(H365="","",ROUND(MAX(0,H365-8),2))</f>
        <v/>
      </c>
      <c r="J365" s="33">
        <f>IF(OR(E365="",F365=""),"",ROUND(IF(MOD(F365,1)&gt;=TIME(22,0,0),(MOD(F365,1)-TIME(22,0,0))*24,IF(MOD(F365,1)&lt;TIME(6,0,0),(MOD(F365,1)+1-TIME(22,0,0))*24,0)),2))</f>
        <v/>
      </c>
      <c r="K365" s="33">
        <f>IF(H365="","",ROUND(IF(L365="휴일근로",MIN(H365,8)*1.5+MAX(0,H365-8)*2,I365*1.5)+N(J365)*0.5,2))</f>
        <v/>
      </c>
      <c r="L365" s="18" t="n"/>
      <c r="M365" s="18" t="n"/>
      <c r="N365" s="22" t="n"/>
    </row>
    <row r="366">
      <c r="A366" s="19" t="n"/>
      <c r="B366" s="25">
        <f>IF(A366="","",CHOOSE(WEEKDAY(A366,2),"월","화","수","목","금","토","일"))</f>
        <v/>
      </c>
      <c r="C366" s="18" t="n"/>
      <c r="D366" s="25">
        <f>IFERROR(IF(C366="","",INDEX(직원명부!$B$5:$B$24,MATCH(C366,직원명부!$A$5:$A$24,0))),"사번 확인")</f>
        <v/>
      </c>
      <c r="E366" s="34" t="n"/>
      <c r="F366" s="34" t="n"/>
      <c r="G366" s="28" t="n"/>
      <c r="H366" s="33">
        <f>IF(OR(E366="",F366=""),"",ROUND(MOD(F366-E366,1)*24-N(G366),2))</f>
        <v/>
      </c>
      <c r="I366" s="33">
        <f>IF(H366="","",ROUND(MAX(0,H366-8),2))</f>
        <v/>
      </c>
      <c r="J366" s="33">
        <f>IF(OR(E366="",F366=""),"",ROUND(IF(MOD(F366,1)&gt;=TIME(22,0,0),(MOD(F366,1)-TIME(22,0,0))*24,IF(MOD(F366,1)&lt;TIME(6,0,0),(MOD(F366,1)+1-TIME(22,0,0))*24,0)),2))</f>
        <v/>
      </c>
      <c r="K366" s="33">
        <f>IF(H366="","",ROUND(IF(L366="휴일근로",MIN(H366,8)*1.5+MAX(0,H366-8)*2,I366*1.5)+N(J366)*0.5,2))</f>
        <v/>
      </c>
      <c r="L366" s="18" t="n"/>
      <c r="M366" s="18" t="n"/>
      <c r="N366" s="22" t="n"/>
    </row>
    <row r="367">
      <c r="A367" s="19" t="n"/>
      <c r="B367" s="25">
        <f>IF(A367="","",CHOOSE(WEEKDAY(A367,2),"월","화","수","목","금","토","일"))</f>
        <v/>
      </c>
      <c r="C367" s="18" t="n"/>
      <c r="D367" s="25">
        <f>IFERROR(IF(C367="","",INDEX(직원명부!$B$5:$B$24,MATCH(C367,직원명부!$A$5:$A$24,0))),"사번 확인")</f>
        <v/>
      </c>
      <c r="E367" s="34" t="n"/>
      <c r="F367" s="34" t="n"/>
      <c r="G367" s="28" t="n"/>
      <c r="H367" s="33">
        <f>IF(OR(E367="",F367=""),"",ROUND(MOD(F367-E367,1)*24-N(G367),2))</f>
        <v/>
      </c>
      <c r="I367" s="33">
        <f>IF(H367="","",ROUND(MAX(0,H367-8),2))</f>
        <v/>
      </c>
      <c r="J367" s="33">
        <f>IF(OR(E367="",F367=""),"",ROUND(IF(MOD(F367,1)&gt;=TIME(22,0,0),(MOD(F367,1)-TIME(22,0,0))*24,IF(MOD(F367,1)&lt;TIME(6,0,0),(MOD(F367,1)+1-TIME(22,0,0))*24,0)),2))</f>
        <v/>
      </c>
      <c r="K367" s="33">
        <f>IF(H367="","",ROUND(IF(L367="휴일근로",MIN(H367,8)*1.5+MAX(0,H367-8)*2,I367*1.5)+N(J367)*0.5,2))</f>
        <v/>
      </c>
      <c r="L367" s="18" t="n"/>
      <c r="M367" s="18" t="n"/>
      <c r="N367" s="22" t="n"/>
    </row>
    <row r="368">
      <c r="A368" s="19" t="n"/>
      <c r="B368" s="25">
        <f>IF(A368="","",CHOOSE(WEEKDAY(A368,2),"월","화","수","목","금","토","일"))</f>
        <v/>
      </c>
      <c r="C368" s="18" t="n"/>
      <c r="D368" s="25">
        <f>IFERROR(IF(C368="","",INDEX(직원명부!$B$5:$B$24,MATCH(C368,직원명부!$A$5:$A$24,0))),"사번 확인")</f>
        <v/>
      </c>
      <c r="E368" s="34" t="n"/>
      <c r="F368" s="34" t="n"/>
      <c r="G368" s="28" t="n"/>
      <c r="H368" s="33">
        <f>IF(OR(E368="",F368=""),"",ROUND(MOD(F368-E368,1)*24-N(G368),2))</f>
        <v/>
      </c>
      <c r="I368" s="33">
        <f>IF(H368="","",ROUND(MAX(0,H368-8),2))</f>
        <v/>
      </c>
      <c r="J368" s="33">
        <f>IF(OR(E368="",F368=""),"",ROUND(IF(MOD(F368,1)&gt;=TIME(22,0,0),(MOD(F368,1)-TIME(22,0,0))*24,IF(MOD(F368,1)&lt;TIME(6,0,0),(MOD(F368,1)+1-TIME(22,0,0))*24,0)),2))</f>
        <v/>
      </c>
      <c r="K368" s="33">
        <f>IF(H368="","",ROUND(IF(L368="휴일근로",MIN(H368,8)*1.5+MAX(0,H368-8)*2,I368*1.5)+N(J368)*0.5,2))</f>
        <v/>
      </c>
      <c r="L368" s="18" t="n"/>
      <c r="M368" s="18" t="n"/>
      <c r="N368" s="22" t="n"/>
    </row>
    <row r="369">
      <c r="A369" s="19" t="n"/>
      <c r="B369" s="25">
        <f>IF(A369="","",CHOOSE(WEEKDAY(A369,2),"월","화","수","목","금","토","일"))</f>
        <v/>
      </c>
      <c r="C369" s="18" t="n"/>
      <c r="D369" s="25">
        <f>IFERROR(IF(C369="","",INDEX(직원명부!$B$5:$B$24,MATCH(C369,직원명부!$A$5:$A$24,0))),"사번 확인")</f>
        <v/>
      </c>
      <c r="E369" s="34" t="n"/>
      <c r="F369" s="34" t="n"/>
      <c r="G369" s="28" t="n"/>
      <c r="H369" s="33">
        <f>IF(OR(E369="",F369=""),"",ROUND(MOD(F369-E369,1)*24-N(G369),2))</f>
        <v/>
      </c>
      <c r="I369" s="33">
        <f>IF(H369="","",ROUND(MAX(0,H369-8),2))</f>
        <v/>
      </c>
      <c r="J369" s="33">
        <f>IF(OR(E369="",F369=""),"",ROUND(IF(MOD(F369,1)&gt;=TIME(22,0,0),(MOD(F369,1)-TIME(22,0,0))*24,IF(MOD(F369,1)&lt;TIME(6,0,0),(MOD(F369,1)+1-TIME(22,0,0))*24,0)),2))</f>
        <v/>
      </c>
      <c r="K369" s="33">
        <f>IF(H369="","",ROUND(IF(L369="휴일근로",MIN(H369,8)*1.5+MAX(0,H369-8)*2,I369*1.5)+N(J369)*0.5,2))</f>
        <v/>
      </c>
      <c r="L369" s="18" t="n"/>
      <c r="M369" s="18" t="n"/>
      <c r="N369" s="22" t="n"/>
    </row>
    <row r="370">
      <c r="A370" s="19" t="n"/>
      <c r="B370" s="25">
        <f>IF(A370="","",CHOOSE(WEEKDAY(A370,2),"월","화","수","목","금","토","일"))</f>
        <v/>
      </c>
      <c r="C370" s="18" t="n"/>
      <c r="D370" s="25">
        <f>IFERROR(IF(C370="","",INDEX(직원명부!$B$5:$B$24,MATCH(C370,직원명부!$A$5:$A$24,0))),"사번 확인")</f>
        <v/>
      </c>
      <c r="E370" s="34" t="n"/>
      <c r="F370" s="34" t="n"/>
      <c r="G370" s="28" t="n"/>
      <c r="H370" s="33">
        <f>IF(OR(E370="",F370=""),"",ROUND(MOD(F370-E370,1)*24-N(G370),2))</f>
        <v/>
      </c>
      <c r="I370" s="33">
        <f>IF(H370="","",ROUND(MAX(0,H370-8),2))</f>
        <v/>
      </c>
      <c r="J370" s="33">
        <f>IF(OR(E370="",F370=""),"",ROUND(IF(MOD(F370,1)&gt;=TIME(22,0,0),(MOD(F370,1)-TIME(22,0,0))*24,IF(MOD(F370,1)&lt;TIME(6,0,0),(MOD(F370,1)+1-TIME(22,0,0))*24,0)),2))</f>
        <v/>
      </c>
      <c r="K370" s="33">
        <f>IF(H370="","",ROUND(IF(L370="휴일근로",MIN(H370,8)*1.5+MAX(0,H370-8)*2,I370*1.5)+N(J370)*0.5,2))</f>
        <v/>
      </c>
      <c r="L370" s="18" t="n"/>
      <c r="M370" s="18" t="n"/>
      <c r="N370" s="22" t="n"/>
    </row>
    <row r="371">
      <c r="A371" s="19" t="n"/>
      <c r="B371" s="25">
        <f>IF(A371="","",CHOOSE(WEEKDAY(A371,2),"월","화","수","목","금","토","일"))</f>
        <v/>
      </c>
      <c r="C371" s="18" t="n"/>
      <c r="D371" s="25">
        <f>IFERROR(IF(C371="","",INDEX(직원명부!$B$5:$B$24,MATCH(C371,직원명부!$A$5:$A$24,0))),"사번 확인")</f>
        <v/>
      </c>
      <c r="E371" s="34" t="n"/>
      <c r="F371" s="34" t="n"/>
      <c r="G371" s="28" t="n"/>
      <c r="H371" s="33">
        <f>IF(OR(E371="",F371=""),"",ROUND(MOD(F371-E371,1)*24-N(G371),2))</f>
        <v/>
      </c>
      <c r="I371" s="33">
        <f>IF(H371="","",ROUND(MAX(0,H371-8),2))</f>
        <v/>
      </c>
      <c r="J371" s="33">
        <f>IF(OR(E371="",F371=""),"",ROUND(IF(MOD(F371,1)&gt;=TIME(22,0,0),(MOD(F371,1)-TIME(22,0,0))*24,IF(MOD(F371,1)&lt;TIME(6,0,0),(MOD(F371,1)+1-TIME(22,0,0))*24,0)),2))</f>
        <v/>
      </c>
      <c r="K371" s="33">
        <f>IF(H371="","",ROUND(IF(L371="휴일근로",MIN(H371,8)*1.5+MAX(0,H371-8)*2,I371*1.5)+N(J371)*0.5,2))</f>
        <v/>
      </c>
      <c r="L371" s="18" t="n"/>
      <c r="M371" s="18" t="n"/>
      <c r="N371" s="22" t="n"/>
    </row>
    <row r="372">
      <c r="A372" s="19" t="n"/>
      <c r="B372" s="25">
        <f>IF(A372="","",CHOOSE(WEEKDAY(A372,2),"월","화","수","목","금","토","일"))</f>
        <v/>
      </c>
      <c r="C372" s="18" t="n"/>
      <c r="D372" s="25">
        <f>IFERROR(IF(C372="","",INDEX(직원명부!$B$5:$B$24,MATCH(C372,직원명부!$A$5:$A$24,0))),"사번 확인")</f>
        <v/>
      </c>
      <c r="E372" s="34" t="n"/>
      <c r="F372" s="34" t="n"/>
      <c r="G372" s="28" t="n"/>
      <c r="H372" s="33">
        <f>IF(OR(E372="",F372=""),"",ROUND(MOD(F372-E372,1)*24-N(G372),2))</f>
        <v/>
      </c>
      <c r="I372" s="33">
        <f>IF(H372="","",ROUND(MAX(0,H372-8),2))</f>
        <v/>
      </c>
      <c r="J372" s="33">
        <f>IF(OR(E372="",F372=""),"",ROUND(IF(MOD(F372,1)&gt;=TIME(22,0,0),(MOD(F372,1)-TIME(22,0,0))*24,IF(MOD(F372,1)&lt;TIME(6,0,0),(MOD(F372,1)+1-TIME(22,0,0))*24,0)),2))</f>
        <v/>
      </c>
      <c r="K372" s="33">
        <f>IF(H372="","",ROUND(IF(L372="휴일근로",MIN(H372,8)*1.5+MAX(0,H372-8)*2,I372*1.5)+N(J372)*0.5,2))</f>
        <v/>
      </c>
      <c r="L372" s="18" t="n"/>
      <c r="M372" s="18" t="n"/>
      <c r="N372" s="22" t="n"/>
    </row>
    <row r="373">
      <c r="A373" s="19" t="n"/>
      <c r="B373" s="25">
        <f>IF(A373="","",CHOOSE(WEEKDAY(A373,2),"월","화","수","목","금","토","일"))</f>
        <v/>
      </c>
      <c r="C373" s="18" t="n"/>
      <c r="D373" s="25">
        <f>IFERROR(IF(C373="","",INDEX(직원명부!$B$5:$B$24,MATCH(C373,직원명부!$A$5:$A$24,0))),"사번 확인")</f>
        <v/>
      </c>
      <c r="E373" s="34" t="n"/>
      <c r="F373" s="34" t="n"/>
      <c r="G373" s="28" t="n"/>
      <c r="H373" s="33">
        <f>IF(OR(E373="",F373=""),"",ROUND(MOD(F373-E373,1)*24-N(G373),2))</f>
        <v/>
      </c>
      <c r="I373" s="33">
        <f>IF(H373="","",ROUND(MAX(0,H373-8),2))</f>
        <v/>
      </c>
      <c r="J373" s="33">
        <f>IF(OR(E373="",F373=""),"",ROUND(IF(MOD(F373,1)&gt;=TIME(22,0,0),(MOD(F373,1)-TIME(22,0,0))*24,IF(MOD(F373,1)&lt;TIME(6,0,0),(MOD(F373,1)+1-TIME(22,0,0))*24,0)),2))</f>
        <v/>
      </c>
      <c r="K373" s="33">
        <f>IF(H373="","",ROUND(IF(L373="휴일근로",MIN(H373,8)*1.5+MAX(0,H373-8)*2,I373*1.5)+N(J373)*0.5,2))</f>
        <v/>
      </c>
      <c r="L373" s="18" t="n"/>
      <c r="M373" s="18" t="n"/>
      <c r="N373" s="22" t="n"/>
    </row>
    <row r="374">
      <c r="A374" s="19" t="n"/>
      <c r="B374" s="25">
        <f>IF(A374="","",CHOOSE(WEEKDAY(A374,2),"월","화","수","목","금","토","일"))</f>
        <v/>
      </c>
      <c r="C374" s="18" t="n"/>
      <c r="D374" s="25">
        <f>IFERROR(IF(C374="","",INDEX(직원명부!$B$5:$B$24,MATCH(C374,직원명부!$A$5:$A$24,0))),"사번 확인")</f>
        <v/>
      </c>
      <c r="E374" s="34" t="n"/>
      <c r="F374" s="34" t="n"/>
      <c r="G374" s="28" t="n"/>
      <c r="H374" s="33">
        <f>IF(OR(E374="",F374=""),"",ROUND(MOD(F374-E374,1)*24-N(G374),2))</f>
        <v/>
      </c>
      <c r="I374" s="33">
        <f>IF(H374="","",ROUND(MAX(0,H374-8),2))</f>
        <v/>
      </c>
      <c r="J374" s="33">
        <f>IF(OR(E374="",F374=""),"",ROUND(IF(MOD(F374,1)&gt;=TIME(22,0,0),(MOD(F374,1)-TIME(22,0,0))*24,IF(MOD(F374,1)&lt;TIME(6,0,0),(MOD(F374,1)+1-TIME(22,0,0))*24,0)),2))</f>
        <v/>
      </c>
      <c r="K374" s="33">
        <f>IF(H374="","",ROUND(IF(L374="휴일근로",MIN(H374,8)*1.5+MAX(0,H374-8)*2,I374*1.5)+N(J374)*0.5,2))</f>
        <v/>
      </c>
      <c r="L374" s="18" t="n"/>
      <c r="M374" s="18" t="n"/>
      <c r="N374" s="22" t="n"/>
    </row>
    <row r="375">
      <c r="A375" s="19" t="n"/>
      <c r="B375" s="25">
        <f>IF(A375="","",CHOOSE(WEEKDAY(A375,2),"월","화","수","목","금","토","일"))</f>
        <v/>
      </c>
      <c r="C375" s="18" t="n"/>
      <c r="D375" s="25">
        <f>IFERROR(IF(C375="","",INDEX(직원명부!$B$5:$B$24,MATCH(C375,직원명부!$A$5:$A$24,0))),"사번 확인")</f>
        <v/>
      </c>
      <c r="E375" s="34" t="n"/>
      <c r="F375" s="34" t="n"/>
      <c r="G375" s="28" t="n"/>
      <c r="H375" s="33">
        <f>IF(OR(E375="",F375=""),"",ROUND(MOD(F375-E375,1)*24-N(G375),2))</f>
        <v/>
      </c>
      <c r="I375" s="33">
        <f>IF(H375="","",ROUND(MAX(0,H375-8),2))</f>
        <v/>
      </c>
      <c r="J375" s="33">
        <f>IF(OR(E375="",F375=""),"",ROUND(IF(MOD(F375,1)&gt;=TIME(22,0,0),(MOD(F375,1)-TIME(22,0,0))*24,IF(MOD(F375,1)&lt;TIME(6,0,0),(MOD(F375,1)+1-TIME(22,0,0))*24,0)),2))</f>
        <v/>
      </c>
      <c r="K375" s="33">
        <f>IF(H375="","",ROUND(IF(L375="휴일근로",MIN(H375,8)*1.5+MAX(0,H375-8)*2,I375*1.5)+N(J375)*0.5,2))</f>
        <v/>
      </c>
      <c r="L375" s="18" t="n"/>
      <c r="M375" s="18" t="n"/>
      <c r="N375" s="22" t="n"/>
    </row>
    <row r="376">
      <c r="A376" s="19" t="n"/>
      <c r="B376" s="25">
        <f>IF(A376="","",CHOOSE(WEEKDAY(A376,2),"월","화","수","목","금","토","일"))</f>
        <v/>
      </c>
      <c r="C376" s="18" t="n"/>
      <c r="D376" s="25">
        <f>IFERROR(IF(C376="","",INDEX(직원명부!$B$5:$B$24,MATCH(C376,직원명부!$A$5:$A$24,0))),"사번 확인")</f>
        <v/>
      </c>
      <c r="E376" s="34" t="n"/>
      <c r="F376" s="34" t="n"/>
      <c r="G376" s="28" t="n"/>
      <c r="H376" s="33">
        <f>IF(OR(E376="",F376=""),"",ROUND(MOD(F376-E376,1)*24-N(G376),2))</f>
        <v/>
      </c>
      <c r="I376" s="33">
        <f>IF(H376="","",ROUND(MAX(0,H376-8),2))</f>
        <v/>
      </c>
      <c r="J376" s="33">
        <f>IF(OR(E376="",F376=""),"",ROUND(IF(MOD(F376,1)&gt;=TIME(22,0,0),(MOD(F376,1)-TIME(22,0,0))*24,IF(MOD(F376,1)&lt;TIME(6,0,0),(MOD(F376,1)+1-TIME(22,0,0))*24,0)),2))</f>
        <v/>
      </c>
      <c r="K376" s="33">
        <f>IF(H376="","",ROUND(IF(L376="휴일근로",MIN(H376,8)*1.5+MAX(0,H376-8)*2,I376*1.5)+N(J376)*0.5,2))</f>
        <v/>
      </c>
      <c r="L376" s="18" t="n"/>
      <c r="M376" s="18" t="n"/>
      <c r="N376" s="22" t="n"/>
    </row>
    <row r="377">
      <c r="A377" s="19" t="n"/>
      <c r="B377" s="25">
        <f>IF(A377="","",CHOOSE(WEEKDAY(A377,2),"월","화","수","목","금","토","일"))</f>
        <v/>
      </c>
      <c r="C377" s="18" t="n"/>
      <c r="D377" s="25">
        <f>IFERROR(IF(C377="","",INDEX(직원명부!$B$5:$B$24,MATCH(C377,직원명부!$A$5:$A$24,0))),"사번 확인")</f>
        <v/>
      </c>
      <c r="E377" s="34" t="n"/>
      <c r="F377" s="34" t="n"/>
      <c r="G377" s="28" t="n"/>
      <c r="H377" s="33">
        <f>IF(OR(E377="",F377=""),"",ROUND(MOD(F377-E377,1)*24-N(G377),2))</f>
        <v/>
      </c>
      <c r="I377" s="33">
        <f>IF(H377="","",ROUND(MAX(0,H377-8),2))</f>
        <v/>
      </c>
      <c r="J377" s="33">
        <f>IF(OR(E377="",F377=""),"",ROUND(IF(MOD(F377,1)&gt;=TIME(22,0,0),(MOD(F377,1)-TIME(22,0,0))*24,IF(MOD(F377,1)&lt;TIME(6,0,0),(MOD(F377,1)+1-TIME(22,0,0))*24,0)),2))</f>
        <v/>
      </c>
      <c r="K377" s="33">
        <f>IF(H377="","",ROUND(IF(L377="휴일근로",MIN(H377,8)*1.5+MAX(0,H377-8)*2,I377*1.5)+N(J377)*0.5,2))</f>
        <v/>
      </c>
      <c r="L377" s="18" t="n"/>
      <c r="M377" s="18" t="n"/>
      <c r="N377" s="22" t="n"/>
    </row>
    <row r="378">
      <c r="A378" s="19" t="n"/>
      <c r="B378" s="25">
        <f>IF(A378="","",CHOOSE(WEEKDAY(A378,2),"월","화","수","목","금","토","일"))</f>
        <v/>
      </c>
      <c r="C378" s="18" t="n"/>
      <c r="D378" s="25">
        <f>IFERROR(IF(C378="","",INDEX(직원명부!$B$5:$B$24,MATCH(C378,직원명부!$A$5:$A$24,0))),"사번 확인")</f>
        <v/>
      </c>
      <c r="E378" s="34" t="n"/>
      <c r="F378" s="34" t="n"/>
      <c r="G378" s="28" t="n"/>
      <c r="H378" s="33">
        <f>IF(OR(E378="",F378=""),"",ROUND(MOD(F378-E378,1)*24-N(G378),2))</f>
        <v/>
      </c>
      <c r="I378" s="33">
        <f>IF(H378="","",ROUND(MAX(0,H378-8),2))</f>
        <v/>
      </c>
      <c r="J378" s="33">
        <f>IF(OR(E378="",F378=""),"",ROUND(IF(MOD(F378,1)&gt;=TIME(22,0,0),(MOD(F378,1)-TIME(22,0,0))*24,IF(MOD(F378,1)&lt;TIME(6,0,0),(MOD(F378,1)+1-TIME(22,0,0))*24,0)),2))</f>
        <v/>
      </c>
      <c r="K378" s="33">
        <f>IF(H378="","",ROUND(IF(L378="휴일근로",MIN(H378,8)*1.5+MAX(0,H378-8)*2,I378*1.5)+N(J378)*0.5,2))</f>
        <v/>
      </c>
      <c r="L378" s="18" t="n"/>
      <c r="M378" s="18" t="n"/>
      <c r="N378" s="22" t="n"/>
    </row>
    <row r="379">
      <c r="A379" s="19" t="n"/>
      <c r="B379" s="25">
        <f>IF(A379="","",CHOOSE(WEEKDAY(A379,2),"월","화","수","목","금","토","일"))</f>
        <v/>
      </c>
      <c r="C379" s="18" t="n"/>
      <c r="D379" s="25">
        <f>IFERROR(IF(C379="","",INDEX(직원명부!$B$5:$B$24,MATCH(C379,직원명부!$A$5:$A$24,0))),"사번 확인")</f>
        <v/>
      </c>
      <c r="E379" s="34" t="n"/>
      <c r="F379" s="34" t="n"/>
      <c r="G379" s="28" t="n"/>
      <c r="H379" s="33">
        <f>IF(OR(E379="",F379=""),"",ROUND(MOD(F379-E379,1)*24-N(G379),2))</f>
        <v/>
      </c>
      <c r="I379" s="33">
        <f>IF(H379="","",ROUND(MAX(0,H379-8),2))</f>
        <v/>
      </c>
      <c r="J379" s="33">
        <f>IF(OR(E379="",F379=""),"",ROUND(IF(MOD(F379,1)&gt;=TIME(22,0,0),(MOD(F379,1)-TIME(22,0,0))*24,IF(MOD(F379,1)&lt;TIME(6,0,0),(MOD(F379,1)+1-TIME(22,0,0))*24,0)),2))</f>
        <v/>
      </c>
      <c r="K379" s="33">
        <f>IF(H379="","",ROUND(IF(L379="휴일근로",MIN(H379,8)*1.5+MAX(0,H379-8)*2,I379*1.5)+N(J379)*0.5,2))</f>
        <v/>
      </c>
      <c r="L379" s="18" t="n"/>
      <c r="M379" s="18" t="n"/>
      <c r="N379" s="22" t="n"/>
    </row>
    <row r="380">
      <c r="A380" s="19" t="n"/>
      <c r="B380" s="25">
        <f>IF(A380="","",CHOOSE(WEEKDAY(A380,2),"월","화","수","목","금","토","일"))</f>
        <v/>
      </c>
      <c r="C380" s="18" t="n"/>
      <c r="D380" s="25">
        <f>IFERROR(IF(C380="","",INDEX(직원명부!$B$5:$B$24,MATCH(C380,직원명부!$A$5:$A$24,0))),"사번 확인")</f>
        <v/>
      </c>
      <c r="E380" s="34" t="n"/>
      <c r="F380" s="34" t="n"/>
      <c r="G380" s="28" t="n"/>
      <c r="H380" s="33">
        <f>IF(OR(E380="",F380=""),"",ROUND(MOD(F380-E380,1)*24-N(G380),2))</f>
        <v/>
      </c>
      <c r="I380" s="33">
        <f>IF(H380="","",ROUND(MAX(0,H380-8),2))</f>
        <v/>
      </c>
      <c r="J380" s="33">
        <f>IF(OR(E380="",F380=""),"",ROUND(IF(MOD(F380,1)&gt;=TIME(22,0,0),(MOD(F380,1)-TIME(22,0,0))*24,IF(MOD(F380,1)&lt;TIME(6,0,0),(MOD(F380,1)+1-TIME(22,0,0))*24,0)),2))</f>
        <v/>
      </c>
      <c r="K380" s="33">
        <f>IF(H380="","",ROUND(IF(L380="휴일근로",MIN(H380,8)*1.5+MAX(0,H380-8)*2,I380*1.5)+N(J380)*0.5,2))</f>
        <v/>
      </c>
      <c r="L380" s="18" t="n"/>
      <c r="M380" s="18" t="n"/>
      <c r="N380" s="22" t="n"/>
    </row>
    <row r="381">
      <c r="A381" s="19" t="n"/>
      <c r="B381" s="25">
        <f>IF(A381="","",CHOOSE(WEEKDAY(A381,2),"월","화","수","목","금","토","일"))</f>
        <v/>
      </c>
      <c r="C381" s="18" t="n"/>
      <c r="D381" s="25">
        <f>IFERROR(IF(C381="","",INDEX(직원명부!$B$5:$B$24,MATCH(C381,직원명부!$A$5:$A$24,0))),"사번 확인")</f>
        <v/>
      </c>
      <c r="E381" s="34" t="n"/>
      <c r="F381" s="34" t="n"/>
      <c r="G381" s="28" t="n"/>
      <c r="H381" s="33">
        <f>IF(OR(E381="",F381=""),"",ROUND(MOD(F381-E381,1)*24-N(G381),2))</f>
        <v/>
      </c>
      <c r="I381" s="33">
        <f>IF(H381="","",ROUND(MAX(0,H381-8),2))</f>
        <v/>
      </c>
      <c r="J381" s="33">
        <f>IF(OR(E381="",F381=""),"",ROUND(IF(MOD(F381,1)&gt;=TIME(22,0,0),(MOD(F381,1)-TIME(22,0,0))*24,IF(MOD(F381,1)&lt;TIME(6,0,0),(MOD(F381,1)+1-TIME(22,0,0))*24,0)),2))</f>
        <v/>
      </c>
      <c r="K381" s="33">
        <f>IF(H381="","",ROUND(IF(L381="휴일근로",MIN(H381,8)*1.5+MAX(0,H381-8)*2,I381*1.5)+N(J381)*0.5,2))</f>
        <v/>
      </c>
      <c r="L381" s="18" t="n"/>
      <c r="M381" s="18" t="n"/>
      <c r="N381" s="22" t="n"/>
    </row>
    <row r="382">
      <c r="A382" s="19" t="n"/>
      <c r="B382" s="25">
        <f>IF(A382="","",CHOOSE(WEEKDAY(A382,2),"월","화","수","목","금","토","일"))</f>
        <v/>
      </c>
      <c r="C382" s="18" t="n"/>
      <c r="D382" s="25">
        <f>IFERROR(IF(C382="","",INDEX(직원명부!$B$5:$B$24,MATCH(C382,직원명부!$A$5:$A$24,0))),"사번 확인")</f>
        <v/>
      </c>
      <c r="E382" s="34" t="n"/>
      <c r="F382" s="34" t="n"/>
      <c r="G382" s="28" t="n"/>
      <c r="H382" s="33">
        <f>IF(OR(E382="",F382=""),"",ROUND(MOD(F382-E382,1)*24-N(G382),2))</f>
        <v/>
      </c>
      <c r="I382" s="33">
        <f>IF(H382="","",ROUND(MAX(0,H382-8),2))</f>
        <v/>
      </c>
      <c r="J382" s="33">
        <f>IF(OR(E382="",F382=""),"",ROUND(IF(MOD(F382,1)&gt;=TIME(22,0,0),(MOD(F382,1)-TIME(22,0,0))*24,IF(MOD(F382,1)&lt;TIME(6,0,0),(MOD(F382,1)+1-TIME(22,0,0))*24,0)),2))</f>
        <v/>
      </c>
      <c r="K382" s="33">
        <f>IF(H382="","",ROUND(IF(L382="휴일근로",MIN(H382,8)*1.5+MAX(0,H382-8)*2,I382*1.5)+N(J382)*0.5,2))</f>
        <v/>
      </c>
      <c r="L382" s="18" t="n"/>
      <c r="M382" s="18" t="n"/>
      <c r="N382" s="22" t="n"/>
    </row>
    <row r="383">
      <c r="A383" s="19" t="n"/>
      <c r="B383" s="25">
        <f>IF(A383="","",CHOOSE(WEEKDAY(A383,2),"월","화","수","목","금","토","일"))</f>
        <v/>
      </c>
      <c r="C383" s="18" t="n"/>
      <c r="D383" s="25">
        <f>IFERROR(IF(C383="","",INDEX(직원명부!$B$5:$B$24,MATCH(C383,직원명부!$A$5:$A$24,0))),"사번 확인")</f>
        <v/>
      </c>
      <c r="E383" s="34" t="n"/>
      <c r="F383" s="34" t="n"/>
      <c r="G383" s="28" t="n"/>
      <c r="H383" s="33">
        <f>IF(OR(E383="",F383=""),"",ROUND(MOD(F383-E383,1)*24-N(G383),2))</f>
        <v/>
      </c>
      <c r="I383" s="33">
        <f>IF(H383="","",ROUND(MAX(0,H383-8),2))</f>
        <v/>
      </c>
      <c r="J383" s="33">
        <f>IF(OR(E383="",F383=""),"",ROUND(IF(MOD(F383,1)&gt;=TIME(22,0,0),(MOD(F383,1)-TIME(22,0,0))*24,IF(MOD(F383,1)&lt;TIME(6,0,0),(MOD(F383,1)+1-TIME(22,0,0))*24,0)),2))</f>
        <v/>
      </c>
      <c r="K383" s="33">
        <f>IF(H383="","",ROUND(IF(L383="휴일근로",MIN(H383,8)*1.5+MAX(0,H383-8)*2,I383*1.5)+N(J383)*0.5,2))</f>
        <v/>
      </c>
      <c r="L383" s="18" t="n"/>
      <c r="M383" s="18" t="n"/>
      <c r="N383" s="22" t="n"/>
    </row>
    <row r="384">
      <c r="A384" s="19" t="n"/>
      <c r="B384" s="25">
        <f>IF(A384="","",CHOOSE(WEEKDAY(A384,2),"월","화","수","목","금","토","일"))</f>
        <v/>
      </c>
      <c r="C384" s="18" t="n"/>
      <c r="D384" s="25">
        <f>IFERROR(IF(C384="","",INDEX(직원명부!$B$5:$B$24,MATCH(C384,직원명부!$A$5:$A$24,0))),"사번 확인")</f>
        <v/>
      </c>
      <c r="E384" s="34" t="n"/>
      <c r="F384" s="34" t="n"/>
      <c r="G384" s="28" t="n"/>
      <c r="H384" s="33">
        <f>IF(OR(E384="",F384=""),"",ROUND(MOD(F384-E384,1)*24-N(G384),2))</f>
        <v/>
      </c>
      <c r="I384" s="33">
        <f>IF(H384="","",ROUND(MAX(0,H384-8),2))</f>
        <v/>
      </c>
      <c r="J384" s="33">
        <f>IF(OR(E384="",F384=""),"",ROUND(IF(MOD(F384,1)&gt;=TIME(22,0,0),(MOD(F384,1)-TIME(22,0,0))*24,IF(MOD(F384,1)&lt;TIME(6,0,0),(MOD(F384,1)+1-TIME(22,0,0))*24,0)),2))</f>
        <v/>
      </c>
      <c r="K384" s="33">
        <f>IF(H384="","",ROUND(IF(L384="휴일근로",MIN(H384,8)*1.5+MAX(0,H384-8)*2,I384*1.5)+N(J384)*0.5,2))</f>
        <v/>
      </c>
      <c r="L384" s="18" t="n"/>
      <c r="M384" s="18" t="n"/>
      <c r="N384" s="22" t="n"/>
    </row>
    <row r="385">
      <c r="A385" s="19" t="n"/>
      <c r="B385" s="25">
        <f>IF(A385="","",CHOOSE(WEEKDAY(A385,2),"월","화","수","목","금","토","일"))</f>
        <v/>
      </c>
      <c r="C385" s="18" t="n"/>
      <c r="D385" s="25">
        <f>IFERROR(IF(C385="","",INDEX(직원명부!$B$5:$B$24,MATCH(C385,직원명부!$A$5:$A$24,0))),"사번 확인")</f>
        <v/>
      </c>
      <c r="E385" s="34" t="n"/>
      <c r="F385" s="34" t="n"/>
      <c r="G385" s="28" t="n"/>
      <c r="H385" s="33">
        <f>IF(OR(E385="",F385=""),"",ROUND(MOD(F385-E385,1)*24-N(G385),2))</f>
        <v/>
      </c>
      <c r="I385" s="33">
        <f>IF(H385="","",ROUND(MAX(0,H385-8),2))</f>
        <v/>
      </c>
      <c r="J385" s="33">
        <f>IF(OR(E385="",F385=""),"",ROUND(IF(MOD(F385,1)&gt;=TIME(22,0,0),(MOD(F385,1)-TIME(22,0,0))*24,IF(MOD(F385,1)&lt;TIME(6,0,0),(MOD(F385,1)+1-TIME(22,0,0))*24,0)),2))</f>
        <v/>
      </c>
      <c r="K385" s="33">
        <f>IF(H385="","",ROUND(IF(L385="휴일근로",MIN(H385,8)*1.5+MAX(0,H385-8)*2,I385*1.5)+N(J385)*0.5,2))</f>
        <v/>
      </c>
      <c r="L385" s="18" t="n"/>
      <c r="M385" s="18" t="n"/>
      <c r="N385" s="22" t="n"/>
    </row>
    <row r="386">
      <c r="A386" s="19" t="n"/>
      <c r="B386" s="25">
        <f>IF(A386="","",CHOOSE(WEEKDAY(A386,2),"월","화","수","목","금","토","일"))</f>
        <v/>
      </c>
      <c r="C386" s="18" t="n"/>
      <c r="D386" s="25">
        <f>IFERROR(IF(C386="","",INDEX(직원명부!$B$5:$B$24,MATCH(C386,직원명부!$A$5:$A$24,0))),"사번 확인")</f>
        <v/>
      </c>
      <c r="E386" s="34" t="n"/>
      <c r="F386" s="34" t="n"/>
      <c r="G386" s="28" t="n"/>
      <c r="H386" s="33">
        <f>IF(OR(E386="",F386=""),"",ROUND(MOD(F386-E386,1)*24-N(G386),2))</f>
        <v/>
      </c>
      <c r="I386" s="33">
        <f>IF(H386="","",ROUND(MAX(0,H386-8),2))</f>
        <v/>
      </c>
      <c r="J386" s="33">
        <f>IF(OR(E386="",F386=""),"",ROUND(IF(MOD(F386,1)&gt;=TIME(22,0,0),(MOD(F386,1)-TIME(22,0,0))*24,IF(MOD(F386,1)&lt;TIME(6,0,0),(MOD(F386,1)+1-TIME(22,0,0))*24,0)),2))</f>
        <v/>
      </c>
      <c r="K386" s="33">
        <f>IF(H386="","",ROUND(IF(L386="휴일근로",MIN(H386,8)*1.5+MAX(0,H386-8)*2,I386*1.5)+N(J386)*0.5,2))</f>
        <v/>
      </c>
      <c r="L386" s="18" t="n"/>
      <c r="M386" s="18" t="n"/>
      <c r="N386" s="22" t="n"/>
    </row>
    <row r="387">
      <c r="A387" s="19" t="n"/>
      <c r="B387" s="25">
        <f>IF(A387="","",CHOOSE(WEEKDAY(A387,2),"월","화","수","목","금","토","일"))</f>
        <v/>
      </c>
      <c r="C387" s="18" t="n"/>
      <c r="D387" s="25">
        <f>IFERROR(IF(C387="","",INDEX(직원명부!$B$5:$B$24,MATCH(C387,직원명부!$A$5:$A$24,0))),"사번 확인")</f>
        <v/>
      </c>
      <c r="E387" s="34" t="n"/>
      <c r="F387" s="34" t="n"/>
      <c r="G387" s="28" t="n"/>
      <c r="H387" s="33">
        <f>IF(OR(E387="",F387=""),"",ROUND(MOD(F387-E387,1)*24-N(G387),2))</f>
        <v/>
      </c>
      <c r="I387" s="33">
        <f>IF(H387="","",ROUND(MAX(0,H387-8),2))</f>
        <v/>
      </c>
      <c r="J387" s="33">
        <f>IF(OR(E387="",F387=""),"",ROUND(IF(MOD(F387,1)&gt;=TIME(22,0,0),(MOD(F387,1)-TIME(22,0,0))*24,IF(MOD(F387,1)&lt;TIME(6,0,0),(MOD(F387,1)+1-TIME(22,0,0))*24,0)),2))</f>
        <v/>
      </c>
      <c r="K387" s="33">
        <f>IF(H387="","",ROUND(IF(L387="휴일근로",MIN(H387,8)*1.5+MAX(0,H387-8)*2,I387*1.5)+N(J387)*0.5,2))</f>
        <v/>
      </c>
      <c r="L387" s="18" t="n"/>
      <c r="M387" s="18" t="n"/>
      <c r="N387" s="22" t="n"/>
    </row>
    <row r="388">
      <c r="A388" s="19" t="n"/>
      <c r="B388" s="25">
        <f>IF(A388="","",CHOOSE(WEEKDAY(A388,2),"월","화","수","목","금","토","일"))</f>
        <v/>
      </c>
      <c r="C388" s="18" t="n"/>
      <c r="D388" s="25">
        <f>IFERROR(IF(C388="","",INDEX(직원명부!$B$5:$B$24,MATCH(C388,직원명부!$A$5:$A$24,0))),"사번 확인")</f>
        <v/>
      </c>
      <c r="E388" s="34" t="n"/>
      <c r="F388" s="34" t="n"/>
      <c r="G388" s="28" t="n"/>
      <c r="H388" s="33">
        <f>IF(OR(E388="",F388=""),"",ROUND(MOD(F388-E388,1)*24-N(G388),2))</f>
        <v/>
      </c>
      <c r="I388" s="33">
        <f>IF(H388="","",ROUND(MAX(0,H388-8),2))</f>
        <v/>
      </c>
      <c r="J388" s="33">
        <f>IF(OR(E388="",F388=""),"",ROUND(IF(MOD(F388,1)&gt;=TIME(22,0,0),(MOD(F388,1)-TIME(22,0,0))*24,IF(MOD(F388,1)&lt;TIME(6,0,0),(MOD(F388,1)+1-TIME(22,0,0))*24,0)),2))</f>
        <v/>
      </c>
      <c r="K388" s="33">
        <f>IF(H388="","",ROUND(IF(L388="휴일근로",MIN(H388,8)*1.5+MAX(0,H388-8)*2,I388*1.5)+N(J388)*0.5,2))</f>
        <v/>
      </c>
      <c r="L388" s="18" t="n"/>
      <c r="M388" s="18" t="n"/>
      <c r="N388" s="22" t="n"/>
    </row>
    <row r="389">
      <c r="A389" s="19" t="n"/>
      <c r="B389" s="25">
        <f>IF(A389="","",CHOOSE(WEEKDAY(A389,2),"월","화","수","목","금","토","일"))</f>
        <v/>
      </c>
      <c r="C389" s="18" t="n"/>
      <c r="D389" s="25">
        <f>IFERROR(IF(C389="","",INDEX(직원명부!$B$5:$B$24,MATCH(C389,직원명부!$A$5:$A$24,0))),"사번 확인")</f>
        <v/>
      </c>
      <c r="E389" s="34" t="n"/>
      <c r="F389" s="34" t="n"/>
      <c r="G389" s="28" t="n"/>
      <c r="H389" s="33">
        <f>IF(OR(E389="",F389=""),"",ROUND(MOD(F389-E389,1)*24-N(G389),2))</f>
        <v/>
      </c>
      <c r="I389" s="33">
        <f>IF(H389="","",ROUND(MAX(0,H389-8),2))</f>
        <v/>
      </c>
      <c r="J389" s="33">
        <f>IF(OR(E389="",F389=""),"",ROUND(IF(MOD(F389,1)&gt;=TIME(22,0,0),(MOD(F389,1)-TIME(22,0,0))*24,IF(MOD(F389,1)&lt;TIME(6,0,0),(MOD(F389,1)+1-TIME(22,0,0))*24,0)),2))</f>
        <v/>
      </c>
      <c r="K389" s="33">
        <f>IF(H389="","",ROUND(IF(L389="휴일근로",MIN(H389,8)*1.5+MAX(0,H389-8)*2,I389*1.5)+N(J389)*0.5,2))</f>
        <v/>
      </c>
      <c r="L389" s="18" t="n"/>
      <c r="M389" s="18" t="n"/>
      <c r="N389" s="22" t="n"/>
    </row>
    <row r="390">
      <c r="A390" s="19" t="n"/>
      <c r="B390" s="25">
        <f>IF(A390="","",CHOOSE(WEEKDAY(A390,2),"월","화","수","목","금","토","일"))</f>
        <v/>
      </c>
      <c r="C390" s="18" t="n"/>
      <c r="D390" s="25">
        <f>IFERROR(IF(C390="","",INDEX(직원명부!$B$5:$B$24,MATCH(C390,직원명부!$A$5:$A$24,0))),"사번 확인")</f>
        <v/>
      </c>
      <c r="E390" s="34" t="n"/>
      <c r="F390" s="34" t="n"/>
      <c r="G390" s="28" t="n"/>
      <c r="H390" s="33">
        <f>IF(OR(E390="",F390=""),"",ROUND(MOD(F390-E390,1)*24-N(G390),2))</f>
        <v/>
      </c>
      <c r="I390" s="33">
        <f>IF(H390="","",ROUND(MAX(0,H390-8),2))</f>
        <v/>
      </c>
      <c r="J390" s="33">
        <f>IF(OR(E390="",F390=""),"",ROUND(IF(MOD(F390,1)&gt;=TIME(22,0,0),(MOD(F390,1)-TIME(22,0,0))*24,IF(MOD(F390,1)&lt;TIME(6,0,0),(MOD(F390,1)+1-TIME(22,0,0))*24,0)),2))</f>
        <v/>
      </c>
      <c r="K390" s="33">
        <f>IF(H390="","",ROUND(IF(L390="휴일근로",MIN(H390,8)*1.5+MAX(0,H390-8)*2,I390*1.5)+N(J390)*0.5,2))</f>
        <v/>
      </c>
      <c r="L390" s="18" t="n"/>
      <c r="M390" s="18" t="n"/>
      <c r="N390" s="22" t="n"/>
    </row>
    <row r="391">
      <c r="A391" s="19" t="n"/>
      <c r="B391" s="25">
        <f>IF(A391="","",CHOOSE(WEEKDAY(A391,2),"월","화","수","목","금","토","일"))</f>
        <v/>
      </c>
      <c r="C391" s="18" t="n"/>
      <c r="D391" s="25">
        <f>IFERROR(IF(C391="","",INDEX(직원명부!$B$5:$B$24,MATCH(C391,직원명부!$A$5:$A$24,0))),"사번 확인")</f>
        <v/>
      </c>
      <c r="E391" s="34" t="n"/>
      <c r="F391" s="34" t="n"/>
      <c r="G391" s="28" t="n"/>
      <c r="H391" s="33">
        <f>IF(OR(E391="",F391=""),"",ROUND(MOD(F391-E391,1)*24-N(G391),2))</f>
        <v/>
      </c>
      <c r="I391" s="33">
        <f>IF(H391="","",ROUND(MAX(0,H391-8),2))</f>
        <v/>
      </c>
      <c r="J391" s="33">
        <f>IF(OR(E391="",F391=""),"",ROUND(IF(MOD(F391,1)&gt;=TIME(22,0,0),(MOD(F391,1)-TIME(22,0,0))*24,IF(MOD(F391,1)&lt;TIME(6,0,0),(MOD(F391,1)+1-TIME(22,0,0))*24,0)),2))</f>
        <v/>
      </c>
      <c r="K391" s="33">
        <f>IF(H391="","",ROUND(IF(L391="휴일근로",MIN(H391,8)*1.5+MAX(0,H391-8)*2,I391*1.5)+N(J391)*0.5,2))</f>
        <v/>
      </c>
      <c r="L391" s="18" t="n"/>
      <c r="M391" s="18" t="n"/>
      <c r="N391" s="22" t="n"/>
    </row>
    <row r="392">
      <c r="A392" s="19" t="n"/>
      <c r="B392" s="25">
        <f>IF(A392="","",CHOOSE(WEEKDAY(A392,2),"월","화","수","목","금","토","일"))</f>
        <v/>
      </c>
      <c r="C392" s="18" t="n"/>
      <c r="D392" s="25">
        <f>IFERROR(IF(C392="","",INDEX(직원명부!$B$5:$B$24,MATCH(C392,직원명부!$A$5:$A$24,0))),"사번 확인")</f>
        <v/>
      </c>
      <c r="E392" s="34" t="n"/>
      <c r="F392" s="34" t="n"/>
      <c r="G392" s="28" t="n"/>
      <c r="H392" s="33">
        <f>IF(OR(E392="",F392=""),"",ROUND(MOD(F392-E392,1)*24-N(G392),2))</f>
        <v/>
      </c>
      <c r="I392" s="33">
        <f>IF(H392="","",ROUND(MAX(0,H392-8),2))</f>
        <v/>
      </c>
      <c r="J392" s="33">
        <f>IF(OR(E392="",F392=""),"",ROUND(IF(MOD(F392,1)&gt;=TIME(22,0,0),(MOD(F392,1)-TIME(22,0,0))*24,IF(MOD(F392,1)&lt;TIME(6,0,0),(MOD(F392,1)+1-TIME(22,0,0))*24,0)),2))</f>
        <v/>
      </c>
      <c r="K392" s="33">
        <f>IF(H392="","",ROUND(IF(L392="휴일근로",MIN(H392,8)*1.5+MAX(0,H392-8)*2,I392*1.5)+N(J392)*0.5,2))</f>
        <v/>
      </c>
      <c r="L392" s="18" t="n"/>
      <c r="M392" s="18" t="n"/>
      <c r="N392" s="22" t="n"/>
    </row>
    <row r="393">
      <c r="A393" s="19" t="n"/>
      <c r="B393" s="25">
        <f>IF(A393="","",CHOOSE(WEEKDAY(A393,2),"월","화","수","목","금","토","일"))</f>
        <v/>
      </c>
      <c r="C393" s="18" t="n"/>
      <c r="D393" s="25">
        <f>IFERROR(IF(C393="","",INDEX(직원명부!$B$5:$B$24,MATCH(C393,직원명부!$A$5:$A$24,0))),"사번 확인")</f>
        <v/>
      </c>
      <c r="E393" s="34" t="n"/>
      <c r="F393" s="34" t="n"/>
      <c r="G393" s="28" t="n"/>
      <c r="H393" s="33">
        <f>IF(OR(E393="",F393=""),"",ROUND(MOD(F393-E393,1)*24-N(G393),2))</f>
        <v/>
      </c>
      <c r="I393" s="33">
        <f>IF(H393="","",ROUND(MAX(0,H393-8),2))</f>
        <v/>
      </c>
      <c r="J393" s="33">
        <f>IF(OR(E393="",F393=""),"",ROUND(IF(MOD(F393,1)&gt;=TIME(22,0,0),(MOD(F393,1)-TIME(22,0,0))*24,IF(MOD(F393,1)&lt;TIME(6,0,0),(MOD(F393,1)+1-TIME(22,0,0))*24,0)),2))</f>
        <v/>
      </c>
      <c r="K393" s="33">
        <f>IF(H393="","",ROUND(IF(L393="휴일근로",MIN(H393,8)*1.5+MAX(0,H393-8)*2,I393*1.5)+N(J393)*0.5,2))</f>
        <v/>
      </c>
      <c r="L393" s="18" t="n"/>
      <c r="M393" s="18" t="n"/>
      <c r="N393" s="22" t="n"/>
    </row>
    <row r="394">
      <c r="A394" s="19" t="n"/>
      <c r="B394" s="25">
        <f>IF(A394="","",CHOOSE(WEEKDAY(A394,2),"월","화","수","목","금","토","일"))</f>
        <v/>
      </c>
      <c r="C394" s="18" t="n"/>
      <c r="D394" s="25">
        <f>IFERROR(IF(C394="","",INDEX(직원명부!$B$5:$B$24,MATCH(C394,직원명부!$A$5:$A$24,0))),"사번 확인")</f>
        <v/>
      </c>
      <c r="E394" s="34" t="n"/>
      <c r="F394" s="34" t="n"/>
      <c r="G394" s="28" t="n"/>
      <c r="H394" s="33">
        <f>IF(OR(E394="",F394=""),"",ROUND(MOD(F394-E394,1)*24-N(G394),2))</f>
        <v/>
      </c>
      <c r="I394" s="33">
        <f>IF(H394="","",ROUND(MAX(0,H394-8),2))</f>
        <v/>
      </c>
      <c r="J394" s="33">
        <f>IF(OR(E394="",F394=""),"",ROUND(IF(MOD(F394,1)&gt;=TIME(22,0,0),(MOD(F394,1)-TIME(22,0,0))*24,IF(MOD(F394,1)&lt;TIME(6,0,0),(MOD(F394,1)+1-TIME(22,0,0))*24,0)),2))</f>
        <v/>
      </c>
      <c r="K394" s="33">
        <f>IF(H394="","",ROUND(IF(L394="휴일근로",MIN(H394,8)*1.5+MAX(0,H394-8)*2,I394*1.5)+N(J394)*0.5,2))</f>
        <v/>
      </c>
      <c r="L394" s="18" t="n"/>
      <c r="M394" s="18" t="n"/>
      <c r="N394" s="22" t="n"/>
    </row>
    <row r="395">
      <c r="A395" s="19" t="n"/>
      <c r="B395" s="25">
        <f>IF(A395="","",CHOOSE(WEEKDAY(A395,2),"월","화","수","목","금","토","일"))</f>
        <v/>
      </c>
      <c r="C395" s="18" t="n"/>
      <c r="D395" s="25">
        <f>IFERROR(IF(C395="","",INDEX(직원명부!$B$5:$B$24,MATCH(C395,직원명부!$A$5:$A$24,0))),"사번 확인")</f>
        <v/>
      </c>
      <c r="E395" s="34" t="n"/>
      <c r="F395" s="34" t="n"/>
      <c r="G395" s="28" t="n"/>
      <c r="H395" s="33">
        <f>IF(OR(E395="",F395=""),"",ROUND(MOD(F395-E395,1)*24-N(G395),2))</f>
        <v/>
      </c>
      <c r="I395" s="33">
        <f>IF(H395="","",ROUND(MAX(0,H395-8),2))</f>
        <v/>
      </c>
      <c r="J395" s="33">
        <f>IF(OR(E395="",F395=""),"",ROUND(IF(MOD(F395,1)&gt;=TIME(22,0,0),(MOD(F395,1)-TIME(22,0,0))*24,IF(MOD(F395,1)&lt;TIME(6,0,0),(MOD(F395,1)+1-TIME(22,0,0))*24,0)),2))</f>
        <v/>
      </c>
      <c r="K395" s="33">
        <f>IF(H395="","",ROUND(IF(L395="휴일근로",MIN(H395,8)*1.5+MAX(0,H395-8)*2,I395*1.5)+N(J395)*0.5,2))</f>
        <v/>
      </c>
      <c r="L395" s="18" t="n"/>
      <c r="M395" s="18" t="n"/>
      <c r="N395" s="22" t="n"/>
    </row>
    <row r="396">
      <c r="A396" s="19" t="n"/>
      <c r="B396" s="25">
        <f>IF(A396="","",CHOOSE(WEEKDAY(A396,2),"월","화","수","목","금","토","일"))</f>
        <v/>
      </c>
      <c r="C396" s="18" t="n"/>
      <c r="D396" s="25">
        <f>IFERROR(IF(C396="","",INDEX(직원명부!$B$5:$B$24,MATCH(C396,직원명부!$A$5:$A$24,0))),"사번 확인")</f>
        <v/>
      </c>
      <c r="E396" s="34" t="n"/>
      <c r="F396" s="34" t="n"/>
      <c r="G396" s="28" t="n"/>
      <c r="H396" s="33">
        <f>IF(OR(E396="",F396=""),"",ROUND(MOD(F396-E396,1)*24-N(G396),2))</f>
        <v/>
      </c>
      <c r="I396" s="33">
        <f>IF(H396="","",ROUND(MAX(0,H396-8),2))</f>
        <v/>
      </c>
      <c r="J396" s="33">
        <f>IF(OR(E396="",F396=""),"",ROUND(IF(MOD(F396,1)&gt;=TIME(22,0,0),(MOD(F396,1)-TIME(22,0,0))*24,IF(MOD(F396,1)&lt;TIME(6,0,0),(MOD(F396,1)+1-TIME(22,0,0))*24,0)),2))</f>
        <v/>
      </c>
      <c r="K396" s="33">
        <f>IF(H396="","",ROUND(IF(L396="휴일근로",MIN(H396,8)*1.5+MAX(0,H396-8)*2,I396*1.5)+N(J396)*0.5,2))</f>
        <v/>
      </c>
      <c r="L396" s="18" t="n"/>
      <c r="M396" s="18" t="n"/>
      <c r="N396" s="22" t="n"/>
    </row>
    <row r="397">
      <c r="A397" s="19" t="n"/>
      <c r="B397" s="25">
        <f>IF(A397="","",CHOOSE(WEEKDAY(A397,2),"월","화","수","목","금","토","일"))</f>
        <v/>
      </c>
      <c r="C397" s="18" t="n"/>
      <c r="D397" s="25">
        <f>IFERROR(IF(C397="","",INDEX(직원명부!$B$5:$B$24,MATCH(C397,직원명부!$A$5:$A$24,0))),"사번 확인")</f>
        <v/>
      </c>
      <c r="E397" s="34" t="n"/>
      <c r="F397" s="34" t="n"/>
      <c r="G397" s="28" t="n"/>
      <c r="H397" s="33">
        <f>IF(OR(E397="",F397=""),"",ROUND(MOD(F397-E397,1)*24-N(G397),2))</f>
        <v/>
      </c>
      <c r="I397" s="33">
        <f>IF(H397="","",ROUND(MAX(0,H397-8),2))</f>
        <v/>
      </c>
      <c r="J397" s="33">
        <f>IF(OR(E397="",F397=""),"",ROUND(IF(MOD(F397,1)&gt;=TIME(22,0,0),(MOD(F397,1)-TIME(22,0,0))*24,IF(MOD(F397,1)&lt;TIME(6,0,0),(MOD(F397,1)+1-TIME(22,0,0))*24,0)),2))</f>
        <v/>
      </c>
      <c r="K397" s="33">
        <f>IF(H397="","",ROUND(IF(L397="휴일근로",MIN(H397,8)*1.5+MAX(0,H397-8)*2,I397*1.5)+N(J397)*0.5,2))</f>
        <v/>
      </c>
      <c r="L397" s="18" t="n"/>
      <c r="M397" s="18" t="n"/>
      <c r="N397" s="22" t="n"/>
    </row>
    <row r="398">
      <c r="A398" s="19" t="n"/>
      <c r="B398" s="25">
        <f>IF(A398="","",CHOOSE(WEEKDAY(A398,2),"월","화","수","목","금","토","일"))</f>
        <v/>
      </c>
      <c r="C398" s="18" t="n"/>
      <c r="D398" s="25">
        <f>IFERROR(IF(C398="","",INDEX(직원명부!$B$5:$B$24,MATCH(C398,직원명부!$A$5:$A$24,0))),"사번 확인")</f>
        <v/>
      </c>
      <c r="E398" s="34" t="n"/>
      <c r="F398" s="34" t="n"/>
      <c r="G398" s="28" t="n"/>
      <c r="H398" s="33">
        <f>IF(OR(E398="",F398=""),"",ROUND(MOD(F398-E398,1)*24-N(G398),2))</f>
        <v/>
      </c>
      <c r="I398" s="33">
        <f>IF(H398="","",ROUND(MAX(0,H398-8),2))</f>
        <v/>
      </c>
      <c r="J398" s="33">
        <f>IF(OR(E398="",F398=""),"",ROUND(IF(MOD(F398,1)&gt;=TIME(22,0,0),(MOD(F398,1)-TIME(22,0,0))*24,IF(MOD(F398,1)&lt;TIME(6,0,0),(MOD(F398,1)+1-TIME(22,0,0))*24,0)),2))</f>
        <v/>
      </c>
      <c r="K398" s="33">
        <f>IF(H398="","",ROUND(IF(L398="휴일근로",MIN(H398,8)*1.5+MAX(0,H398-8)*2,I398*1.5)+N(J398)*0.5,2))</f>
        <v/>
      </c>
      <c r="L398" s="18" t="n"/>
      <c r="M398" s="18" t="n"/>
      <c r="N398" s="22" t="n"/>
    </row>
    <row r="399">
      <c r="A399" s="19" t="n"/>
      <c r="B399" s="25">
        <f>IF(A399="","",CHOOSE(WEEKDAY(A399,2),"월","화","수","목","금","토","일"))</f>
        <v/>
      </c>
      <c r="C399" s="18" t="n"/>
      <c r="D399" s="25">
        <f>IFERROR(IF(C399="","",INDEX(직원명부!$B$5:$B$24,MATCH(C399,직원명부!$A$5:$A$24,0))),"사번 확인")</f>
        <v/>
      </c>
      <c r="E399" s="34" t="n"/>
      <c r="F399" s="34" t="n"/>
      <c r="G399" s="28" t="n"/>
      <c r="H399" s="33">
        <f>IF(OR(E399="",F399=""),"",ROUND(MOD(F399-E399,1)*24-N(G399),2))</f>
        <v/>
      </c>
      <c r="I399" s="33">
        <f>IF(H399="","",ROUND(MAX(0,H399-8),2))</f>
        <v/>
      </c>
      <c r="J399" s="33">
        <f>IF(OR(E399="",F399=""),"",ROUND(IF(MOD(F399,1)&gt;=TIME(22,0,0),(MOD(F399,1)-TIME(22,0,0))*24,IF(MOD(F399,1)&lt;TIME(6,0,0),(MOD(F399,1)+1-TIME(22,0,0))*24,0)),2))</f>
        <v/>
      </c>
      <c r="K399" s="33">
        <f>IF(H399="","",ROUND(IF(L399="휴일근로",MIN(H399,8)*1.5+MAX(0,H399-8)*2,I399*1.5)+N(J399)*0.5,2))</f>
        <v/>
      </c>
      <c r="L399" s="18" t="n"/>
      <c r="M399" s="18" t="n"/>
      <c r="N399" s="22" t="n"/>
    </row>
    <row r="400">
      <c r="A400" s="19" t="n"/>
      <c r="B400" s="25">
        <f>IF(A400="","",CHOOSE(WEEKDAY(A400,2),"월","화","수","목","금","토","일"))</f>
        <v/>
      </c>
      <c r="C400" s="18" t="n"/>
      <c r="D400" s="25">
        <f>IFERROR(IF(C400="","",INDEX(직원명부!$B$5:$B$24,MATCH(C400,직원명부!$A$5:$A$24,0))),"사번 확인")</f>
        <v/>
      </c>
      <c r="E400" s="34" t="n"/>
      <c r="F400" s="34" t="n"/>
      <c r="G400" s="28" t="n"/>
      <c r="H400" s="33">
        <f>IF(OR(E400="",F400=""),"",ROUND(MOD(F400-E400,1)*24-N(G400),2))</f>
        <v/>
      </c>
      <c r="I400" s="33">
        <f>IF(H400="","",ROUND(MAX(0,H400-8),2))</f>
        <v/>
      </c>
      <c r="J400" s="33">
        <f>IF(OR(E400="",F400=""),"",ROUND(IF(MOD(F400,1)&gt;=TIME(22,0,0),(MOD(F400,1)-TIME(22,0,0))*24,IF(MOD(F400,1)&lt;TIME(6,0,0),(MOD(F400,1)+1-TIME(22,0,0))*24,0)),2))</f>
        <v/>
      </c>
      <c r="K400" s="33">
        <f>IF(H400="","",ROUND(IF(L400="휴일근로",MIN(H400,8)*1.5+MAX(0,H400-8)*2,I400*1.5)+N(J400)*0.5,2))</f>
        <v/>
      </c>
      <c r="L400" s="18" t="n"/>
      <c r="M400" s="18" t="n"/>
      <c r="N400" s="22" t="n"/>
    </row>
    <row r="401">
      <c r="A401" s="19" t="n"/>
      <c r="B401" s="25">
        <f>IF(A401="","",CHOOSE(WEEKDAY(A401,2),"월","화","수","목","금","토","일"))</f>
        <v/>
      </c>
      <c r="C401" s="18" t="n"/>
      <c r="D401" s="25">
        <f>IFERROR(IF(C401="","",INDEX(직원명부!$B$5:$B$24,MATCH(C401,직원명부!$A$5:$A$24,0))),"사번 확인")</f>
        <v/>
      </c>
      <c r="E401" s="34" t="n"/>
      <c r="F401" s="34" t="n"/>
      <c r="G401" s="28" t="n"/>
      <c r="H401" s="33">
        <f>IF(OR(E401="",F401=""),"",ROUND(MOD(F401-E401,1)*24-N(G401),2))</f>
        <v/>
      </c>
      <c r="I401" s="33">
        <f>IF(H401="","",ROUND(MAX(0,H401-8),2))</f>
        <v/>
      </c>
      <c r="J401" s="33">
        <f>IF(OR(E401="",F401=""),"",ROUND(IF(MOD(F401,1)&gt;=TIME(22,0,0),(MOD(F401,1)-TIME(22,0,0))*24,IF(MOD(F401,1)&lt;TIME(6,0,0),(MOD(F401,1)+1-TIME(22,0,0))*24,0)),2))</f>
        <v/>
      </c>
      <c r="K401" s="33">
        <f>IF(H401="","",ROUND(IF(L401="휴일근로",MIN(H401,8)*1.5+MAX(0,H401-8)*2,I401*1.5)+N(J401)*0.5,2))</f>
        <v/>
      </c>
      <c r="L401" s="18" t="n"/>
      <c r="M401" s="18" t="n"/>
      <c r="N401" s="22" t="n"/>
    </row>
    <row r="402">
      <c r="A402" s="19" t="n"/>
      <c r="B402" s="25">
        <f>IF(A402="","",CHOOSE(WEEKDAY(A402,2),"월","화","수","목","금","토","일"))</f>
        <v/>
      </c>
      <c r="C402" s="18" t="n"/>
      <c r="D402" s="25">
        <f>IFERROR(IF(C402="","",INDEX(직원명부!$B$5:$B$24,MATCH(C402,직원명부!$A$5:$A$24,0))),"사번 확인")</f>
        <v/>
      </c>
      <c r="E402" s="34" t="n"/>
      <c r="F402" s="34" t="n"/>
      <c r="G402" s="28" t="n"/>
      <c r="H402" s="33">
        <f>IF(OR(E402="",F402=""),"",ROUND(MOD(F402-E402,1)*24-N(G402),2))</f>
        <v/>
      </c>
      <c r="I402" s="33">
        <f>IF(H402="","",ROUND(MAX(0,H402-8),2))</f>
        <v/>
      </c>
      <c r="J402" s="33">
        <f>IF(OR(E402="",F402=""),"",ROUND(IF(MOD(F402,1)&gt;=TIME(22,0,0),(MOD(F402,1)-TIME(22,0,0))*24,IF(MOD(F402,1)&lt;TIME(6,0,0),(MOD(F402,1)+1-TIME(22,0,0))*24,0)),2))</f>
        <v/>
      </c>
      <c r="K402" s="33">
        <f>IF(H402="","",ROUND(IF(L402="휴일근로",MIN(H402,8)*1.5+MAX(0,H402-8)*2,I402*1.5)+N(J402)*0.5,2))</f>
        <v/>
      </c>
      <c r="L402" s="18" t="n"/>
      <c r="M402" s="18" t="n"/>
      <c r="N402" s="22" t="n"/>
    </row>
    <row r="403">
      <c r="A403" s="19" t="n"/>
      <c r="B403" s="25">
        <f>IF(A403="","",CHOOSE(WEEKDAY(A403,2),"월","화","수","목","금","토","일"))</f>
        <v/>
      </c>
      <c r="C403" s="18" t="n"/>
      <c r="D403" s="25">
        <f>IFERROR(IF(C403="","",INDEX(직원명부!$B$5:$B$24,MATCH(C403,직원명부!$A$5:$A$24,0))),"사번 확인")</f>
        <v/>
      </c>
      <c r="E403" s="34" t="n"/>
      <c r="F403" s="34" t="n"/>
      <c r="G403" s="28" t="n"/>
      <c r="H403" s="33">
        <f>IF(OR(E403="",F403=""),"",ROUND(MOD(F403-E403,1)*24-N(G403),2))</f>
        <v/>
      </c>
      <c r="I403" s="33">
        <f>IF(H403="","",ROUND(MAX(0,H403-8),2))</f>
        <v/>
      </c>
      <c r="J403" s="33">
        <f>IF(OR(E403="",F403=""),"",ROUND(IF(MOD(F403,1)&gt;=TIME(22,0,0),(MOD(F403,1)-TIME(22,0,0))*24,IF(MOD(F403,1)&lt;TIME(6,0,0),(MOD(F403,1)+1-TIME(22,0,0))*24,0)),2))</f>
        <v/>
      </c>
      <c r="K403" s="33">
        <f>IF(H403="","",ROUND(IF(L403="휴일근로",MIN(H403,8)*1.5+MAX(0,H403-8)*2,I403*1.5)+N(J403)*0.5,2))</f>
        <v/>
      </c>
      <c r="L403" s="18" t="n"/>
      <c r="M403" s="18" t="n"/>
      <c r="N403" s="22" t="n"/>
    </row>
    <row r="404">
      <c r="A404" s="19" t="n"/>
      <c r="B404" s="25">
        <f>IF(A404="","",CHOOSE(WEEKDAY(A404,2),"월","화","수","목","금","토","일"))</f>
        <v/>
      </c>
      <c r="C404" s="18" t="n"/>
      <c r="D404" s="25">
        <f>IFERROR(IF(C404="","",INDEX(직원명부!$B$5:$B$24,MATCH(C404,직원명부!$A$5:$A$24,0))),"사번 확인")</f>
        <v/>
      </c>
      <c r="E404" s="34" t="n"/>
      <c r="F404" s="34" t="n"/>
      <c r="G404" s="28" t="n"/>
      <c r="H404" s="33">
        <f>IF(OR(E404="",F404=""),"",ROUND(MOD(F404-E404,1)*24-N(G404),2))</f>
        <v/>
      </c>
      <c r="I404" s="33">
        <f>IF(H404="","",ROUND(MAX(0,H404-8),2))</f>
        <v/>
      </c>
      <c r="J404" s="33">
        <f>IF(OR(E404="",F404=""),"",ROUND(IF(MOD(F404,1)&gt;=TIME(22,0,0),(MOD(F404,1)-TIME(22,0,0))*24,IF(MOD(F404,1)&lt;TIME(6,0,0),(MOD(F404,1)+1-TIME(22,0,0))*24,0)),2))</f>
        <v/>
      </c>
      <c r="K404" s="33">
        <f>IF(H404="","",ROUND(IF(L404="휴일근로",MIN(H404,8)*1.5+MAX(0,H404-8)*2,I404*1.5)+N(J404)*0.5,2))</f>
        <v/>
      </c>
      <c r="L404" s="18" t="n"/>
      <c r="M404" s="18" t="n"/>
      <c r="N404" s="22" t="n"/>
    </row>
    <row r="405">
      <c r="A405" s="19" t="n"/>
      <c r="B405" s="25">
        <f>IF(A405="","",CHOOSE(WEEKDAY(A405,2),"월","화","수","목","금","토","일"))</f>
        <v/>
      </c>
      <c r="C405" s="18" t="n"/>
      <c r="D405" s="25">
        <f>IFERROR(IF(C405="","",INDEX(직원명부!$B$5:$B$24,MATCH(C405,직원명부!$A$5:$A$24,0))),"사번 확인")</f>
        <v/>
      </c>
      <c r="E405" s="34" t="n"/>
      <c r="F405" s="34" t="n"/>
      <c r="G405" s="28" t="n"/>
      <c r="H405" s="33">
        <f>IF(OR(E405="",F405=""),"",ROUND(MOD(F405-E405,1)*24-N(G405),2))</f>
        <v/>
      </c>
      <c r="I405" s="33">
        <f>IF(H405="","",ROUND(MAX(0,H405-8),2))</f>
        <v/>
      </c>
      <c r="J405" s="33">
        <f>IF(OR(E405="",F405=""),"",ROUND(IF(MOD(F405,1)&gt;=TIME(22,0,0),(MOD(F405,1)-TIME(22,0,0))*24,IF(MOD(F405,1)&lt;TIME(6,0,0),(MOD(F405,1)+1-TIME(22,0,0))*24,0)),2))</f>
        <v/>
      </c>
      <c r="K405" s="33">
        <f>IF(H405="","",ROUND(IF(L405="휴일근로",MIN(H405,8)*1.5+MAX(0,H405-8)*2,I405*1.5)+N(J405)*0.5,2))</f>
        <v/>
      </c>
      <c r="L405" s="18" t="n"/>
      <c r="M405" s="18" t="n"/>
      <c r="N405" s="22" t="n"/>
    </row>
    <row r="406">
      <c r="A406" s="19" t="n"/>
      <c r="B406" s="25">
        <f>IF(A406="","",CHOOSE(WEEKDAY(A406,2),"월","화","수","목","금","토","일"))</f>
        <v/>
      </c>
      <c r="C406" s="18" t="n"/>
      <c r="D406" s="25">
        <f>IFERROR(IF(C406="","",INDEX(직원명부!$B$5:$B$24,MATCH(C406,직원명부!$A$5:$A$24,0))),"사번 확인")</f>
        <v/>
      </c>
      <c r="E406" s="34" t="n"/>
      <c r="F406" s="34" t="n"/>
      <c r="G406" s="28" t="n"/>
      <c r="H406" s="33">
        <f>IF(OR(E406="",F406=""),"",ROUND(MOD(F406-E406,1)*24-N(G406),2))</f>
        <v/>
      </c>
      <c r="I406" s="33">
        <f>IF(H406="","",ROUND(MAX(0,H406-8),2))</f>
        <v/>
      </c>
      <c r="J406" s="33">
        <f>IF(OR(E406="",F406=""),"",ROUND(IF(MOD(F406,1)&gt;=TIME(22,0,0),(MOD(F406,1)-TIME(22,0,0))*24,IF(MOD(F406,1)&lt;TIME(6,0,0),(MOD(F406,1)+1-TIME(22,0,0))*24,0)),2))</f>
        <v/>
      </c>
      <c r="K406" s="33">
        <f>IF(H406="","",ROUND(IF(L406="휴일근로",MIN(H406,8)*1.5+MAX(0,H406-8)*2,I406*1.5)+N(J406)*0.5,2))</f>
        <v/>
      </c>
      <c r="L406" s="18" t="n"/>
      <c r="M406" s="18" t="n"/>
      <c r="N406" s="22" t="n"/>
    </row>
    <row r="407">
      <c r="A407" s="19" t="n"/>
      <c r="B407" s="25">
        <f>IF(A407="","",CHOOSE(WEEKDAY(A407,2),"월","화","수","목","금","토","일"))</f>
        <v/>
      </c>
      <c r="C407" s="18" t="n"/>
      <c r="D407" s="25">
        <f>IFERROR(IF(C407="","",INDEX(직원명부!$B$5:$B$24,MATCH(C407,직원명부!$A$5:$A$24,0))),"사번 확인")</f>
        <v/>
      </c>
      <c r="E407" s="34" t="n"/>
      <c r="F407" s="34" t="n"/>
      <c r="G407" s="28" t="n"/>
      <c r="H407" s="33">
        <f>IF(OR(E407="",F407=""),"",ROUND(MOD(F407-E407,1)*24-N(G407),2))</f>
        <v/>
      </c>
      <c r="I407" s="33">
        <f>IF(H407="","",ROUND(MAX(0,H407-8),2))</f>
        <v/>
      </c>
      <c r="J407" s="33">
        <f>IF(OR(E407="",F407=""),"",ROUND(IF(MOD(F407,1)&gt;=TIME(22,0,0),(MOD(F407,1)-TIME(22,0,0))*24,IF(MOD(F407,1)&lt;TIME(6,0,0),(MOD(F407,1)+1-TIME(22,0,0))*24,0)),2))</f>
        <v/>
      </c>
      <c r="K407" s="33">
        <f>IF(H407="","",ROUND(IF(L407="휴일근로",MIN(H407,8)*1.5+MAX(0,H407-8)*2,I407*1.5)+N(J407)*0.5,2))</f>
        <v/>
      </c>
      <c r="L407" s="18" t="n"/>
      <c r="M407" s="18" t="n"/>
      <c r="N407" s="22" t="n"/>
    </row>
    <row r="408">
      <c r="A408" s="19" t="n"/>
      <c r="B408" s="25">
        <f>IF(A408="","",CHOOSE(WEEKDAY(A408,2),"월","화","수","목","금","토","일"))</f>
        <v/>
      </c>
      <c r="C408" s="18" t="n"/>
      <c r="D408" s="25">
        <f>IFERROR(IF(C408="","",INDEX(직원명부!$B$5:$B$24,MATCH(C408,직원명부!$A$5:$A$24,0))),"사번 확인")</f>
        <v/>
      </c>
      <c r="E408" s="34" t="n"/>
      <c r="F408" s="34" t="n"/>
      <c r="G408" s="28" t="n"/>
      <c r="H408" s="33">
        <f>IF(OR(E408="",F408=""),"",ROUND(MOD(F408-E408,1)*24-N(G408),2))</f>
        <v/>
      </c>
      <c r="I408" s="33">
        <f>IF(H408="","",ROUND(MAX(0,H408-8),2))</f>
        <v/>
      </c>
      <c r="J408" s="33">
        <f>IF(OR(E408="",F408=""),"",ROUND(IF(MOD(F408,1)&gt;=TIME(22,0,0),(MOD(F408,1)-TIME(22,0,0))*24,IF(MOD(F408,1)&lt;TIME(6,0,0),(MOD(F408,1)+1-TIME(22,0,0))*24,0)),2))</f>
        <v/>
      </c>
      <c r="K408" s="33">
        <f>IF(H408="","",ROUND(IF(L408="휴일근로",MIN(H408,8)*1.5+MAX(0,H408-8)*2,I408*1.5)+N(J408)*0.5,2))</f>
        <v/>
      </c>
      <c r="L408" s="18" t="n"/>
      <c r="M408" s="18" t="n"/>
      <c r="N408" s="22" t="n"/>
    </row>
    <row r="409">
      <c r="A409" s="19" t="n"/>
      <c r="B409" s="25">
        <f>IF(A409="","",CHOOSE(WEEKDAY(A409,2),"월","화","수","목","금","토","일"))</f>
        <v/>
      </c>
      <c r="C409" s="18" t="n"/>
      <c r="D409" s="25">
        <f>IFERROR(IF(C409="","",INDEX(직원명부!$B$5:$B$24,MATCH(C409,직원명부!$A$5:$A$24,0))),"사번 확인")</f>
        <v/>
      </c>
      <c r="E409" s="34" t="n"/>
      <c r="F409" s="34" t="n"/>
      <c r="G409" s="28" t="n"/>
      <c r="H409" s="33">
        <f>IF(OR(E409="",F409=""),"",ROUND(MOD(F409-E409,1)*24-N(G409),2))</f>
        <v/>
      </c>
      <c r="I409" s="33">
        <f>IF(H409="","",ROUND(MAX(0,H409-8),2))</f>
        <v/>
      </c>
      <c r="J409" s="33">
        <f>IF(OR(E409="",F409=""),"",ROUND(IF(MOD(F409,1)&gt;=TIME(22,0,0),(MOD(F409,1)-TIME(22,0,0))*24,IF(MOD(F409,1)&lt;TIME(6,0,0),(MOD(F409,1)+1-TIME(22,0,0))*24,0)),2))</f>
        <v/>
      </c>
      <c r="K409" s="33">
        <f>IF(H409="","",ROUND(IF(L409="휴일근로",MIN(H409,8)*1.5+MAX(0,H409-8)*2,I409*1.5)+N(J409)*0.5,2))</f>
        <v/>
      </c>
      <c r="L409" s="18" t="n"/>
      <c r="M409" s="18" t="n"/>
      <c r="N409" s="22" t="n"/>
    </row>
    <row r="410">
      <c r="A410" s="19" t="n"/>
      <c r="B410" s="25">
        <f>IF(A410="","",CHOOSE(WEEKDAY(A410,2),"월","화","수","목","금","토","일"))</f>
        <v/>
      </c>
      <c r="C410" s="18" t="n"/>
      <c r="D410" s="25">
        <f>IFERROR(IF(C410="","",INDEX(직원명부!$B$5:$B$24,MATCH(C410,직원명부!$A$5:$A$24,0))),"사번 확인")</f>
        <v/>
      </c>
      <c r="E410" s="34" t="n"/>
      <c r="F410" s="34" t="n"/>
      <c r="G410" s="28" t="n"/>
      <c r="H410" s="33">
        <f>IF(OR(E410="",F410=""),"",ROUND(MOD(F410-E410,1)*24-N(G410),2))</f>
        <v/>
      </c>
      <c r="I410" s="33">
        <f>IF(H410="","",ROUND(MAX(0,H410-8),2))</f>
        <v/>
      </c>
      <c r="J410" s="33">
        <f>IF(OR(E410="",F410=""),"",ROUND(IF(MOD(F410,1)&gt;=TIME(22,0,0),(MOD(F410,1)-TIME(22,0,0))*24,IF(MOD(F410,1)&lt;TIME(6,0,0),(MOD(F410,1)+1-TIME(22,0,0))*24,0)),2))</f>
        <v/>
      </c>
      <c r="K410" s="33">
        <f>IF(H410="","",ROUND(IF(L410="휴일근로",MIN(H410,8)*1.5+MAX(0,H410-8)*2,I410*1.5)+N(J410)*0.5,2))</f>
        <v/>
      </c>
      <c r="L410" s="18" t="n"/>
      <c r="M410" s="18" t="n"/>
      <c r="N410" s="22" t="n"/>
    </row>
    <row r="411">
      <c r="A411" s="19" t="n"/>
      <c r="B411" s="25">
        <f>IF(A411="","",CHOOSE(WEEKDAY(A411,2),"월","화","수","목","금","토","일"))</f>
        <v/>
      </c>
      <c r="C411" s="18" t="n"/>
      <c r="D411" s="25">
        <f>IFERROR(IF(C411="","",INDEX(직원명부!$B$5:$B$24,MATCH(C411,직원명부!$A$5:$A$24,0))),"사번 확인")</f>
        <v/>
      </c>
      <c r="E411" s="34" t="n"/>
      <c r="F411" s="34" t="n"/>
      <c r="G411" s="28" t="n"/>
      <c r="H411" s="33">
        <f>IF(OR(E411="",F411=""),"",ROUND(MOD(F411-E411,1)*24-N(G411),2))</f>
        <v/>
      </c>
      <c r="I411" s="33">
        <f>IF(H411="","",ROUND(MAX(0,H411-8),2))</f>
        <v/>
      </c>
      <c r="J411" s="33">
        <f>IF(OR(E411="",F411=""),"",ROUND(IF(MOD(F411,1)&gt;=TIME(22,0,0),(MOD(F411,1)-TIME(22,0,0))*24,IF(MOD(F411,1)&lt;TIME(6,0,0),(MOD(F411,1)+1-TIME(22,0,0))*24,0)),2))</f>
        <v/>
      </c>
      <c r="K411" s="33">
        <f>IF(H411="","",ROUND(IF(L411="휴일근로",MIN(H411,8)*1.5+MAX(0,H411-8)*2,I411*1.5)+N(J411)*0.5,2))</f>
        <v/>
      </c>
      <c r="L411" s="18" t="n"/>
      <c r="M411" s="18" t="n"/>
      <c r="N411" s="22" t="n"/>
    </row>
    <row r="412">
      <c r="A412" s="19" t="n"/>
      <c r="B412" s="25">
        <f>IF(A412="","",CHOOSE(WEEKDAY(A412,2),"월","화","수","목","금","토","일"))</f>
        <v/>
      </c>
      <c r="C412" s="18" t="n"/>
      <c r="D412" s="25">
        <f>IFERROR(IF(C412="","",INDEX(직원명부!$B$5:$B$24,MATCH(C412,직원명부!$A$5:$A$24,0))),"사번 확인")</f>
        <v/>
      </c>
      <c r="E412" s="34" t="n"/>
      <c r="F412" s="34" t="n"/>
      <c r="G412" s="28" t="n"/>
      <c r="H412" s="33">
        <f>IF(OR(E412="",F412=""),"",ROUND(MOD(F412-E412,1)*24-N(G412),2))</f>
        <v/>
      </c>
      <c r="I412" s="33">
        <f>IF(H412="","",ROUND(MAX(0,H412-8),2))</f>
        <v/>
      </c>
      <c r="J412" s="33">
        <f>IF(OR(E412="",F412=""),"",ROUND(IF(MOD(F412,1)&gt;=TIME(22,0,0),(MOD(F412,1)-TIME(22,0,0))*24,IF(MOD(F412,1)&lt;TIME(6,0,0),(MOD(F412,1)+1-TIME(22,0,0))*24,0)),2))</f>
        <v/>
      </c>
      <c r="K412" s="33">
        <f>IF(H412="","",ROUND(IF(L412="휴일근로",MIN(H412,8)*1.5+MAX(0,H412-8)*2,I412*1.5)+N(J412)*0.5,2))</f>
        <v/>
      </c>
      <c r="L412" s="18" t="n"/>
      <c r="M412" s="18" t="n"/>
      <c r="N412" s="22" t="n"/>
    </row>
    <row r="413">
      <c r="A413" s="19" t="n"/>
      <c r="B413" s="25">
        <f>IF(A413="","",CHOOSE(WEEKDAY(A413,2),"월","화","수","목","금","토","일"))</f>
        <v/>
      </c>
      <c r="C413" s="18" t="n"/>
      <c r="D413" s="25">
        <f>IFERROR(IF(C413="","",INDEX(직원명부!$B$5:$B$24,MATCH(C413,직원명부!$A$5:$A$24,0))),"사번 확인")</f>
        <v/>
      </c>
      <c r="E413" s="34" t="n"/>
      <c r="F413" s="34" t="n"/>
      <c r="G413" s="28" t="n"/>
      <c r="H413" s="33">
        <f>IF(OR(E413="",F413=""),"",ROUND(MOD(F413-E413,1)*24-N(G413),2))</f>
        <v/>
      </c>
      <c r="I413" s="33">
        <f>IF(H413="","",ROUND(MAX(0,H413-8),2))</f>
        <v/>
      </c>
      <c r="J413" s="33">
        <f>IF(OR(E413="",F413=""),"",ROUND(IF(MOD(F413,1)&gt;=TIME(22,0,0),(MOD(F413,1)-TIME(22,0,0))*24,IF(MOD(F413,1)&lt;TIME(6,0,0),(MOD(F413,1)+1-TIME(22,0,0))*24,0)),2))</f>
        <v/>
      </c>
      <c r="K413" s="33">
        <f>IF(H413="","",ROUND(IF(L413="휴일근로",MIN(H413,8)*1.5+MAX(0,H413-8)*2,I413*1.5)+N(J413)*0.5,2))</f>
        <v/>
      </c>
      <c r="L413" s="18" t="n"/>
      <c r="M413" s="18" t="n"/>
      <c r="N413" s="22" t="n"/>
    </row>
    <row r="414">
      <c r="A414" s="19" t="n"/>
      <c r="B414" s="25">
        <f>IF(A414="","",CHOOSE(WEEKDAY(A414,2),"월","화","수","목","금","토","일"))</f>
        <v/>
      </c>
      <c r="C414" s="18" t="n"/>
      <c r="D414" s="25">
        <f>IFERROR(IF(C414="","",INDEX(직원명부!$B$5:$B$24,MATCH(C414,직원명부!$A$5:$A$24,0))),"사번 확인")</f>
        <v/>
      </c>
      <c r="E414" s="34" t="n"/>
      <c r="F414" s="34" t="n"/>
      <c r="G414" s="28" t="n"/>
      <c r="H414" s="33">
        <f>IF(OR(E414="",F414=""),"",ROUND(MOD(F414-E414,1)*24-N(G414),2))</f>
        <v/>
      </c>
      <c r="I414" s="33">
        <f>IF(H414="","",ROUND(MAX(0,H414-8),2))</f>
        <v/>
      </c>
      <c r="J414" s="33">
        <f>IF(OR(E414="",F414=""),"",ROUND(IF(MOD(F414,1)&gt;=TIME(22,0,0),(MOD(F414,1)-TIME(22,0,0))*24,IF(MOD(F414,1)&lt;TIME(6,0,0),(MOD(F414,1)+1-TIME(22,0,0))*24,0)),2))</f>
        <v/>
      </c>
      <c r="K414" s="33">
        <f>IF(H414="","",ROUND(IF(L414="휴일근로",MIN(H414,8)*1.5+MAX(0,H414-8)*2,I414*1.5)+N(J414)*0.5,2))</f>
        <v/>
      </c>
      <c r="L414" s="18" t="n"/>
      <c r="M414" s="18" t="n"/>
      <c r="N414" s="22" t="n"/>
    </row>
    <row r="415">
      <c r="A415" s="19" t="n"/>
      <c r="B415" s="25">
        <f>IF(A415="","",CHOOSE(WEEKDAY(A415,2),"월","화","수","목","금","토","일"))</f>
        <v/>
      </c>
      <c r="C415" s="18" t="n"/>
      <c r="D415" s="25">
        <f>IFERROR(IF(C415="","",INDEX(직원명부!$B$5:$B$24,MATCH(C415,직원명부!$A$5:$A$24,0))),"사번 확인")</f>
        <v/>
      </c>
      <c r="E415" s="34" t="n"/>
      <c r="F415" s="34" t="n"/>
      <c r="G415" s="28" t="n"/>
      <c r="H415" s="33">
        <f>IF(OR(E415="",F415=""),"",ROUND(MOD(F415-E415,1)*24-N(G415),2))</f>
        <v/>
      </c>
      <c r="I415" s="33">
        <f>IF(H415="","",ROUND(MAX(0,H415-8),2))</f>
        <v/>
      </c>
      <c r="J415" s="33">
        <f>IF(OR(E415="",F415=""),"",ROUND(IF(MOD(F415,1)&gt;=TIME(22,0,0),(MOD(F415,1)-TIME(22,0,0))*24,IF(MOD(F415,1)&lt;TIME(6,0,0),(MOD(F415,1)+1-TIME(22,0,0))*24,0)),2))</f>
        <v/>
      </c>
      <c r="K415" s="33">
        <f>IF(H415="","",ROUND(IF(L415="휴일근로",MIN(H415,8)*1.5+MAX(0,H415-8)*2,I415*1.5)+N(J415)*0.5,2))</f>
        <v/>
      </c>
      <c r="L415" s="18" t="n"/>
      <c r="M415" s="18" t="n"/>
      <c r="N415" s="22" t="n"/>
    </row>
    <row r="416">
      <c r="A416" s="19" t="n"/>
      <c r="B416" s="25">
        <f>IF(A416="","",CHOOSE(WEEKDAY(A416,2),"월","화","수","목","금","토","일"))</f>
        <v/>
      </c>
      <c r="C416" s="18" t="n"/>
      <c r="D416" s="25">
        <f>IFERROR(IF(C416="","",INDEX(직원명부!$B$5:$B$24,MATCH(C416,직원명부!$A$5:$A$24,0))),"사번 확인")</f>
        <v/>
      </c>
      <c r="E416" s="34" t="n"/>
      <c r="F416" s="34" t="n"/>
      <c r="G416" s="28" t="n"/>
      <c r="H416" s="33">
        <f>IF(OR(E416="",F416=""),"",ROUND(MOD(F416-E416,1)*24-N(G416),2))</f>
        <v/>
      </c>
      <c r="I416" s="33">
        <f>IF(H416="","",ROUND(MAX(0,H416-8),2))</f>
        <v/>
      </c>
      <c r="J416" s="33">
        <f>IF(OR(E416="",F416=""),"",ROUND(IF(MOD(F416,1)&gt;=TIME(22,0,0),(MOD(F416,1)-TIME(22,0,0))*24,IF(MOD(F416,1)&lt;TIME(6,0,0),(MOD(F416,1)+1-TIME(22,0,0))*24,0)),2))</f>
        <v/>
      </c>
      <c r="K416" s="33">
        <f>IF(H416="","",ROUND(IF(L416="휴일근로",MIN(H416,8)*1.5+MAX(0,H416-8)*2,I416*1.5)+N(J416)*0.5,2))</f>
        <v/>
      </c>
      <c r="L416" s="18" t="n"/>
      <c r="M416" s="18" t="n"/>
      <c r="N416" s="22" t="n"/>
    </row>
    <row r="417">
      <c r="A417" s="19" t="n"/>
      <c r="B417" s="25">
        <f>IF(A417="","",CHOOSE(WEEKDAY(A417,2),"월","화","수","목","금","토","일"))</f>
        <v/>
      </c>
      <c r="C417" s="18" t="n"/>
      <c r="D417" s="25">
        <f>IFERROR(IF(C417="","",INDEX(직원명부!$B$5:$B$24,MATCH(C417,직원명부!$A$5:$A$24,0))),"사번 확인")</f>
        <v/>
      </c>
      <c r="E417" s="34" t="n"/>
      <c r="F417" s="34" t="n"/>
      <c r="G417" s="28" t="n"/>
      <c r="H417" s="33">
        <f>IF(OR(E417="",F417=""),"",ROUND(MOD(F417-E417,1)*24-N(G417),2))</f>
        <v/>
      </c>
      <c r="I417" s="33">
        <f>IF(H417="","",ROUND(MAX(0,H417-8),2))</f>
        <v/>
      </c>
      <c r="J417" s="33">
        <f>IF(OR(E417="",F417=""),"",ROUND(IF(MOD(F417,1)&gt;=TIME(22,0,0),(MOD(F417,1)-TIME(22,0,0))*24,IF(MOD(F417,1)&lt;TIME(6,0,0),(MOD(F417,1)+1-TIME(22,0,0))*24,0)),2))</f>
        <v/>
      </c>
      <c r="K417" s="33">
        <f>IF(H417="","",ROUND(IF(L417="휴일근로",MIN(H417,8)*1.5+MAX(0,H417-8)*2,I417*1.5)+N(J417)*0.5,2))</f>
        <v/>
      </c>
      <c r="L417" s="18" t="n"/>
      <c r="M417" s="18" t="n"/>
      <c r="N417" s="22" t="n"/>
    </row>
    <row r="418">
      <c r="A418" s="19" t="n"/>
      <c r="B418" s="25">
        <f>IF(A418="","",CHOOSE(WEEKDAY(A418,2),"월","화","수","목","금","토","일"))</f>
        <v/>
      </c>
      <c r="C418" s="18" t="n"/>
      <c r="D418" s="25">
        <f>IFERROR(IF(C418="","",INDEX(직원명부!$B$5:$B$24,MATCH(C418,직원명부!$A$5:$A$24,0))),"사번 확인")</f>
        <v/>
      </c>
      <c r="E418" s="34" t="n"/>
      <c r="F418" s="34" t="n"/>
      <c r="G418" s="28" t="n"/>
      <c r="H418" s="33">
        <f>IF(OR(E418="",F418=""),"",ROUND(MOD(F418-E418,1)*24-N(G418),2))</f>
        <v/>
      </c>
      <c r="I418" s="33">
        <f>IF(H418="","",ROUND(MAX(0,H418-8),2))</f>
        <v/>
      </c>
      <c r="J418" s="33">
        <f>IF(OR(E418="",F418=""),"",ROUND(IF(MOD(F418,1)&gt;=TIME(22,0,0),(MOD(F418,1)-TIME(22,0,0))*24,IF(MOD(F418,1)&lt;TIME(6,0,0),(MOD(F418,1)+1-TIME(22,0,0))*24,0)),2))</f>
        <v/>
      </c>
      <c r="K418" s="33">
        <f>IF(H418="","",ROUND(IF(L418="휴일근로",MIN(H418,8)*1.5+MAX(0,H418-8)*2,I418*1.5)+N(J418)*0.5,2))</f>
        <v/>
      </c>
      <c r="L418" s="18" t="n"/>
      <c r="M418" s="18" t="n"/>
      <c r="N418" s="22" t="n"/>
    </row>
    <row r="419">
      <c r="A419" s="19" t="n"/>
      <c r="B419" s="25">
        <f>IF(A419="","",CHOOSE(WEEKDAY(A419,2),"월","화","수","목","금","토","일"))</f>
        <v/>
      </c>
      <c r="C419" s="18" t="n"/>
      <c r="D419" s="25">
        <f>IFERROR(IF(C419="","",INDEX(직원명부!$B$5:$B$24,MATCH(C419,직원명부!$A$5:$A$24,0))),"사번 확인")</f>
        <v/>
      </c>
      <c r="E419" s="34" t="n"/>
      <c r="F419" s="34" t="n"/>
      <c r="G419" s="28" t="n"/>
      <c r="H419" s="33">
        <f>IF(OR(E419="",F419=""),"",ROUND(MOD(F419-E419,1)*24-N(G419),2))</f>
        <v/>
      </c>
      <c r="I419" s="33">
        <f>IF(H419="","",ROUND(MAX(0,H419-8),2))</f>
        <v/>
      </c>
      <c r="J419" s="33">
        <f>IF(OR(E419="",F419=""),"",ROUND(IF(MOD(F419,1)&gt;=TIME(22,0,0),(MOD(F419,1)-TIME(22,0,0))*24,IF(MOD(F419,1)&lt;TIME(6,0,0),(MOD(F419,1)+1-TIME(22,0,0))*24,0)),2))</f>
        <v/>
      </c>
      <c r="K419" s="33">
        <f>IF(H419="","",ROUND(IF(L419="휴일근로",MIN(H419,8)*1.5+MAX(0,H419-8)*2,I419*1.5)+N(J419)*0.5,2))</f>
        <v/>
      </c>
      <c r="L419" s="18" t="n"/>
      <c r="M419" s="18" t="n"/>
      <c r="N419" s="22" t="n"/>
    </row>
    <row r="420">
      <c r="A420" s="19" t="n"/>
      <c r="B420" s="25">
        <f>IF(A420="","",CHOOSE(WEEKDAY(A420,2),"월","화","수","목","금","토","일"))</f>
        <v/>
      </c>
      <c r="C420" s="18" t="n"/>
      <c r="D420" s="25">
        <f>IFERROR(IF(C420="","",INDEX(직원명부!$B$5:$B$24,MATCH(C420,직원명부!$A$5:$A$24,0))),"사번 확인")</f>
        <v/>
      </c>
      <c r="E420" s="34" t="n"/>
      <c r="F420" s="34" t="n"/>
      <c r="G420" s="28" t="n"/>
      <c r="H420" s="33">
        <f>IF(OR(E420="",F420=""),"",ROUND(MOD(F420-E420,1)*24-N(G420),2))</f>
        <v/>
      </c>
      <c r="I420" s="33">
        <f>IF(H420="","",ROUND(MAX(0,H420-8),2))</f>
        <v/>
      </c>
      <c r="J420" s="33">
        <f>IF(OR(E420="",F420=""),"",ROUND(IF(MOD(F420,1)&gt;=TIME(22,0,0),(MOD(F420,1)-TIME(22,0,0))*24,IF(MOD(F420,1)&lt;TIME(6,0,0),(MOD(F420,1)+1-TIME(22,0,0))*24,0)),2))</f>
        <v/>
      </c>
      <c r="K420" s="33">
        <f>IF(H420="","",ROUND(IF(L420="휴일근로",MIN(H420,8)*1.5+MAX(0,H420-8)*2,I420*1.5)+N(J420)*0.5,2))</f>
        <v/>
      </c>
      <c r="L420" s="18" t="n"/>
      <c r="M420" s="18" t="n"/>
      <c r="N420" s="22" t="n"/>
    </row>
    <row r="421">
      <c r="A421" s="19" t="n"/>
      <c r="B421" s="25">
        <f>IF(A421="","",CHOOSE(WEEKDAY(A421,2),"월","화","수","목","금","토","일"))</f>
        <v/>
      </c>
      <c r="C421" s="18" t="n"/>
      <c r="D421" s="25">
        <f>IFERROR(IF(C421="","",INDEX(직원명부!$B$5:$B$24,MATCH(C421,직원명부!$A$5:$A$24,0))),"사번 확인")</f>
        <v/>
      </c>
      <c r="E421" s="34" t="n"/>
      <c r="F421" s="34" t="n"/>
      <c r="G421" s="28" t="n"/>
      <c r="H421" s="33">
        <f>IF(OR(E421="",F421=""),"",ROUND(MOD(F421-E421,1)*24-N(G421),2))</f>
        <v/>
      </c>
      <c r="I421" s="33">
        <f>IF(H421="","",ROUND(MAX(0,H421-8),2))</f>
        <v/>
      </c>
      <c r="J421" s="33">
        <f>IF(OR(E421="",F421=""),"",ROUND(IF(MOD(F421,1)&gt;=TIME(22,0,0),(MOD(F421,1)-TIME(22,0,0))*24,IF(MOD(F421,1)&lt;TIME(6,0,0),(MOD(F421,1)+1-TIME(22,0,0))*24,0)),2))</f>
        <v/>
      </c>
      <c r="K421" s="33">
        <f>IF(H421="","",ROUND(IF(L421="휴일근로",MIN(H421,8)*1.5+MAX(0,H421-8)*2,I421*1.5)+N(J421)*0.5,2))</f>
        <v/>
      </c>
      <c r="L421" s="18" t="n"/>
      <c r="M421" s="18" t="n"/>
      <c r="N421" s="22" t="n"/>
    </row>
    <row r="422">
      <c r="A422" s="19" t="n"/>
      <c r="B422" s="25">
        <f>IF(A422="","",CHOOSE(WEEKDAY(A422,2),"월","화","수","목","금","토","일"))</f>
        <v/>
      </c>
      <c r="C422" s="18" t="n"/>
      <c r="D422" s="25">
        <f>IFERROR(IF(C422="","",INDEX(직원명부!$B$5:$B$24,MATCH(C422,직원명부!$A$5:$A$24,0))),"사번 확인")</f>
        <v/>
      </c>
      <c r="E422" s="34" t="n"/>
      <c r="F422" s="34" t="n"/>
      <c r="G422" s="28" t="n"/>
      <c r="H422" s="33">
        <f>IF(OR(E422="",F422=""),"",ROUND(MOD(F422-E422,1)*24-N(G422),2))</f>
        <v/>
      </c>
      <c r="I422" s="33">
        <f>IF(H422="","",ROUND(MAX(0,H422-8),2))</f>
        <v/>
      </c>
      <c r="J422" s="33">
        <f>IF(OR(E422="",F422=""),"",ROUND(IF(MOD(F422,1)&gt;=TIME(22,0,0),(MOD(F422,1)-TIME(22,0,0))*24,IF(MOD(F422,1)&lt;TIME(6,0,0),(MOD(F422,1)+1-TIME(22,0,0))*24,0)),2))</f>
        <v/>
      </c>
      <c r="K422" s="33">
        <f>IF(H422="","",ROUND(IF(L422="휴일근로",MIN(H422,8)*1.5+MAX(0,H422-8)*2,I422*1.5)+N(J422)*0.5,2))</f>
        <v/>
      </c>
      <c r="L422" s="18" t="n"/>
      <c r="M422" s="18" t="n"/>
      <c r="N422" s="22" t="n"/>
    </row>
    <row r="423">
      <c r="A423" s="19" t="n"/>
      <c r="B423" s="25">
        <f>IF(A423="","",CHOOSE(WEEKDAY(A423,2),"월","화","수","목","금","토","일"))</f>
        <v/>
      </c>
      <c r="C423" s="18" t="n"/>
      <c r="D423" s="25">
        <f>IFERROR(IF(C423="","",INDEX(직원명부!$B$5:$B$24,MATCH(C423,직원명부!$A$5:$A$24,0))),"사번 확인")</f>
        <v/>
      </c>
      <c r="E423" s="34" t="n"/>
      <c r="F423" s="34" t="n"/>
      <c r="G423" s="28" t="n"/>
      <c r="H423" s="33">
        <f>IF(OR(E423="",F423=""),"",ROUND(MOD(F423-E423,1)*24-N(G423),2))</f>
        <v/>
      </c>
      <c r="I423" s="33">
        <f>IF(H423="","",ROUND(MAX(0,H423-8),2))</f>
        <v/>
      </c>
      <c r="J423" s="33">
        <f>IF(OR(E423="",F423=""),"",ROUND(IF(MOD(F423,1)&gt;=TIME(22,0,0),(MOD(F423,1)-TIME(22,0,0))*24,IF(MOD(F423,1)&lt;TIME(6,0,0),(MOD(F423,1)+1-TIME(22,0,0))*24,0)),2))</f>
        <v/>
      </c>
      <c r="K423" s="33">
        <f>IF(H423="","",ROUND(IF(L423="휴일근로",MIN(H423,8)*1.5+MAX(0,H423-8)*2,I423*1.5)+N(J423)*0.5,2))</f>
        <v/>
      </c>
      <c r="L423" s="18" t="n"/>
      <c r="M423" s="18" t="n"/>
      <c r="N423" s="22" t="n"/>
    </row>
    <row r="424">
      <c r="A424" s="19" t="n"/>
      <c r="B424" s="25">
        <f>IF(A424="","",CHOOSE(WEEKDAY(A424,2),"월","화","수","목","금","토","일"))</f>
        <v/>
      </c>
      <c r="C424" s="18" t="n"/>
      <c r="D424" s="25">
        <f>IFERROR(IF(C424="","",INDEX(직원명부!$B$5:$B$24,MATCH(C424,직원명부!$A$5:$A$24,0))),"사번 확인")</f>
        <v/>
      </c>
      <c r="E424" s="34" t="n"/>
      <c r="F424" s="34" t="n"/>
      <c r="G424" s="28" t="n"/>
      <c r="H424" s="33">
        <f>IF(OR(E424="",F424=""),"",ROUND(MOD(F424-E424,1)*24-N(G424),2))</f>
        <v/>
      </c>
      <c r="I424" s="33">
        <f>IF(H424="","",ROUND(MAX(0,H424-8),2))</f>
        <v/>
      </c>
      <c r="J424" s="33">
        <f>IF(OR(E424="",F424=""),"",ROUND(IF(MOD(F424,1)&gt;=TIME(22,0,0),(MOD(F424,1)-TIME(22,0,0))*24,IF(MOD(F424,1)&lt;TIME(6,0,0),(MOD(F424,1)+1-TIME(22,0,0))*24,0)),2))</f>
        <v/>
      </c>
      <c r="K424" s="33">
        <f>IF(H424="","",ROUND(IF(L424="휴일근로",MIN(H424,8)*1.5+MAX(0,H424-8)*2,I424*1.5)+N(J424)*0.5,2))</f>
        <v/>
      </c>
      <c r="L424" s="18" t="n"/>
      <c r="M424" s="18" t="n"/>
      <c r="N424" s="22" t="n"/>
    </row>
    <row r="425">
      <c r="A425" s="19" t="n"/>
      <c r="B425" s="25">
        <f>IF(A425="","",CHOOSE(WEEKDAY(A425,2),"월","화","수","목","금","토","일"))</f>
        <v/>
      </c>
      <c r="C425" s="18" t="n"/>
      <c r="D425" s="25">
        <f>IFERROR(IF(C425="","",INDEX(직원명부!$B$5:$B$24,MATCH(C425,직원명부!$A$5:$A$24,0))),"사번 확인")</f>
        <v/>
      </c>
      <c r="E425" s="34" t="n"/>
      <c r="F425" s="34" t="n"/>
      <c r="G425" s="28" t="n"/>
      <c r="H425" s="33">
        <f>IF(OR(E425="",F425=""),"",ROUND(MOD(F425-E425,1)*24-N(G425),2))</f>
        <v/>
      </c>
      <c r="I425" s="33">
        <f>IF(H425="","",ROUND(MAX(0,H425-8),2))</f>
        <v/>
      </c>
      <c r="J425" s="33">
        <f>IF(OR(E425="",F425=""),"",ROUND(IF(MOD(F425,1)&gt;=TIME(22,0,0),(MOD(F425,1)-TIME(22,0,0))*24,IF(MOD(F425,1)&lt;TIME(6,0,0),(MOD(F425,1)+1-TIME(22,0,0))*24,0)),2))</f>
        <v/>
      </c>
      <c r="K425" s="33">
        <f>IF(H425="","",ROUND(IF(L425="휴일근로",MIN(H425,8)*1.5+MAX(0,H425-8)*2,I425*1.5)+N(J425)*0.5,2))</f>
        <v/>
      </c>
      <c r="L425" s="18" t="n"/>
      <c r="M425" s="18" t="n"/>
      <c r="N425" s="22" t="n"/>
    </row>
    <row r="426">
      <c r="A426" s="19" t="n"/>
      <c r="B426" s="25">
        <f>IF(A426="","",CHOOSE(WEEKDAY(A426,2),"월","화","수","목","금","토","일"))</f>
        <v/>
      </c>
      <c r="C426" s="18" t="n"/>
      <c r="D426" s="25">
        <f>IFERROR(IF(C426="","",INDEX(직원명부!$B$5:$B$24,MATCH(C426,직원명부!$A$5:$A$24,0))),"사번 확인")</f>
        <v/>
      </c>
      <c r="E426" s="34" t="n"/>
      <c r="F426" s="34" t="n"/>
      <c r="G426" s="28" t="n"/>
      <c r="H426" s="33">
        <f>IF(OR(E426="",F426=""),"",ROUND(MOD(F426-E426,1)*24-N(G426),2))</f>
        <v/>
      </c>
      <c r="I426" s="33">
        <f>IF(H426="","",ROUND(MAX(0,H426-8),2))</f>
        <v/>
      </c>
      <c r="J426" s="33">
        <f>IF(OR(E426="",F426=""),"",ROUND(IF(MOD(F426,1)&gt;=TIME(22,0,0),(MOD(F426,1)-TIME(22,0,0))*24,IF(MOD(F426,1)&lt;TIME(6,0,0),(MOD(F426,1)+1-TIME(22,0,0))*24,0)),2))</f>
        <v/>
      </c>
      <c r="K426" s="33">
        <f>IF(H426="","",ROUND(IF(L426="휴일근로",MIN(H426,8)*1.5+MAX(0,H426-8)*2,I426*1.5)+N(J426)*0.5,2))</f>
        <v/>
      </c>
      <c r="L426" s="18" t="n"/>
      <c r="M426" s="18" t="n"/>
      <c r="N426" s="22" t="n"/>
    </row>
    <row r="427">
      <c r="A427" s="19" t="n"/>
      <c r="B427" s="25">
        <f>IF(A427="","",CHOOSE(WEEKDAY(A427,2),"월","화","수","목","금","토","일"))</f>
        <v/>
      </c>
      <c r="C427" s="18" t="n"/>
      <c r="D427" s="25">
        <f>IFERROR(IF(C427="","",INDEX(직원명부!$B$5:$B$24,MATCH(C427,직원명부!$A$5:$A$24,0))),"사번 확인")</f>
        <v/>
      </c>
      <c r="E427" s="34" t="n"/>
      <c r="F427" s="34" t="n"/>
      <c r="G427" s="28" t="n"/>
      <c r="H427" s="33">
        <f>IF(OR(E427="",F427=""),"",ROUND(MOD(F427-E427,1)*24-N(G427),2))</f>
        <v/>
      </c>
      <c r="I427" s="33">
        <f>IF(H427="","",ROUND(MAX(0,H427-8),2))</f>
        <v/>
      </c>
      <c r="J427" s="33">
        <f>IF(OR(E427="",F427=""),"",ROUND(IF(MOD(F427,1)&gt;=TIME(22,0,0),(MOD(F427,1)-TIME(22,0,0))*24,IF(MOD(F427,1)&lt;TIME(6,0,0),(MOD(F427,1)+1-TIME(22,0,0))*24,0)),2))</f>
        <v/>
      </c>
      <c r="K427" s="33">
        <f>IF(H427="","",ROUND(IF(L427="휴일근로",MIN(H427,8)*1.5+MAX(0,H427-8)*2,I427*1.5)+N(J427)*0.5,2))</f>
        <v/>
      </c>
      <c r="L427" s="18" t="n"/>
      <c r="M427" s="18" t="n"/>
      <c r="N427" s="22" t="n"/>
    </row>
    <row r="428">
      <c r="A428" s="19" t="n"/>
      <c r="B428" s="25">
        <f>IF(A428="","",CHOOSE(WEEKDAY(A428,2),"월","화","수","목","금","토","일"))</f>
        <v/>
      </c>
      <c r="C428" s="18" t="n"/>
      <c r="D428" s="25">
        <f>IFERROR(IF(C428="","",INDEX(직원명부!$B$5:$B$24,MATCH(C428,직원명부!$A$5:$A$24,0))),"사번 확인")</f>
        <v/>
      </c>
      <c r="E428" s="34" t="n"/>
      <c r="F428" s="34" t="n"/>
      <c r="G428" s="28" t="n"/>
      <c r="H428" s="33">
        <f>IF(OR(E428="",F428=""),"",ROUND(MOD(F428-E428,1)*24-N(G428),2))</f>
        <v/>
      </c>
      <c r="I428" s="33">
        <f>IF(H428="","",ROUND(MAX(0,H428-8),2))</f>
        <v/>
      </c>
      <c r="J428" s="33">
        <f>IF(OR(E428="",F428=""),"",ROUND(IF(MOD(F428,1)&gt;=TIME(22,0,0),(MOD(F428,1)-TIME(22,0,0))*24,IF(MOD(F428,1)&lt;TIME(6,0,0),(MOD(F428,1)+1-TIME(22,0,0))*24,0)),2))</f>
        <v/>
      </c>
      <c r="K428" s="33">
        <f>IF(H428="","",ROUND(IF(L428="휴일근로",MIN(H428,8)*1.5+MAX(0,H428-8)*2,I428*1.5)+N(J428)*0.5,2))</f>
        <v/>
      </c>
      <c r="L428" s="18" t="n"/>
      <c r="M428" s="18" t="n"/>
      <c r="N428" s="22" t="n"/>
    </row>
    <row r="429">
      <c r="A429" s="19" t="n"/>
      <c r="B429" s="25">
        <f>IF(A429="","",CHOOSE(WEEKDAY(A429,2),"월","화","수","목","금","토","일"))</f>
        <v/>
      </c>
      <c r="C429" s="18" t="n"/>
      <c r="D429" s="25">
        <f>IFERROR(IF(C429="","",INDEX(직원명부!$B$5:$B$24,MATCH(C429,직원명부!$A$5:$A$24,0))),"사번 확인")</f>
        <v/>
      </c>
      <c r="E429" s="34" t="n"/>
      <c r="F429" s="34" t="n"/>
      <c r="G429" s="28" t="n"/>
      <c r="H429" s="33">
        <f>IF(OR(E429="",F429=""),"",ROUND(MOD(F429-E429,1)*24-N(G429),2))</f>
        <v/>
      </c>
      <c r="I429" s="33">
        <f>IF(H429="","",ROUND(MAX(0,H429-8),2))</f>
        <v/>
      </c>
      <c r="J429" s="33">
        <f>IF(OR(E429="",F429=""),"",ROUND(IF(MOD(F429,1)&gt;=TIME(22,0,0),(MOD(F429,1)-TIME(22,0,0))*24,IF(MOD(F429,1)&lt;TIME(6,0,0),(MOD(F429,1)+1-TIME(22,0,0))*24,0)),2))</f>
        <v/>
      </c>
      <c r="K429" s="33">
        <f>IF(H429="","",ROUND(IF(L429="휴일근로",MIN(H429,8)*1.5+MAX(0,H429-8)*2,I429*1.5)+N(J429)*0.5,2))</f>
        <v/>
      </c>
      <c r="L429" s="18" t="n"/>
      <c r="M429" s="18" t="n"/>
      <c r="N429" s="22" t="n"/>
    </row>
    <row r="430">
      <c r="A430" s="19" t="n"/>
      <c r="B430" s="25">
        <f>IF(A430="","",CHOOSE(WEEKDAY(A430,2),"월","화","수","목","금","토","일"))</f>
        <v/>
      </c>
      <c r="C430" s="18" t="n"/>
      <c r="D430" s="25">
        <f>IFERROR(IF(C430="","",INDEX(직원명부!$B$5:$B$24,MATCH(C430,직원명부!$A$5:$A$24,0))),"사번 확인")</f>
        <v/>
      </c>
      <c r="E430" s="34" t="n"/>
      <c r="F430" s="34" t="n"/>
      <c r="G430" s="28" t="n"/>
      <c r="H430" s="33">
        <f>IF(OR(E430="",F430=""),"",ROUND(MOD(F430-E430,1)*24-N(G430),2))</f>
        <v/>
      </c>
      <c r="I430" s="33">
        <f>IF(H430="","",ROUND(MAX(0,H430-8),2))</f>
        <v/>
      </c>
      <c r="J430" s="33">
        <f>IF(OR(E430="",F430=""),"",ROUND(IF(MOD(F430,1)&gt;=TIME(22,0,0),(MOD(F430,1)-TIME(22,0,0))*24,IF(MOD(F430,1)&lt;TIME(6,0,0),(MOD(F430,1)+1-TIME(22,0,0))*24,0)),2))</f>
        <v/>
      </c>
      <c r="K430" s="33">
        <f>IF(H430="","",ROUND(IF(L430="휴일근로",MIN(H430,8)*1.5+MAX(0,H430-8)*2,I430*1.5)+N(J430)*0.5,2))</f>
        <v/>
      </c>
      <c r="L430" s="18" t="n"/>
      <c r="M430" s="18" t="n"/>
      <c r="N430" s="22" t="n"/>
    </row>
    <row r="431">
      <c r="A431" s="19" t="n"/>
      <c r="B431" s="25">
        <f>IF(A431="","",CHOOSE(WEEKDAY(A431,2),"월","화","수","목","금","토","일"))</f>
        <v/>
      </c>
      <c r="C431" s="18" t="n"/>
      <c r="D431" s="25">
        <f>IFERROR(IF(C431="","",INDEX(직원명부!$B$5:$B$24,MATCH(C431,직원명부!$A$5:$A$24,0))),"사번 확인")</f>
        <v/>
      </c>
      <c r="E431" s="34" t="n"/>
      <c r="F431" s="34" t="n"/>
      <c r="G431" s="28" t="n"/>
      <c r="H431" s="33">
        <f>IF(OR(E431="",F431=""),"",ROUND(MOD(F431-E431,1)*24-N(G431),2))</f>
        <v/>
      </c>
      <c r="I431" s="33">
        <f>IF(H431="","",ROUND(MAX(0,H431-8),2))</f>
        <v/>
      </c>
      <c r="J431" s="33">
        <f>IF(OR(E431="",F431=""),"",ROUND(IF(MOD(F431,1)&gt;=TIME(22,0,0),(MOD(F431,1)-TIME(22,0,0))*24,IF(MOD(F431,1)&lt;TIME(6,0,0),(MOD(F431,1)+1-TIME(22,0,0))*24,0)),2))</f>
        <v/>
      </c>
      <c r="K431" s="33">
        <f>IF(H431="","",ROUND(IF(L431="휴일근로",MIN(H431,8)*1.5+MAX(0,H431-8)*2,I431*1.5)+N(J431)*0.5,2))</f>
        <v/>
      </c>
      <c r="L431" s="18" t="n"/>
      <c r="M431" s="18" t="n"/>
      <c r="N431" s="22" t="n"/>
    </row>
    <row r="432">
      <c r="A432" s="19" t="n"/>
      <c r="B432" s="25">
        <f>IF(A432="","",CHOOSE(WEEKDAY(A432,2),"월","화","수","목","금","토","일"))</f>
        <v/>
      </c>
      <c r="C432" s="18" t="n"/>
      <c r="D432" s="25">
        <f>IFERROR(IF(C432="","",INDEX(직원명부!$B$5:$B$24,MATCH(C432,직원명부!$A$5:$A$24,0))),"사번 확인")</f>
        <v/>
      </c>
      <c r="E432" s="34" t="n"/>
      <c r="F432" s="34" t="n"/>
      <c r="G432" s="28" t="n"/>
      <c r="H432" s="33">
        <f>IF(OR(E432="",F432=""),"",ROUND(MOD(F432-E432,1)*24-N(G432),2))</f>
        <v/>
      </c>
      <c r="I432" s="33">
        <f>IF(H432="","",ROUND(MAX(0,H432-8),2))</f>
        <v/>
      </c>
      <c r="J432" s="33">
        <f>IF(OR(E432="",F432=""),"",ROUND(IF(MOD(F432,1)&gt;=TIME(22,0,0),(MOD(F432,1)-TIME(22,0,0))*24,IF(MOD(F432,1)&lt;TIME(6,0,0),(MOD(F432,1)+1-TIME(22,0,0))*24,0)),2))</f>
        <v/>
      </c>
      <c r="K432" s="33">
        <f>IF(H432="","",ROUND(IF(L432="휴일근로",MIN(H432,8)*1.5+MAX(0,H432-8)*2,I432*1.5)+N(J432)*0.5,2))</f>
        <v/>
      </c>
      <c r="L432" s="18" t="n"/>
      <c r="M432" s="18" t="n"/>
      <c r="N432" s="22" t="n"/>
    </row>
    <row r="433">
      <c r="A433" s="19" t="n"/>
      <c r="B433" s="25">
        <f>IF(A433="","",CHOOSE(WEEKDAY(A433,2),"월","화","수","목","금","토","일"))</f>
        <v/>
      </c>
      <c r="C433" s="18" t="n"/>
      <c r="D433" s="25">
        <f>IFERROR(IF(C433="","",INDEX(직원명부!$B$5:$B$24,MATCH(C433,직원명부!$A$5:$A$24,0))),"사번 확인")</f>
        <v/>
      </c>
      <c r="E433" s="34" t="n"/>
      <c r="F433" s="34" t="n"/>
      <c r="G433" s="28" t="n"/>
      <c r="H433" s="33">
        <f>IF(OR(E433="",F433=""),"",ROUND(MOD(F433-E433,1)*24-N(G433),2))</f>
        <v/>
      </c>
      <c r="I433" s="33">
        <f>IF(H433="","",ROUND(MAX(0,H433-8),2))</f>
        <v/>
      </c>
      <c r="J433" s="33">
        <f>IF(OR(E433="",F433=""),"",ROUND(IF(MOD(F433,1)&gt;=TIME(22,0,0),(MOD(F433,1)-TIME(22,0,0))*24,IF(MOD(F433,1)&lt;TIME(6,0,0),(MOD(F433,1)+1-TIME(22,0,0))*24,0)),2))</f>
        <v/>
      </c>
      <c r="K433" s="33">
        <f>IF(H433="","",ROUND(IF(L433="휴일근로",MIN(H433,8)*1.5+MAX(0,H433-8)*2,I433*1.5)+N(J433)*0.5,2))</f>
        <v/>
      </c>
      <c r="L433" s="18" t="n"/>
      <c r="M433" s="18" t="n"/>
      <c r="N433" s="22" t="n"/>
    </row>
    <row r="434">
      <c r="A434" s="19" t="n"/>
      <c r="B434" s="25">
        <f>IF(A434="","",CHOOSE(WEEKDAY(A434,2),"월","화","수","목","금","토","일"))</f>
        <v/>
      </c>
      <c r="C434" s="18" t="n"/>
      <c r="D434" s="25">
        <f>IFERROR(IF(C434="","",INDEX(직원명부!$B$5:$B$24,MATCH(C434,직원명부!$A$5:$A$24,0))),"사번 확인")</f>
        <v/>
      </c>
      <c r="E434" s="34" t="n"/>
      <c r="F434" s="34" t="n"/>
      <c r="G434" s="28" t="n"/>
      <c r="H434" s="33">
        <f>IF(OR(E434="",F434=""),"",ROUND(MOD(F434-E434,1)*24-N(G434),2))</f>
        <v/>
      </c>
      <c r="I434" s="33">
        <f>IF(H434="","",ROUND(MAX(0,H434-8),2))</f>
        <v/>
      </c>
      <c r="J434" s="33">
        <f>IF(OR(E434="",F434=""),"",ROUND(IF(MOD(F434,1)&gt;=TIME(22,0,0),(MOD(F434,1)-TIME(22,0,0))*24,IF(MOD(F434,1)&lt;TIME(6,0,0),(MOD(F434,1)+1-TIME(22,0,0))*24,0)),2))</f>
        <v/>
      </c>
      <c r="K434" s="33">
        <f>IF(H434="","",ROUND(IF(L434="휴일근로",MIN(H434,8)*1.5+MAX(0,H434-8)*2,I434*1.5)+N(J434)*0.5,2))</f>
        <v/>
      </c>
      <c r="L434" s="18" t="n"/>
      <c r="M434" s="18" t="n"/>
      <c r="N434" s="22" t="n"/>
    </row>
    <row r="435">
      <c r="A435" s="19" t="n"/>
      <c r="B435" s="25">
        <f>IF(A435="","",CHOOSE(WEEKDAY(A435,2),"월","화","수","목","금","토","일"))</f>
        <v/>
      </c>
      <c r="C435" s="18" t="n"/>
      <c r="D435" s="25">
        <f>IFERROR(IF(C435="","",INDEX(직원명부!$B$5:$B$24,MATCH(C435,직원명부!$A$5:$A$24,0))),"사번 확인")</f>
        <v/>
      </c>
      <c r="E435" s="34" t="n"/>
      <c r="F435" s="34" t="n"/>
      <c r="G435" s="28" t="n"/>
      <c r="H435" s="33">
        <f>IF(OR(E435="",F435=""),"",ROUND(MOD(F435-E435,1)*24-N(G435),2))</f>
        <v/>
      </c>
      <c r="I435" s="33">
        <f>IF(H435="","",ROUND(MAX(0,H435-8),2))</f>
        <v/>
      </c>
      <c r="J435" s="33">
        <f>IF(OR(E435="",F435=""),"",ROUND(IF(MOD(F435,1)&gt;=TIME(22,0,0),(MOD(F435,1)-TIME(22,0,0))*24,IF(MOD(F435,1)&lt;TIME(6,0,0),(MOD(F435,1)+1-TIME(22,0,0))*24,0)),2))</f>
        <v/>
      </c>
      <c r="K435" s="33">
        <f>IF(H435="","",ROUND(IF(L435="휴일근로",MIN(H435,8)*1.5+MAX(0,H435-8)*2,I435*1.5)+N(J435)*0.5,2))</f>
        <v/>
      </c>
      <c r="L435" s="18" t="n"/>
      <c r="M435" s="18" t="n"/>
      <c r="N435" s="22" t="n"/>
    </row>
    <row r="436">
      <c r="A436" s="19" t="n"/>
      <c r="B436" s="25">
        <f>IF(A436="","",CHOOSE(WEEKDAY(A436,2),"월","화","수","목","금","토","일"))</f>
        <v/>
      </c>
      <c r="C436" s="18" t="n"/>
      <c r="D436" s="25">
        <f>IFERROR(IF(C436="","",INDEX(직원명부!$B$5:$B$24,MATCH(C436,직원명부!$A$5:$A$24,0))),"사번 확인")</f>
        <v/>
      </c>
      <c r="E436" s="34" t="n"/>
      <c r="F436" s="34" t="n"/>
      <c r="G436" s="28" t="n"/>
      <c r="H436" s="33">
        <f>IF(OR(E436="",F436=""),"",ROUND(MOD(F436-E436,1)*24-N(G436),2))</f>
        <v/>
      </c>
      <c r="I436" s="33">
        <f>IF(H436="","",ROUND(MAX(0,H436-8),2))</f>
        <v/>
      </c>
      <c r="J436" s="33">
        <f>IF(OR(E436="",F436=""),"",ROUND(IF(MOD(F436,1)&gt;=TIME(22,0,0),(MOD(F436,1)-TIME(22,0,0))*24,IF(MOD(F436,1)&lt;TIME(6,0,0),(MOD(F436,1)+1-TIME(22,0,0))*24,0)),2))</f>
        <v/>
      </c>
      <c r="K436" s="33">
        <f>IF(H436="","",ROUND(IF(L436="휴일근로",MIN(H436,8)*1.5+MAX(0,H436-8)*2,I436*1.5)+N(J436)*0.5,2))</f>
        <v/>
      </c>
      <c r="L436" s="18" t="n"/>
      <c r="M436" s="18" t="n"/>
      <c r="N436" s="22" t="n"/>
    </row>
    <row r="437">
      <c r="A437" s="19" t="n"/>
      <c r="B437" s="25">
        <f>IF(A437="","",CHOOSE(WEEKDAY(A437,2),"월","화","수","목","금","토","일"))</f>
        <v/>
      </c>
      <c r="C437" s="18" t="n"/>
      <c r="D437" s="25">
        <f>IFERROR(IF(C437="","",INDEX(직원명부!$B$5:$B$24,MATCH(C437,직원명부!$A$5:$A$24,0))),"사번 확인")</f>
        <v/>
      </c>
      <c r="E437" s="34" t="n"/>
      <c r="F437" s="34" t="n"/>
      <c r="G437" s="28" t="n"/>
      <c r="H437" s="33">
        <f>IF(OR(E437="",F437=""),"",ROUND(MOD(F437-E437,1)*24-N(G437),2))</f>
        <v/>
      </c>
      <c r="I437" s="33">
        <f>IF(H437="","",ROUND(MAX(0,H437-8),2))</f>
        <v/>
      </c>
      <c r="J437" s="33">
        <f>IF(OR(E437="",F437=""),"",ROUND(IF(MOD(F437,1)&gt;=TIME(22,0,0),(MOD(F437,1)-TIME(22,0,0))*24,IF(MOD(F437,1)&lt;TIME(6,0,0),(MOD(F437,1)+1-TIME(22,0,0))*24,0)),2))</f>
        <v/>
      </c>
      <c r="K437" s="33">
        <f>IF(H437="","",ROUND(IF(L437="휴일근로",MIN(H437,8)*1.5+MAX(0,H437-8)*2,I437*1.5)+N(J437)*0.5,2))</f>
        <v/>
      </c>
      <c r="L437" s="18" t="n"/>
      <c r="M437" s="18" t="n"/>
      <c r="N437" s="22" t="n"/>
    </row>
    <row r="438">
      <c r="A438" s="19" t="n"/>
      <c r="B438" s="25">
        <f>IF(A438="","",CHOOSE(WEEKDAY(A438,2),"월","화","수","목","금","토","일"))</f>
        <v/>
      </c>
      <c r="C438" s="18" t="n"/>
      <c r="D438" s="25">
        <f>IFERROR(IF(C438="","",INDEX(직원명부!$B$5:$B$24,MATCH(C438,직원명부!$A$5:$A$24,0))),"사번 확인")</f>
        <v/>
      </c>
      <c r="E438" s="34" t="n"/>
      <c r="F438" s="34" t="n"/>
      <c r="G438" s="28" t="n"/>
      <c r="H438" s="33">
        <f>IF(OR(E438="",F438=""),"",ROUND(MOD(F438-E438,1)*24-N(G438),2))</f>
        <v/>
      </c>
      <c r="I438" s="33">
        <f>IF(H438="","",ROUND(MAX(0,H438-8),2))</f>
        <v/>
      </c>
      <c r="J438" s="33">
        <f>IF(OR(E438="",F438=""),"",ROUND(IF(MOD(F438,1)&gt;=TIME(22,0,0),(MOD(F438,1)-TIME(22,0,0))*24,IF(MOD(F438,1)&lt;TIME(6,0,0),(MOD(F438,1)+1-TIME(22,0,0))*24,0)),2))</f>
        <v/>
      </c>
      <c r="K438" s="33">
        <f>IF(H438="","",ROUND(IF(L438="휴일근로",MIN(H438,8)*1.5+MAX(0,H438-8)*2,I438*1.5)+N(J438)*0.5,2))</f>
        <v/>
      </c>
      <c r="L438" s="18" t="n"/>
      <c r="M438" s="18" t="n"/>
      <c r="N438" s="22" t="n"/>
    </row>
    <row r="439">
      <c r="A439" s="19" t="n"/>
      <c r="B439" s="25">
        <f>IF(A439="","",CHOOSE(WEEKDAY(A439,2),"월","화","수","목","금","토","일"))</f>
        <v/>
      </c>
      <c r="C439" s="18" t="n"/>
      <c r="D439" s="25">
        <f>IFERROR(IF(C439="","",INDEX(직원명부!$B$5:$B$24,MATCH(C439,직원명부!$A$5:$A$24,0))),"사번 확인")</f>
        <v/>
      </c>
      <c r="E439" s="34" t="n"/>
      <c r="F439" s="34" t="n"/>
      <c r="G439" s="28" t="n"/>
      <c r="H439" s="33">
        <f>IF(OR(E439="",F439=""),"",ROUND(MOD(F439-E439,1)*24-N(G439),2))</f>
        <v/>
      </c>
      <c r="I439" s="33">
        <f>IF(H439="","",ROUND(MAX(0,H439-8),2))</f>
        <v/>
      </c>
      <c r="J439" s="33">
        <f>IF(OR(E439="",F439=""),"",ROUND(IF(MOD(F439,1)&gt;=TIME(22,0,0),(MOD(F439,1)-TIME(22,0,0))*24,IF(MOD(F439,1)&lt;TIME(6,0,0),(MOD(F439,1)+1-TIME(22,0,0))*24,0)),2))</f>
        <v/>
      </c>
      <c r="K439" s="33">
        <f>IF(H439="","",ROUND(IF(L439="휴일근로",MIN(H439,8)*1.5+MAX(0,H439-8)*2,I439*1.5)+N(J439)*0.5,2))</f>
        <v/>
      </c>
      <c r="L439" s="18" t="n"/>
      <c r="M439" s="18" t="n"/>
      <c r="N439" s="22" t="n"/>
    </row>
    <row r="440">
      <c r="A440" s="19" t="n"/>
      <c r="B440" s="25">
        <f>IF(A440="","",CHOOSE(WEEKDAY(A440,2),"월","화","수","목","금","토","일"))</f>
        <v/>
      </c>
      <c r="C440" s="18" t="n"/>
      <c r="D440" s="25">
        <f>IFERROR(IF(C440="","",INDEX(직원명부!$B$5:$B$24,MATCH(C440,직원명부!$A$5:$A$24,0))),"사번 확인")</f>
        <v/>
      </c>
      <c r="E440" s="34" t="n"/>
      <c r="F440" s="34" t="n"/>
      <c r="G440" s="28" t="n"/>
      <c r="H440" s="33">
        <f>IF(OR(E440="",F440=""),"",ROUND(MOD(F440-E440,1)*24-N(G440),2))</f>
        <v/>
      </c>
      <c r="I440" s="33">
        <f>IF(H440="","",ROUND(MAX(0,H440-8),2))</f>
        <v/>
      </c>
      <c r="J440" s="33">
        <f>IF(OR(E440="",F440=""),"",ROUND(IF(MOD(F440,1)&gt;=TIME(22,0,0),(MOD(F440,1)-TIME(22,0,0))*24,IF(MOD(F440,1)&lt;TIME(6,0,0),(MOD(F440,1)+1-TIME(22,0,0))*24,0)),2))</f>
        <v/>
      </c>
      <c r="K440" s="33">
        <f>IF(H440="","",ROUND(IF(L440="휴일근로",MIN(H440,8)*1.5+MAX(0,H440-8)*2,I440*1.5)+N(J440)*0.5,2))</f>
        <v/>
      </c>
      <c r="L440" s="18" t="n"/>
      <c r="M440" s="18" t="n"/>
      <c r="N440" s="22" t="n"/>
    </row>
    <row r="441">
      <c r="A441" s="19" t="n"/>
      <c r="B441" s="25">
        <f>IF(A441="","",CHOOSE(WEEKDAY(A441,2),"월","화","수","목","금","토","일"))</f>
        <v/>
      </c>
      <c r="C441" s="18" t="n"/>
      <c r="D441" s="25">
        <f>IFERROR(IF(C441="","",INDEX(직원명부!$B$5:$B$24,MATCH(C441,직원명부!$A$5:$A$24,0))),"사번 확인")</f>
        <v/>
      </c>
      <c r="E441" s="34" t="n"/>
      <c r="F441" s="34" t="n"/>
      <c r="G441" s="28" t="n"/>
      <c r="H441" s="33">
        <f>IF(OR(E441="",F441=""),"",ROUND(MOD(F441-E441,1)*24-N(G441),2))</f>
        <v/>
      </c>
      <c r="I441" s="33">
        <f>IF(H441="","",ROUND(MAX(0,H441-8),2))</f>
        <v/>
      </c>
      <c r="J441" s="33">
        <f>IF(OR(E441="",F441=""),"",ROUND(IF(MOD(F441,1)&gt;=TIME(22,0,0),(MOD(F441,1)-TIME(22,0,0))*24,IF(MOD(F441,1)&lt;TIME(6,0,0),(MOD(F441,1)+1-TIME(22,0,0))*24,0)),2))</f>
        <v/>
      </c>
      <c r="K441" s="33">
        <f>IF(H441="","",ROUND(IF(L441="휴일근로",MIN(H441,8)*1.5+MAX(0,H441-8)*2,I441*1.5)+N(J441)*0.5,2))</f>
        <v/>
      </c>
      <c r="L441" s="18" t="n"/>
      <c r="M441" s="18" t="n"/>
      <c r="N441" s="22" t="n"/>
    </row>
    <row r="442">
      <c r="A442" s="19" t="n"/>
      <c r="B442" s="25">
        <f>IF(A442="","",CHOOSE(WEEKDAY(A442,2),"월","화","수","목","금","토","일"))</f>
        <v/>
      </c>
      <c r="C442" s="18" t="n"/>
      <c r="D442" s="25">
        <f>IFERROR(IF(C442="","",INDEX(직원명부!$B$5:$B$24,MATCH(C442,직원명부!$A$5:$A$24,0))),"사번 확인")</f>
        <v/>
      </c>
      <c r="E442" s="34" t="n"/>
      <c r="F442" s="34" t="n"/>
      <c r="G442" s="28" t="n"/>
      <c r="H442" s="33">
        <f>IF(OR(E442="",F442=""),"",ROUND(MOD(F442-E442,1)*24-N(G442),2))</f>
        <v/>
      </c>
      <c r="I442" s="33">
        <f>IF(H442="","",ROUND(MAX(0,H442-8),2))</f>
        <v/>
      </c>
      <c r="J442" s="33">
        <f>IF(OR(E442="",F442=""),"",ROUND(IF(MOD(F442,1)&gt;=TIME(22,0,0),(MOD(F442,1)-TIME(22,0,0))*24,IF(MOD(F442,1)&lt;TIME(6,0,0),(MOD(F442,1)+1-TIME(22,0,0))*24,0)),2))</f>
        <v/>
      </c>
      <c r="K442" s="33">
        <f>IF(H442="","",ROUND(IF(L442="휴일근로",MIN(H442,8)*1.5+MAX(0,H442-8)*2,I442*1.5)+N(J442)*0.5,2))</f>
        <v/>
      </c>
      <c r="L442" s="18" t="n"/>
      <c r="M442" s="18" t="n"/>
      <c r="N442" s="22" t="n"/>
    </row>
    <row r="443">
      <c r="A443" s="19" t="n"/>
      <c r="B443" s="25">
        <f>IF(A443="","",CHOOSE(WEEKDAY(A443,2),"월","화","수","목","금","토","일"))</f>
        <v/>
      </c>
      <c r="C443" s="18" t="n"/>
      <c r="D443" s="25">
        <f>IFERROR(IF(C443="","",INDEX(직원명부!$B$5:$B$24,MATCH(C443,직원명부!$A$5:$A$24,0))),"사번 확인")</f>
        <v/>
      </c>
      <c r="E443" s="34" t="n"/>
      <c r="F443" s="34" t="n"/>
      <c r="G443" s="28" t="n"/>
      <c r="H443" s="33">
        <f>IF(OR(E443="",F443=""),"",ROUND(MOD(F443-E443,1)*24-N(G443),2))</f>
        <v/>
      </c>
      <c r="I443" s="33">
        <f>IF(H443="","",ROUND(MAX(0,H443-8),2))</f>
        <v/>
      </c>
      <c r="J443" s="33">
        <f>IF(OR(E443="",F443=""),"",ROUND(IF(MOD(F443,1)&gt;=TIME(22,0,0),(MOD(F443,1)-TIME(22,0,0))*24,IF(MOD(F443,1)&lt;TIME(6,0,0),(MOD(F443,1)+1-TIME(22,0,0))*24,0)),2))</f>
        <v/>
      </c>
      <c r="K443" s="33">
        <f>IF(H443="","",ROUND(IF(L443="휴일근로",MIN(H443,8)*1.5+MAX(0,H443-8)*2,I443*1.5)+N(J443)*0.5,2))</f>
        <v/>
      </c>
      <c r="L443" s="18" t="n"/>
      <c r="M443" s="18" t="n"/>
      <c r="N443" s="22" t="n"/>
    </row>
    <row r="444">
      <c r="A444" s="19" t="n"/>
      <c r="B444" s="25">
        <f>IF(A444="","",CHOOSE(WEEKDAY(A444,2),"월","화","수","목","금","토","일"))</f>
        <v/>
      </c>
      <c r="C444" s="18" t="n"/>
      <c r="D444" s="25">
        <f>IFERROR(IF(C444="","",INDEX(직원명부!$B$5:$B$24,MATCH(C444,직원명부!$A$5:$A$24,0))),"사번 확인")</f>
        <v/>
      </c>
      <c r="E444" s="34" t="n"/>
      <c r="F444" s="34" t="n"/>
      <c r="G444" s="28" t="n"/>
      <c r="H444" s="33">
        <f>IF(OR(E444="",F444=""),"",ROUND(MOD(F444-E444,1)*24-N(G444),2))</f>
        <v/>
      </c>
      <c r="I444" s="33">
        <f>IF(H444="","",ROUND(MAX(0,H444-8),2))</f>
        <v/>
      </c>
      <c r="J444" s="33">
        <f>IF(OR(E444="",F444=""),"",ROUND(IF(MOD(F444,1)&gt;=TIME(22,0,0),(MOD(F444,1)-TIME(22,0,0))*24,IF(MOD(F444,1)&lt;TIME(6,0,0),(MOD(F444,1)+1-TIME(22,0,0))*24,0)),2))</f>
        <v/>
      </c>
      <c r="K444" s="33">
        <f>IF(H444="","",ROUND(IF(L444="휴일근로",MIN(H444,8)*1.5+MAX(0,H444-8)*2,I444*1.5)+N(J444)*0.5,2))</f>
        <v/>
      </c>
      <c r="L444" s="18" t="n"/>
      <c r="M444" s="18" t="n"/>
      <c r="N444" s="22" t="n"/>
    </row>
    <row r="445">
      <c r="A445" s="19" t="n"/>
      <c r="B445" s="25">
        <f>IF(A445="","",CHOOSE(WEEKDAY(A445,2),"월","화","수","목","금","토","일"))</f>
        <v/>
      </c>
      <c r="C445" s="18" t="n"/>
      <c r="D445" s="25">
        <f>IFERROR(IF(C445="","",INDEX(직원명부!$B$5:$B$24,MATCH(C445,직원명부!$A$5:$A$24,0))),"사번 확인")</f>
        <v/>
      </c>
      <c r="E445" s="34" t="n"/>
      <c r="F445" s="34" t="n"/>
      <c r="G445" s="28" t="n"/>
      <c r="H445" s="33">
        <f>IF(OR(E445="",F445=""),"",ROUND(MOD(F445-E445,1)*24-N(G445),2))</f>
        <v/>
      </c>
      <c r="I445" s="33">
        <f>IF(H445="","",ROUND(MAX(0,H445-8),2))</f>
        <v/>
      </c>
      <c r="J445" s="33">
        <f>IF(OR(E445="",F445=""),"",ROUND(IF(MOD(F445,1)&gt;=TIME(22,0,0),(MOD(F445,1)-TIME(22,0,0))*24,IF(MOD(F445,1)&lt;TIME(6,0,0),(MOD(F445,1)+1-TIME(22,0,0))*24,0)),2))</f>
        <v/>
      </c>
      <c r="K445" s="33">
        <f>IF(H445="","",ROUND(IF(L445="휴일근로",MIN(H445,8)*1.5+MAX(0,H445-8)*2,I445*1.5)+N(J445)*0.5,2))</f>
        <v/>
      </c>
      <c r="L445" s="18" t="n"/>
      <c r="M445" s="18" t="n"/>
      <c r="N445" s="22" t="n"/>
    </row>
    <row r="446">
      <c r="A446" s="19" t="n"/>
      <c r="B446" s="25">
        <f>IF(A446="","",CHOOSE(WEEKDAY(A446,2),"월","화","수","목","금","토","일"))</f>
        <v/>
      </c>
      <c r="C446" s="18" t="n"/>
      <c r="D446" s="25">
        <f>IFERROR(IF(C446="","",INDEX(직원명부!$B$5:$B$24,MATCH(C446,직원명부!$A$5:$A$24,0))),"사번 확인")</f>
        <v/>
      </c>
      <c r="E446" s="34" t="n"/>
      <c r="F446" s="34" t="n"/>
      <c r="G446" s="28" t="n"/>
      <c r="H446" s="33">
        <f>IF(OR(E446="",F446=""),"",ROUND(MOD(F446-E446,1)*24-N(G446),2))</f>
        <v/>
      </c>
      <c r="I446" s="33">
        <f>IF(H446="","",ROUND(MAX(0,H446-8),2))</f>
        <v/>
      </c>
      <c r="J446" s="33">
        <f>IF(OR(E446="",F446=""),"",ROUND(IF(MOD(F446,1)&gt;=TIME(22,0,0),(MOD(F446,1)-TIME(22,0,0))*24,IF(MOD(F446,1)&lt;TIME(6,0,0),(MOD(F446,1)+1-TIME(22,0,0))*24,0)),2))</f>
        <v/>
      </c>
      <c r="K446" s="33">
        <f>IF(H446="","",ROUND(IF(L446="휴일근로",MIN(H446,8)*1.5+MAX(0,H446-8)*2,I446*1.5)+N(J446)*0.5,2))</f>
        <v/>
      </c>
      <c r="L446" s="18" t="n"/>
      <c r="M446" s="18" t="n"/>
      <c r="N446" s="22" t="n"/>
    </row>
    <row r="447">
      <c r="A447" s="19" t="n"/>
      <c r="B447" s="25">
        <f>IF(A447="","",CHOOSE(WEEKDAY(A447,2),"월","화","수","목","금","토","일"))</f>
        <v/>
      </c>
      <c r="C447" s="18" t="n"/>
      <c r="D447" s="25">
        <f>IFERROR(IF(C447="","",INDEX(직원명부!$B$5:$B$24,MATCH(C447,직원명부!$A$5:$A$24,0))),"사번 확인")</f>
        <v/>
      </c>
      <c r="E447" s="34" t="n"/>
      <c r="F447" s="34" t="n"/>
      <c r="G447" s="28" t="n"/>
      <c r="H447" s="33">
        <f>IF(OR(E447="",F447=""),"",ROUND(MOD(F447-E447,1)*24-N(G447),2))</f>
        <v/>
      </c>
      <c r="I447" s="33">
        <f>IF(H447="","",ROUND(MAX(0,H447-8),2))</f>
        <v/>
      </c>
      <c r="J447" s="33">
        <f>IF(OR(E447="",F447=""),"",ROUND(IF(MOD(F447,1)&gt;=TIME(22,0,0),(MOD(F447,1)-TIME(22,0,0))*24,IF(MOD(F447,1)&lt;TIME(6,0,0),(MOD(F447,1)+1-TIME(22,0,0))*24,0)),2))</f>
        <v/>
      </c>
      <c r="K447" s="33">
        <f>IF(H447="","",ROUND(IF(L447="휴일근로",MIN(H447,8)*1.5+MAX(0,H447-8)*2,I447*1.5)+N(J447)*0.5,2))</f>
        <v/>
      </c>
      <c r="L447" s="18" t="n"/>
      <c r="M447" s="18" t="n"/>
      <c r="N447" s="22" t="n"/>
    </row>
    <row r="448">
      <c r="A448" s="19" t="n"/>
      <c r="B448" s="25">
        <f>IF(A448="","",CHOOSE(WEEKDAY(A448,2),"월","화","수","목","금","토","일"))</f>
        <v/>
      </c>
      <c r="C448" s="18" t="n"/>
      <c r="D448" s="25">
        <f>IFERROR(IF(C448="","",INDEX(직원명부!$B$5:$B$24,MATCH(C448,직원명부!$A$5:$A$24,0))),"사번 확인")</f>
        <v/>
      </c>
      <c r="E448" s="34" t="n"/>
      <c r="F448" s="34" t="n"/>
      <c r="G448" s="28" t="n"/>
      <c r="H448" s="33">
        <f>IF(OR(E448="",F448=""),"",ROUND(MOD(F448-E448,1)*24-N(G448),2))</f>
        <v/>
      </c>
      <c r="I448" s="33">
        <f>IF(H448="","",ROUND(MAX(0,H448-8),2))</f>
        <v/>
      </c>
      <c r="J448" s="33">
        <f>IF(OR(E448="",F448=""),"",ROUND(IF(MOD(F448,1)&gt;=TIME(22,0,0),(MOD(F448,1)-TIME(22,0,0))*24,IF(MOD(F448,1)&lt;TIME(6,0,0),(MOD(F448,1)+1-TIME(22,0,0))*24,0)),2))</f>
        <v/>
      </c>
      <c r="K448" s="33">
        <f>IF(H448="","",ROUND(IF(L448="휴일근로",MIN(H448,8)*1.5+MAX(0,H448-8)*2,I448*1.5)+N(J448)*0.5,2))</f>
        <v/>
      </c>
      <c r="L448" s="18" t="n"/>
      <c r="M448" s="18" t="n"/>
      <c r="N448" s="22" t="n"/>
    </row>
    <row r="449">
      <c r="A449" s="19" t="n"/>
      <c r="B449" s="25">
        <f>IF(A449="","",CHOOSE(WEEKDAY(A449,2),"월","화","수","목","금","토","일"))</f>
        <v/>
      </c>
      <c r="C449" s="18" t="n"/>
      <c r="D449" s="25">
        <f>IFERROR(IF(C449="","",INDEX(직원명부!$B$5:$B$24,MATCH(C449,직원명부!$A$5:$A$24,0))),"사번 확인")</f>
        <v/>
      </c>
      <c r="E449" s="34" t="n"/>
      <c r="F449" s="34" t="n"/>
      <c r="G449" s="28" t="n"/>
      <c r="H449" s="33">
        <f>IF(OR(E449="",F449=""),"",ROUND(MOD(F449-E449,1)*24-N(G449),2))</f>
        <v/>
      </c>
      <c r="I449" s="33">
        <f>IF(H449="","",ROUND(MAX(0,H449-8),2))</f>
        <v/>
      </c>
      <c r="J449" s="33">
        <f>IF(OR(E449="",F449=""),"",ROUND(IF(MOD(F449,1)&gt;=TIME(22,0,0),(MOD(F449,1)-TIME(22,0,0))*24,IF(MOD(F449,1)&lt;TIME(6,0,0),(MOD(F449,1)+1-TIME(22,0,0))*24,0)),2))</f>
        <v/>
      </c>
      <c r="K449" s="33">
        <f>IF(H449="","",ROUND(IF(L449="휴일근로",MIN(H449,8)*1.5+MAX(0,H449-8)*2,I449*1.5)+N(J449)*0.5,2))</f>
        <v/>
      </c>
      <c r="L449" s="18" t="n"/>
      <c r="M449" s="18" t="n"/>
      <c r="N449" s="22" t="n"/>
    </row>
    <row r="450">
      <c r="A450" s="19" t="n"/>
      <c r="B450" s="25">
        <f>IF(A450="","",CHOOSE(WEEKDAY(A450,2),"월","화","수","목","금","토","일"))</f>
        <v/>
      </c>
      <c r="C450" s="18" t="n"/>
      <c r="D450" s="25">
        <f>IFERROR(IF(C450="","",INDEX(직원명부!$B$5:$B$24,MATCH(C450,직원명부!$A$5:$A$24,0))),"사번 확인")</f>
        <v/>
      </c>
      <c r="E450" s="34" t="n"/>
      <c r="F450" s="34" t="n"/>
      <c r="G450" s="28" t="n"/>
      <c r="H450" s="33">
        <f>IF(OR(E450="",F450=""),"",ROUND(MOD(F450-E450,1)*24-N(G450),2))</f>
        <v/>
      </c>
      <c r="I450" s="33">
        <f>IF(H450="","",ROUND(MAX(0,H450-8),2))</f>
        <v/>
      </c>
      <c r="J450" s="33">
        <f>IF(OR(E450="",F450=""),"",ROUND(IF(MOD(F450,1)&gt;=TIME(22,0,0),(MOD(F450,1)-TIME(22,0,0))*24,IF(MOD(F450,1)&lt;TIME(6,0,0),(MOD(F450,1)+1-TIME(22,0,0))*24,0)),2))</f>
        <v/>
      </c>
      <c r="K450" s="33">
        <f>IF(H450="","",ROUND(IF(L450="휴일근로",MIN(H450,8)*1.5+MAX(0,H450-8)*2,I450*1.5)+N(J450)*0.5,2))</f>
        <v/>
      </c>
      <c r="L450" s="18" t="n"/>
      <c r="M450" s="18" t="n"/>
      <c r="N450" s="22" t="n"/>
    </row>
    <row r="451">
      <c r="A451" s="19" t="n"/>
      <c r="B451" s="25">
        <f>IF(A451="","",CHOOSE(WEEKDAY(A451,2),"월","화","수","목","금","토","일"))</f>
        <v/>
      </c>
      <c r="C451" s="18" t="n"/>
      <c r="D451" s="25">
        <f>IFERROR(IF(C451="","",INDEX(직원명부!$B$5:$B$24,MATCH(C451,직원명부!$A$5:$A$24,0))),"사번 확인")</f>
        <v/>
      </c>
      <c r="E451" s="34" t="n"/>
      <c r="F451" s="34" t="n"/>
      <c r="G451" s="28" t="n"/>
      <c r="H451" s="33">
        <f>IF(OR(E451="",F451=""),"",ROUND(MOD(F451-E451,1)*24-N(G451),2))</f>
        <v/>
      </c>
      <c r="I451" s="33">
        <f>IF(H451="","",ROUND(MAX(0,H451-8),2))</f>
        <v/>
      </c>
      <c r="J451" s="33">
        <f>IF(OR(E451="",F451=""),"",ROUND(IF(MOD(F451,1)&gt;=TIME(22,0,0),(MOD(F451,1)-TIME(22,0,0))*24,IF(MOD(F451,1)&lt;TIME(6,0,0),(MOD(F451,1)+1-TIME(22,0,0))*24,0)),2))</f>
        <v/>
      </c>
      <c r="K451" s="33">
        <f>IF(H451="","",ROUND(IF(L451="휴일근로",MIN(H451,8)*1.5+MAX(0,H451-8)*2,I451*1.5)+N(J451)*0.5,2))</f>
        <v/>
      </c>
      <c r="L451" s="18" t="n"/>
      <c r="M451" s="18" t="n"/>
      <c r="N451" s="22" t="n"/>
    </row>
    <row r="452">
      <c r="A452" s="19" t="n"/>
      <c r="B452" s="25">
        <f>IF(A452="","",CHOOSE(WEEKDAY(A452,2),"월","화","수","목","금","토","일"))</f>
        <v/>
      </c>
      <c r="C452" s="18" t="n"/>
      <c r="D452" s="25">
        <f>IFERROR(IF(C452="","",INDEX(직원명부!$B$5:$B$24,MATCH(C452,직원명부!$A$5:$A$24,0))),"사번 확인")</f>
        <v/>
      </c>
      <c r="E452" s="34" t="n"/>
      <c r="F452" s="34" t="n"/>
      <c r="G452" s="28" t="n"/>
      <c r="H452" s="33">
        <f>IF(OR(E452="",F452=""),"",ROUND(MOD(F452-E452,1)*24-N(G452),2))</f>
        <v/>
      </c>
      <c r="I452" s="33">
        <f>IF(H452="","",ROUND(MAX(0,H452-8),2))</f>
        <v/>
      </c>
      <c r="J452" s="33">
        <f>IF(OR(E452="",F452=""),"",ROUND(IF(MOD(F452,1)&gt;=TIME(22,0,0),(MOD(F452,1)-TIME(22,0,0))*24,IF(MOD(F452,1)&lt;TIME(6,0,0),(MOD(F452,1)+1-TIME(22,0,0))*24,0)),2))</f>
        <v/>
      </c>
      <c r="K452" s="33">
        <f>IF(H452="","",ROUND(IF(L452="휴일근로",MIN(H452,8)*1.5+MAX(0,H452-8)*2,I452*1.5)+N(J452)*0.5,2))</f>
        <v/>
      </c>
      <c r="L452" s="18" t="n"/>
      <c r="M452" s="18" t="n"/>
      <c r="N452" s="22" t="n"/>
    </row>
    <row r="453">
      <c r="A453" s="19" t="n"/>
      <c r="B453" s="25">
        <f>IF(A453="","",CHOOSE(WEEKDAY(A453,2),"월","화","수","목","금","토","일"))</f>
        <v/>
      </c>
      <c r="C453" s="18" t="n"/>
      <c r="D453" s="25">
        <f>IFERROR(IF(C453="","",INDEX(직원명부!$B$5:$B$24,MATCH(C453,직원명부!$A$5:$A$24,0))),"사번 확인")</f>
        <v/>
      </c>
      <c r="E453" s="34" t="n"/>
      <c r="F453" s="34" t="n"/>
      <c r="G453" s="28" t="n"/>
      <c r="H453" s="33">
        <f>IF(OR(E453="",F453=""),"",ROUND(MOD(F453-E453,1)*24-N(G453),2))</f>
        <v/>
      </c>
      <c r="I453" s="33">
        <f>IF(H453="","",ROUND(MAX(0,H453-8),2))</f>
        <v/>
      </c>
      <c r="J453" s="33">
        <f>IF(OR(E453="",F453=""),"",ROUND(IF(MOD(F453,1)&gt;=TIME(22,0,0),(MOD(F453,1)-TIME(22,0,0))*24,IF(MOD(F453,1)&lt;TIME(6,0,0),(MOD(F453,1)+1-TIME(22,0,0))*24,0)),2))</f>
        <v/>
      </c>
      <c r="K453" s="33">
        <f>IF(H453="","",ROUND(IF(L453="휴일근로",MIN(H453,8)*1.5+MAX(0,H453-8)*2,I453*1.5)+N(J453)*0.5,2))</f>
        <v/>
      </c>
      <c r="L453" s="18" t="n"/>
      <c r="M453" s="18" t="n"/>
      <c r="N453" s="22" t="n"/>
    </row>
    <row r="454">
      <c r="A454" s="19" t="n"/>
      <c r="B454" s="25">
        <f>IF(A454="","",CHOOSE(WEEKDAY(A454,2),"월","화","수","목","금","토","일"))</f>
        <v/>
      </c>
      <c r="C454" s="18" t="n"/>
      <c r="D454" s="25">
        <f>IFERROR(IF(C454="","",INDEX(직원명부!$B$5:$B$24,MATCH(C454,직원명부!$A$5:$A$24,0))),"사번 확인")</f>
        <v/>
      </c>
      <c r="E454" s="34" t="n"/>
      <c r="F454" s="34" t="n"/>
      <c r="G454" s="28" t="n"/>
      <c r="H454" s="33">
        <f>IF(OR(E454="",F454=""),"",ROUND(MOD(F454-E454,1)*24-N(G454),2))</f>
        <v/>
      </c>
      <c r="I454" s="33">
        <f>IF(H454="","",ROUND(MAX(0,H454-8),2))</f>
        <v/>
      </c>
      <c r="J454" s="33">
        <f>IF(OR(E454="",F454=""),"",ROUND(IF(MOD(F454,1)&gt;=TIME(22,0,0),(MOD(F454,1)-TIME(22,0,0))*24,IF(MOD(F454,1)&lt;TIME(6,0,0),(MOD(F454,1)+1-TIME(22,0,0))*24,0)),2))</f>
        <v/>
      </c>
      <c r="K454" s="33">
        <f>IF(H454="","",ROUND(IF(L454="휴일근로",MIN(H454,8)*1.5+MAX(0,H454-8)*2,I454*1.5)+N(J454)*0.5,2))</f>
        <v/>
      </c>
      <c r="L454" s="18" t="n"/>
      <c r="M454" s="18" t="n"/>
      <c r="N454" s="22" t="n"/>
    </row>
    <row r="455">
      <c r="A455" s="19" t="n"/>
      <c r="B455" s="25">
        <f>IF(A455="","",CHOOSE(WEEKDAY(A455,2),"월","화","수","목","금","토","일"))</f>
        <v/>
      </c>
      <c r="C455" s="18" t="n"/>
      <c r="D455" s="25">
        <f>IFERROR(IF(C455="","",INDEX(직원명부!$B$5:$B$24,MATCH(C455,직원명부!$A$5:$A$24,0))),"사번 확인")</f>
        <v/>
      </c>
      <c r="E455" s="34" t="n"/>
      <c r="F455" s="34" t="n"/>
      <c r="G455" s="28" t="n"/>
      <c r="H455" s="33">
        <f>IF(OR(E455="",F455=""),"",ROUND(MOD(F455-E455,1)*24-N(G455),2))</f>
        <v/>
      </c>
      <c r="I455" s="33">
        <f>IF(H455="","",ROUND(MAX(0,H455-8),2))</f>
        <v/>
      </c>
      <c r="J455" s="33">
        <f>IF(OR(E455="",F455=""),"",ROUND(IF(MOD(F455,1)&gt;=TIME(22,0,0),(MOD(F455,1)-TIME(22,0,0))*24,IF(MOD(F455,1)&lt;TIME(6,0,0),(MOD(F455,1)+1-TIME(22,0,0))*24,0)),2))</f>
        <v/>
      </c>
      <c r="K455" s="33">
        <f>IF(H455="","",ROUND(IF(L455="휴일근로",MIN(H455,8)*1.5+MAX(0,H455-8)*2,I455*1.5)+N(J455)*0.5,2))</f>
        <v/>
      </c>
      <c r="L455" s="18" t="n"/>
      <c r="M455" s="18" t="n"/>
      <c r="N455" s="22" t="n"/>
    </row>
    <row r="456">
      <c r="A456" s="19" t="n"/>
      <c r="B456" s="25">
        <f>IF(A456="","",CHOOSE(WEEKDAY(A456,2),"월","화","수","목","금","토","일"))</f>
        <v/>
      </c>
      <c r="C456" s="18" t="n"/>
      <c r="D456" s="25">
        <f>IFERROR(IF(C456="","",INDEX(직원명부!$B$5:$B$24,MATCH(C456,직원명부!$A$5:$A$24,0))),"사번 확인")</f>
        <v/>
      </c>
      <c r="E456" s="34" t="n"/>
      <c r="F456" s="34" t="n"/>
      <c r="G456" s="28" t="n"/>
      <c r="H456" s="33">
        <f>IF(OR(E456="",F456=""),"",ROUND(MOD(F456-E456,1)*24-N(G456),2))</f>
        <v/>
      </c>
      <c r="I456" s="33">
        <f>IF(H456="","",ROUND(MAX(0,H456-8),2))</f>
        <v/>
      </c>
      <c r="J456" s="33">
        <f>IF(OR(E456="",F456=""),"",ROUND(IF(MOD(F456,1)&gt;=TIME(22,0,0),(MOD(F456,1)-TIME(22,0,0))*24,IF(MOD(F456,1)&lt;TIME(6,0,0),(MOD(F456,1)+1-TIME(22,0,0))*24,0)),2))</f>
        <v/>
      </c>
      <c r="K456" s="33">
        <f>IF(H456="","",ROUND(IF(L456="휴일근로",MIN(H456,8)*1.5+MAX(0,H456-8)*2,I456*1.5)+N(J456)*0.5,2))</f>
        <v/>
      </c>
      <c r="L456" s="18" t="n"/>
      <c r="M456" s="18" t="n"/>
      <c r="N456" s="22" t="n"/>
    </row>
    <row r="457">
      <c r="A457" s="19" t="n"/>
      <c r="B457" s="25">
        <f>IF(A457="","",CHOOSE(WEEKDAY(A457,2),"월","화","수","목","금","토","일"))</f>
        <v/>
      </c>
      <c r="C457" s="18" t="n"/>
      <c r="D457" s="25">
        <f>IFERROR(IF(C457="","",INDEX(직원명부!$B$5:$B$24,MATCH(C457,직원명부!$A$5:$A$24,0))),"사번 확인")</f>
        <v/>
      </c>
      <c r="E457" s="34" t="n"/>
      <c r="F457" s="34" t="n"/>
      <c r="G457" s="28" t="n"/>
      <c r="H457" s="33">
        <f>IF(OR(E457="",F457=""),"",ROUND(MOD(F457-E457,1)*24-N(G457),2))</f>
        <v/>
      </c>
      <c r="I457" s="33">
        <f>IF(H457="","",ROUND(MAX(0,H457-8),2))</f>
        <v/>
      </c>
      <c r="J457" s="33">
        <f>IF(OR(E457="",F457=""),"",ROUND(IF(MOD(F457,1)&gt;=TIME(22,0,0),(MOD(F457,1)-TIME(22,0,0))*24,IF(MOD(F457,1)&lt;TIME(6,0,0),(MOD(F457,1)+1-TIME(22,0,0))*24,0)),2))</f>
        <v/>
      </c>
      <c r="K457" s="33">
        <f>IF(H457="","",ROUND(IF(L457="휴일근로",MIN(H457,8)*1.5+MAX(0,H457-8)*2,I457*1.5)+N(J457)*0.5,2))</f>
        <v/>
      </c>
      <c r="L457" s="18" t="n"/>
      <c r="M457" s="18" t="n"/>
      <c r="N457" s="22" t="n"/>
    </row>
    <row r="458">
      <c r="A458" s="19" t="n"/>
      <c r="B458" s="25">
        <f>IF(A458="","",CHOOSE(WEEKDAY(A458,2),"월","화","수","목","금","토","일"))</f>
        <v/>
      </c>
      <c r="C458" s="18" t="n"/>
      <c r="D458" s="25">
        <f>IFERROR(IF(C458="","",INDEX(직원명부!$B$5:$B$24,MATCH(C458,직원명부!$A$5:$A$24,0))),"사번 확인")</f>
        <v/>
      </c>
      <c r="E458" s="34" t="n"/>
      <c r="F458" s="34" t="n"/>
      <c r="G458" s="28" t="n"/>
      <c r="H458" s="33">
        <f>IF(OR(E458="",F458=""),"",ROUND(MOD(F458-E458,1)*24-N(G458),2))</f>
        <v/>
      </c>
      <c r="I458" s="33">
        <f>IF(H458="","",ROUND(MAX(0,H458-8),2))</f>
        <v/>
      </c>
      <c r="J458" s="33">
        <f>IF(OR(E458="",F458=""),"",ROUND(IF(MOD(F458,1)&gt;=TIME(22,0,0),(MOD(F458,1)-TIME(22,0,0))*24,IF(MOD(F458,1)&lt;TIME(6,0,0),(MOD(F458,1)+1-TIME(22,0,0))*24,0)),2))</f>
        <v/>
      </c>
      <c r="K458" s="33">
        <f>IF(H458="","",ROUND(IF(L458="휴일근로",MIN(H458,8)*1.5+MAX(0,H458-8)*2,I458*1.5)+N(J458)*0.5,2))</f>
        <v/>
      </c>
      <c r="L458" s="18" t="n"/>
      <c r="M458" s="18" t="n"/>
      <c r="N458" s="22" t="n"/>
    </row>
    <row r="459">
      <c r="A459" s="19" t="n"/>
      <c r="B459" s="25">
        <f>IF(A459="","",CHOOSE(WEEKDAY(A459,2),"월","화","수","목","금","토","일"))</f>
        <v/>
      </c>
      <c r="C459" s="18" t="n"/>
      <c r="D459" s="25">
        <f>IFERROR(IF(C459="","",INDEX(직원명부!$B$5:$B$24,MATCH(C459,직원명부!$A$5:$A$24,0))),"사번 확인")</f>
        <v/>
      </c>
      <c r="E459" s="34" t="n"/>
      <c r="F459" s="34" t="n"/>
      <c r="G459" s="28" t="n"/>
      <c r="H459" s="33">
        <f>IF(OR(E459="",F459=""),"",ROUND(MOD(F459-E459,1)*24-N(G459),2))</f>
        <v/>
      </c>
      <c r="I459" s="33">
        <f>IF(H459="","",ROUND(MAX(0,H459-8),2))</f>
        <v/>
      </c>
      <c r="J459" s="33">
        <f>IF(OR(E459="",F459=""),"",ROUND(IF(MOD(F459,1)&gt;=TIME(22,0,0),(MOD(F459,1)-TIME(22,0,0))*24,IF(MOD(F459,1)&lt;TIME(6,0,0),(MOD(F459,1)+1-TIME(22,0,0))*24,0)),2))</f>
        <v/>
      </c>
      <c r="K459" s="33">
        <f>IF(H459="","",ROUND(IF(L459="휴일근로",MIN(H459,8)*1.5+MAX(0,H459-8)*2,I459*1.5)+N(J459)*0.5,2))</f>
        <v/>
      </c>
      <c r="L459" s="18" t="n"/>
      <c r="M459" s="18" t="n"/>
      <c r="N459" s="22" t="n"/>
    </row>
    <row r="460">
      <c r="A460" s="19" t="n"/>
      <c r="B460" s="25">
        <f>IF(A460="","",CHOOSE(WEEKDAY(A460,2),"월","화","수","목","금","토","일"))</f>
        <v/>
      </c>
      <c r="C460" s="18" t="n"/>
      <c r="D460" s="25">
        <f>IFERROR(IF(C460="","",INDEX(직원명부!$B$5:$B$24,MATCH(C460,직원명부!$A$5:$A$24,0))),"사번 확인")</f>
        <v/>
      </c>
      <c r="E460" s="34" t="n"/>
      <c r="F460" s="34" t="n"/>
      <c r="G460" s="28" t="n"/>
      <c r="H460" s="33">
        <f>IF(OR(E460="",F460=""),"",ROUND(MOD(F460-E460,1)*24-N(G460),2))</f>
        <v/>
      </c>
      <c r="I460" s="33">
        <f>IF(H460="","",ROUND(MAX(0,H460-8),2))</f>
        <v/>
      </c>
      <c r="J460" s="33">
        <f>IF(OR(E460="",F460=""),"",ROUND(IF(MOD(F460,1)&gt;=TIME(22,0,0),(MOD(F460,1)-TIME(22,0,0))*24,IF(MOD(F460,1)&lt;TIME(6,0,0),(MOD(F460,1)+1-TIME(22,0,0))*24,0)),2))</f>
        <v/>
      </c>
      <c r="K460" s="33">
        <f>IF(H460="","",ROUND(IF(L460="휴일근로",MIN(H460,8)*1.5+MAX(0,H460-8)*2,I460*1.5)+N(J460)*0.5,2))</f>
        <v/>
      </c>
      <c r="L460" s="18" t="n"/>
      <c r="M460" s="18" t="n"/>
      <c r="N460" s="22" t="n"/>
    </row>
    <row r="461">
      <c r="A461" s="19" t="n"/>
      <c r="B461" s="25">
        <f>IF(A461="","",CHOOSE(WEEKDAY(A461,2),"월","화","수","목","금","토","일"))</f>
        <v/>
      </c>
      <c r="C461" s="18" t="n"/>
      <c r="D461" s="25">
        <f>IFERROR(IF(C461="","",INDEX(직원명부!$B$5:$B$24,MATCH(C461,직원명부!$A$5:$A$24,0))),"사번 확인")</f>
        <v/>
      </c>
      <c r="E461" s="34" t="n"/>
      <c r="F461" s="34" t="n"/>
      <c r="G461" s="28" t="n"/>
      <c r="H461" s="33">
        <f>IF(OR(E461="",F461=""),"",ROUND(MOD(F461-E461,1)*24-N(G461),2))</f>
        <v/>
      </c>
      <c r="I461" s="33">
        <f>IF(H461="","",ROUND(MAX(0,H461-8),2))</f>
        <v/>
      </c>
      <c r="J461" s="33">
        <f>IF(OR(E461="",F461=""),"",ROUND(IF(MOD(F461,1)&gt;=TIME(22,0,0),(MOD(F461,1)-TIME(22,0,0))*24,IF(MOD(F461,1)&lt;TIME(6,0,0),(MOD(F461,1)+1-TIME(22,0,0))*24,0)),2))</f>
        <v/>
      </c>
      <c r="K461" s="33">
        <f>IF(H461="","",ROUND(IF(L461="휴일근로",MIN(H461,8)*1.5+MAX(0,H461-8)*2,I461*1.5)+N(J461)*0.5,2))</f>
        <v/>
      </c>
      <c r="L461" s="18" t="n"/>
      <c r="M461" s="18" t="n"/>
      <c r="N461" s="22" t="n"/>
    </row>
    <row r="462">
      <c r="A462" s="19" t="n"/>
      <c r="B462" s="25">
        <f>IF(A462="","",CHOOSE(WEEKDAY(A462,2),"월","화","수","목","금","토","일"))</f>
        <v/>
      </c>
      <c r="C462" s="18" t="n"/>
      <c r="D462" s="25">
        <f>IFERROR(IF(C462="","",INDEX(직원명부!$B$5:$B$24,MATCH(C462,직원명부!$A$5:$A$24,0))),"사번 확인")</f>
        <v/>
      </c>
      <c r="E462" s="34" t="n"/>
      <c r="F462" s="34" t="n"/>
      <c r="G462" s="28" t="n"/>
      <c r="H462" s="33">
        <f>IF(OR(E462="",F462=""),"",ROUND(MOD(F462-E462,1)*24-N(G462),2))</f>
        <v/>
      </c>
      <c r="I462" s="33">
        <f>IF(H462="","",ROUND(MAX(0,H462-8),2))</f>
        <v/>
      </c>
      <c r="J462" s="33">
        <f>IF(OR(E462="",F462=""),"",ROUND(IF(MOD(F462,1)&gt;=TIME(22,0,0),(MOD(F462,1)-TIME(22,0,0))*24,IF(MOD(F462,1)&lt;TIME(6,0,0),(MOD(F462,1)+1-TIME(22,0,0))*24,0)),2))</f>
        <v/>
      </c>
      <c r="K462" s="33">
        <f>IF(H462="","",ROUND(IF(L462="휴일근로",MIN(H462,8)*1.5+MAX(0,H462-8)*2,I462*1.5)+N(J462)*0.5,2))</f>
        <v/>
      </c>
      <c r="L462" s="18" t="n"/>
      <c r="M462" s="18" t="n"/>
      <c r="N462" s="22" t="n"/>
    </row>
    <row r="463">
      <c r="A463" s="19" t="n"/>
      <c r="B463" s="25">
        <f>IF(A463="","",CHOOSE(WEEKDAY(A463,2),"월","화","수","목","금","토","일"))</f>
        <v/>
      </c>
      <c r="C463" s="18" t="n"/>
      <c r="D463" s="25">
        <f>IFERROR(IF(C463="","",INDEX(직원명부!$B$5:$B$24,MATCH(C463,직원명부!$A$5:$A$24,0))),"사번 확인")</f>
        <v/>
      </c>
      <c r="E463" s="34" t="n"/>
      <c r="F463" s="34" t="n"/>
      <c r="G463" s="28" t="n"/>
      <c r="H463" s="33">
        <f>IF(OR(E463="",F463=""),"",ROUND(MOD(F463-E463,1)*24-N(G463),2))</f>
        <v/>
      </c>
      <c r="I463" s="33">
        <f>IF(H463="","",ROUND(MAX(0,H463-8),2))</f>
        <v/>
      </c>
      <c r="J463" s="33">
        <f>IF(OR(E463="",F463=""),"",ROUND(IF(MOD(F463,1)&gt;=TIME(22,0,0),(MOD(F463,1)-TIME(22,0,0))*24,IF(MOD(F463,1)&lt;TIME(6,0,0),(MOD(F463,1)+1-TIME(22,0,0))*24,0)),2))</f>
        <v/>
      </c>
      <c r="K463" s="33">
        <f>IF(H463="","",ROUND(IF(L463="휴일근로",MIN(H463,8)*1.5+MAX(0,H463-8)*2,I463*1.5)+N(J463)*0.5,2))</f>
        <v/>
      </c>
      <c r="L463" s="18" t="n"/>
      <c r="M463" s="18" t="n"/>
      <c r="N463" s="22" t="n"/>
    </row>
    <row r="464">
      <c r="A464" s="19" t="n"/>
      <c r="B464" s="25">
        <f>IF(A464="","",CHOOSE(WEEKDAY(A464,2),"월","화","수","목","금","토","일"))</f>
        <v/>
      </c>
      <c r="C464" s="18" t="n"/>
      <c r="D464" s="25">
        <f>IFERROR(IF(C464="","",INDEX(직원명부!$B$5:$B$24,MATCH(C464,직원명부!$A$5:$A$24,0))),"사번 확인")</f>
        <v/>
      </c>
      <c r="E464" s="34" t="n"/>
      <c r="F464" s="34" t="n"/>
      <c r="G464" s="28" t="n"/>
      <c r="H464" s="33">
        <f>IF(OR(E464="",F464=""),"",ROUND(MOD(F464-E464,1)*24-N(G464),2))</f>
        <v/>
      </c>
      <c r="I464" s="33">
        <f>IF(H464="","",ROUND(MAX(0,H464-8),2))</f>
        <v/>
      </c>
      <c r="J464" s="33">
        <f>IF(OR(E464="",F464=""),"",ROUND(IF(MOD(F464,1)&gt;=TIME(22,0,0),(MOD(F464,1)-TIME(22,0,0))*24,IF(MOD(F464,1)&lt;TIME(6,0,0),(MOD(F464,1)+1-TIME(22,0,0))*24,0)),2))</f>
        <v/>
      </c>
      <c r="K464" s="33">
        <f>IF(H464="","",ROUND(IF(L464="휴일근로",MIN(H464,8)*1.5+MAX(0,H464-8)*2,I464*1.5)+N(J464)*0.5,2))</f>
        <v/>
      </c>
      <c r="L464" s="18" t="n"/>
      <c r="M464" s="18" t="n"/>
      <c r="N464" s="22" t="n"/>
    </row>
    <row r="465">
      <c r="A465" s="19" t="n"/>
      <c r="B465" s="25">
        <f>IF(A465="","",CHOOSE(WEEKDAY(A465,2),"월","화","수","목","금","토","일"))</f>
        <v/>
      </c>
      <c r="C465" s="18" t="n"/>
      <c r="D465" s="25">
        <f>IFERROR(IF(C465="","",INDEX(직원명부!$B$5:$B$24,MATCH(C465,직원명부!$A$5:$A$24,0))),"사번 확인")</f>
        <v/>
      </c>
      <c r="E465" s="34" t="n"/>
      <c r="F465" s="34" t="n"/>
      <c r="G465" s="28" t="n"/>
      <c r="H465" s="33">
        <f>IF(OR(E465="",F465=""),"",ROUND(MOD(F465-E465,1)*24-N(G465),2))</f>
        <v/>
      </c>
      <c r="I465" s="33">
        <f>IF(H465="","",ROUND(MAX(0,H465-8),2))</f>
        <v/>
      </c>
      <c r="J465" s="33">
        <f>IF(OR(E465="",F465=""),"",ROUND(IF(MOD(F465,1)&gt;=TIME(22,0,0),(MOD(F465,1)-TIME(22,0,0))*24,IF(MOD(F465,1)&lt;TIME(6,0,0),(MOD(F465,1)+1-TIME(22,0,0))*24,0)),2))</f>
        <v/>
      </c>
      <c r="K465" s="33">
        <f>IF(H465="","",ROUND(IF(L465="휴일근로",MIN(H465,8)*1.5+MAX(0,H465-8)*2,I465*1.5)+N(J465)*0.5,2))</f>
        <v/>
      </c>
      <c r="L465" s="18" t="n"/>
      <c r="M465" s="18" t="n"/>
      <c r="N465" s="22" t="n"/>
    </row>
    <row r="466">
      <c r="A466" s="19" t="n"/>
      <c r="B466" s="25">
        <f>IF(A466="","",CHOOSE(WEEKDAY(A466,2),"월","화","수","목","금","토","일"))</f>
        <v/>
      </c>
      <c r="C466" s="18" t="n"/>
      <c r="D466" s="25">
        <f>IFERROR(IF(C466="","",INDEX(직원명부!$B$5:$B$24,MATCH(C466,직원명부!$A$5:$A$24,0))),"사번 확인")</f>
        <v/>
      </c>
      <c r="E466" s="34" t="n"/>
      <c r="F466" s="34" t="n"/>
      <c r="G466" s="28" t="n"/>
      <c r="H466" s="33">
        <f>IF(OR(E466="",F466=""),"",ROUND(MOD(F466-E466,1)*24-N(G466),2))</f>
        <v/>
      </c>
      <c r="I466" s="33">
        <f>IF(H466="","",ROUND(MAX(0,H466-8),2))</f>
        <v/>
      </c>
      <c r="J466" s="33">
        <f>IF(OR(E466="",F466=""),"",ROUND(IF(MOD(F466,1)&gt;=TIME(22,0,0),(MOD(F466,1)-TIME(22,0,0))*24,IF(MOD(F466,1)&lt;TIME(6,0,0),(MOD(F466,1)+1-TIME(22,0,0))*24,0)),2))</f>
        <v/>
      </c>
      <c r="K466" s="33">
        <f>IF(H466="","",ROUND(IF(L466="휴일근로",MIN(H466,8)*1.5+MAX(0,H466-8)*2,I466*1.5)+N(J466)*0.5,2))</f>
        <v/>
      </c>
      <c r="L466" s="18" t="n"/>
      <c r="M466" s="18" t="n"/>
      <c r="N466" s="22" t="n"/>
    </row>
    <row r="467">
      <c r="A467" s="19" t="n"/>
      <c r="B467" s="25">
        <f>IF(A467="","",CHOOSE(WEEKDAY(A467,2),"월","화","수","목","금","토","일"))</f>
        <v/>
      </c>
      <c r="C467" s="18" t="n"/>
      <c r="D467" s="25">
        <f>IFERROR(IF(C467="","",INDEX(직원명부!$B$5:$B$24,MATCH(C467,직원명부!$A$5:$A$24,0))),"사번 확인")</f>
        <v/>
      </c>
      <c r="E467" s="34" t="n"/>
      <c r="F467" s="34" t="n"/>
      <c r="G467" s="28" t="n"/>
      <c r="H467" s="33">
        <f>IF(OR(E467="",F467=""),"",ROUND(MOD(F467-E467,1)*24-N(G467),2))</f>
        <v/>
      </c>
      <c r="I467" s="33">
        <f>IF(H467="","",ROUND(MAX(0,H467-8),2))</f>
        <v/>
      </c>
      <c r="J467" s="33">
        <f>IF(OR(E467="",F467=""),"",ROUND(IF(MOD(F467,1)&gt;=TIME(22,0,0),(MOD(F467,1)-TIME(22,0,0))*24,IF(MOD(F467,1)&lt;TIME(6,0,0),(MOD(F467,1)+1-TIME(22,0,0))*24,0)),2))</f>
        <v/>
      </c>
      <c r="K467" s="33">
        <f>IF(H467="","",ROUND(IF(L467="휴일근로",MIN(H467,8)*1.5+MAX(0,H467-8)*2,I467*1.5)+N(J467)*0.5,2))</f>
        <v/>
      </c>
      <c r="L467" s="18" t="n"/>
      <c r="M467" s="18" t="n"/>
      <c r="N467" s="22" t="n"/>
    </row>
    <row r="468">
      <c r="A468" s="19" t="n"/>
      <c r="B468" s="25">
        <f>IF(A468="","",CHOOSE(WEEKDAY(A468,2),"월","화","수","목","금","토","일"))</f>
        <v/>
      </c>
      <c r="C468" s="18" t="n"/>
      <c r="D468" s="25">
        <f>IFERROR(IF(C468="","",INDEX(직원명부!$B$5:$B$24,MATCH(C468,직원명부!$A$5:$A$24,0))),"사번 확인")</f>
        <v/>
      </c>
      <c r="E468" s="34" t="n"/>
      <c r="F468" s="34" t="n"/>
      <c r="G468" s="28" t="n"/>
      <c r="H468" s="33">
        <f>IF(OR(E468="",F468=""),"",ROUND(MOD(F468-E468,1)*24-N(G468),2))</f>
        <v/>
      </c>
      <c r="I468" s="33">
        <f>IF(H468="","",ROUND(MAX(0,H468-8),2))</f>
        <v/>
      </c>
      <c r="J468" s="33">
        <f>IF(OR(E468="",F468=""),"",ROUND(IF(MOD(F468,1)&gt;=TIME(22,0,0),(MOD(F468,1)-TIME(22,0,0))*24,IF(MOD(F468,1)&lt;TIME(6,0,0),(MOD(F468,1)+1-TIME(22,0,0))*24,0)),2))</f>
        <v/>
      </c>
      <c r="K468" s="33">
        <f>IF(H468="","",ROUND(IF(L468="휴일근로",MIN(H468,8)*1.5+MAX(0,H468-8)*2,I468*1.5)+N(J468)*0.5,2))</f>
        <v/>
      </c>
      <c r="L468" s="18" t="n"/>
      <c r="M468" s="18" t="n"/>
      <c r="N468" s="22" t="n"/>
    </row>
    <row r="469">
      <c r="A469" s="19" t="n"/>
      <c r="B469" s="25">
        <f>IF(A469="","",CHOOSE(WEEKDAY(A469,2),"월","화","수","목","금","토","일"))</f>
        <v/>
      </c>
      <c r="C469" s="18" t="n"/>
      <c r="D469" s="25">
        <f>IFERROR(IF(C469="","",INDEX(직원명부!$B$5:$B$24,MATCH(C469,직원명부!$A$5:$A$24,0))),"사번 확인")</f>
        <v/>
      </c>
      <c r="E469" s="34" t="n"/>
      <c r="F469" s="34" t="n"/>
      <c r="G469" s="28" t="n"/>
      <c r="H469" s="33">
        <f>IF(OR(E469="",F469=""),"",ROUND(MOD(F469-E469,1)*24-N(G469),2))</f>
        <v/>
      </c>
      <c r="I469" s="33">
        <f>IF(H469="","",ROUND(MAX(0,H469-8),2))</f>
        <v/>
      </c>
      <c r="J469" s="33">
        <f>IF(OR(E469="",F469=""),"",ROUND(IF(MOD(F469,1)&gt;=TIME(22,0,0),(MOD(F469,1)-TIME(22,0,0))*24,IF(MOD(F469,1)&lt;TIME(6,0,0),(MOD(F469,1)+1-TIME(22,0,0))*24,0)),2))</f>
        <v/>
      </c>
      <c r="K469" s="33">
        <f>IF(H469="","",ROUND(IF(L469="휴일근로",MIN(H469,8)*1.5+MAX(0,H469-8)*2,I469*1.5)+N(J469)*0.5,2))</f>
        <v/>
      </c>
      <c r="L469" s="18" t="n"/>
      <c r="M469" s="18" t="n"/>
      <c r="N469" s="22" t="n"/>
    </row>
    <row r="470">
      <c r="A470" s="19" t="n"/>
      <c r="B470" s="25">
        <f>IF(A470="","",CHOOSE(WEEKDAY(A470,2),"월","화","수","목","금","토","일"))</f>
        <v/>
      </c>
      <c r="C470" s="18" t="n"/>
      <c r="D470" s="25">
        <f>IFERROR(IF(C470="","",INDEX(직원명부!$B$5:$B$24,MATCH(C470,직원명부!$A$5:$A$24,0))),"사번 확인")</f>
        <v/>
      </c>
      <c r="E470" s="34" t="n"/>
      <c r="F470" s="34" t="n"/>
      <c r="G470" s="28" t="n"/>
      <c r="H470" s="33">
        <f>IF(OR(E470="",F470=""),"",ROUND(MOD(F470-E470,1)*24-N(G470),2))</f>
        <v/>
      </c>
      <c r="I470" s="33">
        <f>IF(H470="","",ROUND(MAX(0,H470-8),2))</f>
        <v/>
      </c>
      <c r="J470" s="33">
        <f>IF(OR(E470="",F470=""),"",ROUND(IF(MOD(F470,1)&gt;=TIME(22,0,0),(MOD(F470,1)-TIME(22,0,0))*24,IF(MOD(F470,1)&lt;TIME(6,0,0),(MOD(F470,1)+1-TIME(22,0,0))*24,0)),2))</f>
        <v/>
      </c>
      <c r="K470" s="33">
        <f>IF(H470="","",ROUND(IF(L470="휴일근로",MIN(H470,8)*1.5+MAX(0,H470-8)*2,I470*1.5)+N(J470)*0.5,2))</f>
        <v/>
      </c>
      <c r="L470" s="18" t="n"/>
      <c r="M470" s="18" t="n"/>
      <c r="N470" s="22" t="n"/>
    </row>
    <row r="471">
      <c r="A471" s="19" t="n"/>
      <c r="B471" s="25">
        <f>IF(A471="","",CHOOSE(WEEKDAY(A471,2),"월","화","수","목","금","토","일"))</f>
        <v/>
      </c>
      <c r="C471" s="18" t="n"/>
      <c r="D471" s="25">
        <f>IFERROR(IF(C471="","",INDEX(직원명부!$B$5:$B$24,MATCH(C471,직원명부!$A$5:$A$24,0))),"사번 확인")</f>
        <v/>
      </c>
      <c r="E471" s="34" t="n"/>
      <c r="F471" s="34" t="n"/>
      <c r="G471" s="28" t="n"/>
      <c r="H471" s="33">
        <f>IF(OR(E471="",F471=""),"",ROUND(MOD(F471-E471,1)*24-N(G471),2))</f>
        <v/>
      </c>
      <c r="I471" s="33">
        <f>IF(H471="","",ROUND(MAX(0,H471-8),2))</f>
        <v/>
      </c>
      <c r="J471" s="33">
        <f>IF(OR(E471="",F471=""),"",ROUND(IF(MOD(F471,1)&gt;=TIME(22,0,0),(MOD(F471,1)-TIME(22,0,0))*24,IF(MOD(F471,1)&lt;TIME(6,0,0),(MOD(F471,1)+1-TIME(22,0,0))*24,0)),2))</f>
        <v/>
      </c>
      <c r="K471" s="33">
        <f>IF(H471="","",ROUND(IF(L471="휴일근로",MIN(H471,8)*1.5+MAX(0,H471-8)*2,I471*1.5)+N(J471)*0.5,2))</f>
        <v/>
      </c>
      <c r="L471" s="18" t="n"/>
      <c r="M471" s="18" t="n"/>
      <c r="N471" s="22" t="n"/>
    </row>
    <row r="472">
      <c r="A472" s="19" t="n"/>
      <c r="B472" s="25">
        <f>IF(A472="","",CHOOSE(WEEKDAY(A472,2),"월","화","수","목","금","토","일"))</f>
        <v/>
      </c>
      <c r="C472" s="18" t="n"/>
      <c r="D472" s="25">
        <f>IFERROR(IF(C472="","",INDEX(직원명부!$B$5:$B$24,MATCH(C472,직원명부!$A$5:$A$24,0))),"사번 확인")</f>
        <v/>
      </c>
      <c r="E472" s="34" t="n"/>
      <c r="F472" s="34" t="n"/>
      <c r="G472" s="28" t="n"/>
      <c r="H472" s="33">
        <f>IF(OR(E472="",F472=""),"",ROUND(MOD(F472-E472,1)*24-N(G472),2))</f>
        <v/>
      </c>
      <c r="I472" s="33">
        <f>IF(H472="","",ROUND(MAX(0,H472-8),2))</f>
        <v/>
      </c>
      <c r="J472" s="33">
        <f>IF(OR(E472="",F472=""),"",ROUND(IF(MOD(F472,1)&gt;=TIME(22,0,0),(MOD(F472,1)-TIME(22,0,0))*24,IF(MOD(F472,1)&lt;TIME(6,0,0),(MOD(F472,1)+1-TIME(22,0,0))*24,0)),2))</f>
        <v/>
      </c>
      <c r="K472" s="33">
        <f>IF(H472="","",ROUND(IF(L472="휴일근로",MIN(H472,8)*1.5+MAX(0,H472-8)*2,I472*1.5)+N(J472)*0.5,2))</f>
        <v/>
      </c>
      <c r="L472" s="18" t="n"/>
      <c r="M472" s="18" t="n"/>
      <c r="N472" s="22" t="n"/>
    </row>
    <row r="473">
      <c r="A473" s="19" t="n"/>
      <c r="B473" s="25">
        <f>IF(A473="","",CHOOSE(WEEKDAY(A473,2),"월","화","수","목","금","토","일"))</f>
        <v/>
      </c>
      <c r="C473" s="18" t="n"/>
      <c r="D473" s="25">
        <f>IFERROR(IF(C473="","",INDEX(직원명부!$B$5:$B$24,MATCH(C473,직원명부!$A$5:$A$24,0))),"사번 확인")</f>
        <v/>
      </c>
      <c r="E473" s="34" t="n"/>
      <c r="F473" s="34" t="n"/>
      <c r="G473" s="28" t="n"/>
      <c r="H473" s="33">
        <f>IF(OR(E473="",F473=""),"",ROUND(MOD(F473-E473,1)*24-N(G473),2))</f>
        <v/>
      </c>
      <c r="I473" s="33">
        <f>IF(H473="","",ROUND(MAX(0,H473-8),2))</f>
        <v/>
      </c>
      <c r="J473" s="33">
        <f>IF(OR(E473="",F473=""),"",ROUND(IF(MOD(F473,1)&gt;=TIME(22,0,0),(MOD(F473,1)-TIME(22,0,0))*24,IF(MOD(F473,1)&lt;TIME(6,0,0),(MOD(F473,1)+1-TIME(22,0,0))*24,0)),2))</f>
        <v/>
      </c>
      <c r="K473" s="33">
        <f>IF(H473="","",ROUND(IF(L473="휴일근로",MIN(H473,8)*1.5+MAX(0,H473-8)*2,I473*1.5)+N(J473)*0.5,2))</f>
        <v/>
      </c>
      <c r="L473" s="18" t="n"/>
      <c r="M473" s="18" t="n"/>
      <c r="N473" s="22" t="n"/>
    </row>
    <row r="474">
      <c r="A474" s="19" t="n"/>
      <c r="B474" s="25">
        <f>IF(A474="","",CHOOSE(WEEKDAY(A474,2),"월","화","수","목","금","토","일"))</f>
        <v/>
      </c>
      <c r="C474" s="18" t="n"/>
      <c r="D474" s="25">
        <f>IFERROR(IF(C474="","",INDEX(직원명부!$B$5:$B$24,MATCH(C474,직원명부!$A$5:$A$24,0))),"사번 확인")</f>
        <v/>
      </c>
      <c r="E474" s="34" t="n"/>
      <c r="F474" s="34" t="n"/>
      <c r="G474" s="28" t="n"/>
      <c r="H474" s="33">
        <f>IF(OR(E474="",F474=""),"",ROUND(MOD(F474-E474,1)*24-N(G474),2))</f>
        <v/>
      </c>
      <c r="I474" s="33">
        <f>IF(H474="","",ROUND(MAX(0,H474-8),2))</f>
        <v/>
      </c>
      <c r="J474" s="33">
        <f>IF(OR(E474="",F474=""),"",ROUND(IF(MOD(F474,1)&gt;=TIME(22,0,0),(MOD(F474,1)-TIME(22,0,0))*24,IF(MOD(F474,1)&lt;TIME(6,0,0),(MOD(F474,1)+1-TIME(22,0,0))*24,0)),2))</f>
        <v/>
      </c>
      <c r="K474" s="33">
        <f>IF(H474="","",ROUND(IF(L474="휴일근로",MIN(H474,8)*1.5+MAX(0,H474-8)*2,I474*1.5)+N(J474)*0.5,2))</f>
        <v/>
      </c>
      <c r="L474" s="18" t="n"/>
      <c r="M474" s="18" t="n"/>
      <c r="N474" s="22" t="n"/>
    </row>
    <row r="475">
      <c r="A475" s="19" t="n"/>
      <c r="B475" s="25">
        <f>IF(A475="","",CHOOSE(WEEKDAY(A475,2),"월","화","수","목","금","토","일"))</f>
        <v/>
      </c>
      <c r="C475" s="18" t="n"/>
      <c r="D475" s="25">
        <f>IFERROR(IF(C475="","",INDEX(직원명부!$B$5:$B$24,MATCH(C475,직원명부!$A$5:$A$24,0))),"사번 확인")</f>
        <v/>
      </c>
      <c r="E475" s="34" t="n"/>
      <c r="F475" s="34" t="n"/>
      <c r="G475" s="28" t="n"/>
      <c r="H475" s="33">
        <f>IF(OR(E475="",F475=""),"",ROUND(MOD(F475-E475,1)*24-N(G475),2))</f>
        <v/>
      </c>
      <c r="I475" s="33">
        <f>IF(H475="","",ROUND(MAX(0,H475-8),2))</f>
        <v/>
      </c>
      <c r="J475" s="33">
        <f>IF(OR(E475="",F475=""),"",ROUND(IF(MOD(F475,1)&gt;=TIME(22,0,0),(MOD(F475,1)-TIME(22,0,0))*24,IF(MOD(F475,1)&lt;TIME(6,0,0),(MOD(F475,1)+1-TIME(22,0,0))*24,0)),2))</f>
        <v/>
      </c>
      <c r="K475" s="33">
        <f>IF(H475="","",ROUND(IF(L475="휴일근로",MIN(H475,8)*1.5+MAX(0,H475-8)*2,I475*1.5)+N(J475)*0.5,2))</f>
        <v/>
      </c>
      <c r="L475" s="18" t="n"/>
      <c r="M475" s="18" t="n"/>
      <c r="N475" s="22" t="n"/>
    </row>
    <row r="476">
      <c r="A476" s="19" t="n"/>
      <c r="B476" s="25">
        <f>IF(A476="","",CHOOSE(WEEKDAY(A476,2),"월","화","수","목","금","토","일"))</f>
        <v/>
      </c>
      <c r="C476" s="18" t="n"/>
      <c r="D476" s="25">
        <f>IFERROR(IF(C476="","",INDEX(직원명부!$B$5:$B$24,MATCH(C476,직원명부!$A$5:$A$24,0))),"사번 확인")</f>
        <v/>
      </c>
      <c r="E476" s="34" t="n"/>
      <c r="F476" s="34" t="n"/>
      <c r="G476" s="28" t="n"/>
      <c r="H476" s="33">
        <f>IF(OR(E476="",F476=""),"",ROUND(MOD(F476-E476,1)*24-N(G476),2))</f>
        <v/>
      </c>
      <c r="I476" s="33">
        <f>IF(H476="","",ROUND(MAX(0,H476-8),2))</f>
        <v/>
      </c>
      <c r="J476" s="33">
        <f>IF(OR(E476="",F476=""),"",ROUND(IF(MOD(F476,1)&gt;=TIME(22,0,0),(MOD(F476,1)-TIME(22,0,0))*24,IF(MOD(F476,1)&lt;TIME(6,0,0),(MOD(F476,1)+1-TIME(22,0,0))*24,0)),2))</f>
        <v/>
      </c>
      <c r="K476" s="33">
        <f>IF(H476="","",ROUND(IF(L476="휴일근로",MIN(H476,8)*1.5+MAX(0,H476-8)*2,I476*1.5)+N(J476)*0.5,2))</f>
        <v/>
      </c>
      <c r="L476" s="18" t="n"/>
      <c r="M476" s="18" t="n"/>
      <c r="N476" s="22" t="n"/>
    </row>
    <row r="477">
      <c r="A477" s="19" t="n"/>
      <c r="B477" s="25">
        <f>IF(A477="","",CHOOSE(WEEKDAY(A477,2),"월","화","수","목","금","토","일"))</f>
        <v/>
      </c>
      <c r="C477" s="18" t="n"/>
      <c r="D477" s="25">
        <f>IFERROR(IF(C477="","",INDEX(직원명부!$B$5:$B$24,MATCH(C477,직원명부!$A$5:$A$24,0))),"사번 확인")</f>
        <v/>
      </c>
      <c r="E477" s="34" t="n"/>
      <c r="F477" s="34" t="n"/>
      <c r="G477" s="28" t="n"/>
      <c r="H477" s="33">
        <f>IF(OR(E477="",F477=""),"",ROUND(MOD(F477-E477,1)*24-N(G477),2))</f>
        <v/>
      </c>
      <c r="I477" s="33">
        <f>IF(H477="","",ROUND(MAX(0,H477-8),2))</f>
        <v/>
      </c>
      <c r="J477" s="33">
        <f>IF(OR(E477="",F477=""),"",ROUND(IF(MOD(F477,1)&gt;=TIME(22,0,0),(MOD(F477,1)-TIME(22,0,0))*24,IF(MOD(F477,1)&lt;TIME(6,0,0),(MOD(F477,1)+1-TIME(22,0,0))*24,0)),2))</f>
        <v/>
      </c>
      <c r="K477" s="33">
        <f>IF(H477="","",ROUND(IF(L477="휴일근로",MIN(H477,8)*1.5+MAX(0,H477-8)*2,I477*1.5)+N(J477)*0.5,2))</f>
        <v/>
      </c>
      <c r="L477" s="18" t="n"/>
      <c r="M477" s="18" t="n"/>
      <c r="N477" s="22" t="n"/>
    </row>
    <row r="478">
      <c r="A478" s="19" t="n"/>
      <c r="B478" s="25">
        <f>IF(A478="","",CHOOSE(WEEKDAY(A478,2),"월","화","수","목","금","토","일"))</f>
        <v/>
      </c>
      <c r="C478" s="18" t="n"/>
      <c r="D478" s="25">
        <f>IFERROR(IF(C478="","",INDEX(직원명부!$B$5:$B$24,MATCH(C478,직원명부!$A$5:$A$24,0))),"사번 확인")</f>
        <v/>
      </c>
      <c r="E478" s="34" t="n"/>
      <c r="F478" s="34" t="n"/>
      <c r="G478" s="28" t="n"/>
      <c r="H478" s="33">
        <f>IF(OR(E478="",F478=""),"",ROUND(MOD(F478-E478,1)*24-N(G478),2))</f>
        <v/>
      </c>
      <c r="I478" s="33">
        <f>IF(H478="","",ROUND(MAX(0,H478-8),2))</f>
        <v/>
      </c>
      <c r="J478" s="33">
        <f>IF(OR(E478="",F478=""),"",ROUND(IF(MOD(F478,1)&gt;=TIME(22,0,0),(MOD(F478,1)-TIME(22,0,0))*24,IF(MOD(F478,1)&lt;TIME(6,0,0),(MOD(F478,1)+1-TIME(22,0,0))*24,0)),2))</f>
        <v/>
      </c>
      <c r="K478" s="33">
        <f>IF(H478="","",ROUND(IF(L478="휴일근로",MIN(H478,8)*1.5+MAX(0,H478-8)*2,I478*1.5)+N(J478)*0.5,2))</f>
        <v/>
      </c>
      <c r="L478" s="18" t="n"/>
      <c r="M478" s="18" t="n"/>
      <c r="N478" s="22" t="n"/>
    </row>
    <row r="479">
      <c r="A479" s="19" t="n"/>
      <c r="B479" s="25">
        <f>IF(A479="","",CHOOSE(WEEKDAY(A479,2),"월","화","수","목","금","토","일"))</f>
        <v/>
      </c>
      <c r="C479" s="18" t="n"/>
      <c r="D479" s="25">
        <f>IFERROR(IF(C479="","",INDEX(직원명부!$B$5:$B$24,MATCH(C479,직원명부!$A$5:$A$24,0))),"사번 확인")</f>
        <v/>
      </c>
      <c r="E479" s="34" t="n"/>
      <c r="F479" s="34" t="n"/>
      <c r="G479" s="28" t="n"/>
      <c r="H479" s="33">
        <f>IF(OR(E479="",F479=""),"",ROUND(MOD(F479-E479,1)*24-N(G479),2))</f>
        <v/>
      </c>
      <c r="I479" s="33">
        <f>IF(H479="","",ROUND(MAX(0,H479-8),2))</f>
        <v/>
      </c>
      <c r="J479" s="33">
        <f>IF(OR(E479="",F479=""),"",ROUND(IF(MOD(F479,1)&gt;=TIME(22,0,0),(MOD(F479,1)-TIME(22,0,0))*24,IF(MOD(F479,1)&lt;TIME(6,0,0),(MOD(F479,1)+1-TIME(22,0,0))*24,0)),2))</f>
        <v/>
      </c>
      <c r="K479" s="33">
        <f>IF(H479="","",ROUND(IF(L479="휴일근로",MIN(H479,8)*1.5+MAX(0,H479-8)*2,I479*1.5)+N(J479)*0.5,2))</f>
        <v/>
      </c>
      <c r="L479" s="18" t="n"/>
      <c r="M479" s="18" t="n"/>
      <c r="N479" s="22" t="n"/>
    </row>
    <row r="480">
      <c r="A480" s="19" t="n"/>
      <c r="B480" s="25">
        <f>IF(A480="","",CHOOSE(WEEKDAY(A480,2),"월","화","수","목","금","토","일"))</f>
        <v/>
      </c>
      <c r="C480" s="18" t="n"/>
      <c r="D480" s="25">
        <f>IFERROR(IF(C480="","",INDEX(직원명부!$B$5:$B$24,MATCH(C480,직원명부!$A$5:$A$24,0))),"사번 확인")</f>
        <v/>
      </c>
      <c r="E480" s="34" t="n"/>
      <c r="F480" s="34" t="n"/>
      <c r="G480" s="28" t="n"/>
      <c r="H480" s="33">
        <f>IF(OR(E480="",F480=""),"",ROUND(MOD(F480-E480,1)*24-N(G480),2))</f>
        <v/>
      </c>
      <c r="I480" s="33">
        <f>IF(H480="","",ROUND(MAX(0,H480-8),2))</f>
        <v/>
      </c>
      <c r="J480" s="33">
        <f>IF(OR(E480="",F480=""),"",ROUND(IF(MOD(F480,1)&gt;=TIME(22,0,0),(MOD(F480,1)-TIME(22,0,0))*24,IF(MOD(F480,1)&lt;TIME(6,0,0),(MOD(F480,1)+1-TIME(22,0,0))*24,0)),2))</f>
        <v/>
      </c>
      <c r="K480" s="33">
        <f>IF(H480="","",ROUND(IF(L480="휴일근로",MIN(H480,8)*1.5+MAX(0,H480-8)*2,I480*1.5)+N(J480)*0.5,2))</f>
        <v/>
      </c>
      <c r="L480" s="18" t="n"/>
      <c r="M480" s="18" t="n"/>
      <c r="N480" s="22" t="n"/>
    </row>
    <row r="481">
      <c r="A481" s="19" t="n"/>
      <c r="B481" s="25">
        <f>IF(A481="","",CHOOSE(WEEKDAY(A481,2),"월","화","수","목","금","토","일"))</f>
        <v/>
      </c>
      <c r="C481" s="18" t="n"/>
      <c r="D481" s="25">
        <f>IFERROR(IF(C481="","",INDEX(직원명부!$B$5:$B$24,MATCH(C481,직원명부!$A$5:$A$24,0))),"사번 확인")</f>
        <v/>
      </c>
      <c r="E481" s="34" t="n"/>
      <c r="F481" s="34" t="n"/>
      <c r="G481" s="28" t="n"/>
      <c r="H481" s="33">
        <f>IF(OR(E481="",F481=""),"",ROUND(MOD(F481-E481,1)*24-N(G481),2))</f>
        <v/>
      </c>
      <c r="I481" s="33">
        <f>IF(H481="","",ROUND(MAX(0,H481-8),2))</f>
        <v/>
      </c>
      <c r="J481" s="33">
        <f>IF(OR(E481="",F481=""),"",ROUND(IF(MOD(F481,1)&gt;=TIME(22,0,0),(MOD(F481,1)-TIME(22,0,0))*24,IF(MOD(F481,1)&lt;TIME(6,0,0),(MOD(F481,1)+1-TIME(22,0,0))*24,0)),2))</f>
        <v/>
      </c>
      <c r="K481" s="33">
        <f>IF(H481="","",ROUND(IF(L481="휴일근로",MIN(H481,8)*1.5+MAX(0,H481-8)*2,I481*1.5)+N(J481)*0.5,2))</f>
        <v/>
      </c>
      <c r="L481" s="18" t="n"/>
      <c r="M481" s="18" t="n"/>
      <c r="N481" s="22" t="n"/>
    </row>
    <row r="482">
      <c r="A482" s="19" t="n"/>
      <c r="B482" s="25">
        <f>IF(A482="","",CHOOSE(WEEKDAY(A482,2),"월","화","수","목","금","토","일"))</f>
        <v/>
      </c>
      <c r="C482" s="18" t="n"/>
      <c r="D482" s="25">
        <f>IFERROR(IF(C482="","",INDEX(직원명부!$B$5:$B$24,MATCH(C482,직원명부!$A$5:$A$24,0))),"사번 확인")</f>
        <v/>
      </c>
      <c r="E482" s="34" t="n"/>
      <c r="F482" s="34" t="n"/>
      <c r="G482" s="28" t="n"/>
      <c r="H482" s="33">
        <f>IF(OR(E482="",F482=""),"",ROUND(MOD(F482-E482,1)*24-N(G482),2))</f>
        <v/>
      </c>
      <c r="I482" s="33">
        <f>IF(H482="","",ROUND(MAX(0,H482-8),2))</f>
        <v/>
      </c>
      <c r="J482" s="33">
        <f>IF(OR(E482="",F482=""),"",ROUND(IF(MOD(F482,1)&gt;=TIME(22,0,0),(MOD(F482,1)-TIME(22,0,0))*24,IF(MOD(F482,1)&lt;TIME(6,0,0),(MOD(F482,1)+1-TIME(22,0,0))*24,0)),2))</f>
        <v/>
      </c>
      <c r="K482" s="33">
        <f>IF(H482="","",ROUND(IF(L482="휴일근로",MIN(H482,8)*1.5+MAX(0,H482-8)*2,I482*1.5)+N(J482)*0.5,2))</f>
        <v/>
      </c>
      <c r="L482" s="18" t="n"/>
      <c r="M482" s="18" t="n"/>
      <c r="N482" s="22" t="n"/>
    </row>
    <row r="483">
      <c r="A483" s="19" t="n"/>
      <c r="B483" s="25">
        <f>IF(A483="","",CHOOSE(WEEKDAY(A483,2),"월","화","수","목","금","토","일"))</f>
        <v/>
      </c>
      <c r="C483" s="18" t="n"/>
      <c r="D483" s="25">
        <f>IFERROR(IF(C483="","",INDEX(직원명부!$B$5:$B$24,MATCH(C483,직원명부!$A$5:$A$24,0))),"사번 확인")</f>
        <v/>
      </c>
      <c r="E483" s="34" t="n"/>
      <c r="F483" s="34" t="n"/>
      <c r="G483" s="28" t="n"/>
      <c r="H483" s="33">
        <f>IF(OR(E483="",F483=""),"",ROUND(MOD(F483-E483,1)*24-N(G483),2))</f>
        <v/>
      </c>
      <c r="I483" s="33">
        <f>IF(H483="","",ROUND(MAX(0,H483-8),2))</f>
        <v/>
      </c>
      <c r="J483" s="33">
        <f>IF(OR(E483="",F483=""),"",ROUND(IF(MOD(F483,1)&gt;=TIME(22,0,0),(MOD(F483,1)-TIME(22,0,0))*24,IF(MOD(F483,1)&lt;TIME(6,0,0),(MOD(F483,1)+1-TIME(22,0,0))*24,0)),2))</f>
        <v/>
      </c>
      <c r="K483" s="33">
        <f>IF(H483="","",ROUND(IF(L483="휴일근로",MIN(H483,8)*1.5+MAX(0,H483-8)*2,I483*1.5)+N(J483)*0.5,2))</f>
        <v/>
      </c>
      <c r="L483" s="18" t="n"/>
      <c r="M483" s="18" t="n"/>
      <c r="N483" s="22" t="n"/>
    </row>
    <row r="484">
      <c r="A484" s="19" t="n"/>
      <c r="B484" s="25">
        <f>IF(A484="","",CHOOSE(WEEKDAY(A484,2),"월","화","수","목","금","토","일"))</f>
        <v/>
      </c>
      <c r="C484" s="18" t="n"/>
      <c r="D484" s="25">
        <f>IFERROR(IF(C484="","",INDEX(직원명부!$B$5:$B$24,MATCH(C484,직원명부!$A$5:$A$24,0))),"사번 확인")</f>
        <v/>
      </c>
      <c r="E484" s="34" t="n"/>
      <c r="F484" s="34" t="n"/>
      <c r="G484" s="28" t="n"/>
      <c r="H484" s="33">
        <f>IF(OR(E484="",F484=""),"",ROUND(MOD(F484-E484,1)*24-N(G484),2))</f>
        <v/>
      </c>
      <c r="I484" s="33">
        <f>IF(H484="","",ROUND(MAX(0,H484-8),2))</f>
        <v/>
      </c>
      <c r="J484" s="33">
        <f>IF(OR(E484="",F484=""),"",ROUND(IF(MOD(F484,1)&gt;=TIME(22,0,0),(MOD(F484,1)-TIME(22,0,0))*24,IF(MOD(F484,1)&lt;TIME(6,0,0),(MOD(F484,1)+1-TIME(22,0,0))*24,0)),2))</f>
        <v/>
      </c>
      <c r="K484" s="33">
        <f>IF(H484="","",ROUND(IF(L484="휴일근로",MIN(H484,8)*1.5+MAX(0,H484-8)*2,I484*1.5)+N(J484)*0.5,2))</f>
        <v/>
      </c>
      <c r="L484" s="18" t="n"/>
      <c r="M484" s="18" t="n"/>
      <c r="N484" s="22" t="n"/>
    </row>
    <row r="485">
      <c r="A485" s="19" t="n"/>
      <c r="B485" s="25">
        <f>IF(A485="","",CHOOSE(WEEKDAY(A485,2),"월","화","수","목","금","토","일"))</f>
        <v/>
      </c>
      <c r="C485" s="18" t="n"/>
      <c r="D485" s="25">
        <f>IFERROR(IF(C485="","",INDEX(직원명부!$B$5:$B$24,MATCH(C485,직원명부!$A$5:$A$24,0))),"사번 확인")</f>
        <v/>
      </c>
      <c r="E485" s="34" t="n"/>
      <c r="F485" s="34" t="n"/>
      <c r="G485" s="28" t="n"/>
      <c r="H485" s="33">
        <f>IF(OR(E485="",F485=""),"",ROUND(MOD(F485-E485,1)*24-N(G485),2))</f>
        <v/>
      </c>
      <c r="I485" s="33">
        <f>IF(H485="","",ROUND(MAX(0,H485-8),2))</f>
        <v/>
      </c>
      <c r="J485" s="33">
        <f>IF(OR(E485="",F485=""),"",ROUND(IF(MOD(F485,1)&gt;=TIME(22,0,0),(MOD(F485,1)-TIME(22,0,0))*24,IF(MOD(F485,1)&lt;TIME(6,0,0),(MOD(F485,1)+1-TIME(22,0,0))*24,0)),2))</f>
        <v/>
      </c>
      <c r="K485" s="33">
        <f>IF(H485="","",ROUND(IF(L485="휴일근로",MIN(H485,8)*1.5+MAX(0,H485-8)*2,I485*1.5)+N(J485)*0.5,2))</f>
        <v/>
      </c>
      <c r="L485" s="18" t="n"/>
      <c r="M485" s="18" t="n"/>
      <c r="N485" s="22" t="n"/>
    </row>
    <row r="486">
      <c r="A486" s="19" t="n"/>
      <c r="B486" s="25">
        <f>IF(A486="","",CHOOSE(WEEKDAY(A486,2),"월","화","수","목","금","토","일"))</f>
        <v/>
      </c>
      <c r="C486" s="18" t="n"/>
      <c r="D486" s="25">
        <f>IFERROR(IF(C486="","",INDEX(직원명부!$B$5:$B$24,MATCH(C486,직원명부!$A$5:$A$24,0))),"사번 확인")</f>
        <v/>
      </c>
      <c r="E486" s="34" t="n"/>
      <c r="F486" s="34" t="n"/>
      <c r="G486" s="28" t="n"/>
      <c r="H486" s="33">
        <f>IF(OR(E486="",F486=""),"",ROUND(MOD(F486-E486,1)*24-N(G486),2))</f>
        <v/>
      </c>
      <c r="I486" s="33">
        <f>IF(H486="","",ROUND(MAX(0,H486-8),2))</f>
        <v/>
      </c>
      <c r="J486" s="33">
        <f>IF(OR(E486="",F486=""),"",ROUND(IF(MOD(F486,1)&gt;=TIME(22,0,0),(MOD(F486,1)-TIME(22,0,0))*24,IF(MOD(F486,1)&lt;TIME(6,0,0),(MOD(F486,1)+1-TIME(22,0,0))*24,0)),2))</f>
        <v/>
      </c>
      <c r="K486" s="33">
        <f>IF(H486="","",ROUND(IF(L486="휴일근로",MIN(H486,8)*1.5+MAX(0,H486-8)*2,I486*1.5)+N(J486)*0.5,2))</f>
        <v/>
      </c>
      <c r="L486" s="18" t="n"/>
      <c r="M486" s="18" t="n"/>
      <c r="N486" s="22" t="n"/>
    </row>
    <row r="487">
      <c r="A487" s="19" t="n"/>
      <c r="B487" s="25">
        <f>IF(A487="","",CHOOSE(WEEKDAY(A487,2),"월","화","수","목","금","토","일"))</f>
        <v/>
      </c>
      <c r="C487" s="18" t="n"/>
      <c r="D487" s="25">
        <f>IFERROR(IF(C487="","",INDEX(직원명부!$B$5:$B$24,MATCH(C487,직원명부!$A$5:$A$24,0))),"사번 확인")</f>
        <v/>
      </c>
      <c r="E487" s="34" t="n"/>
      <c r="F487" s="34" t="n"/>
      <c r="G487" s="28" t="n"/>
      <c r="H487" s="33">
        <f>IF(OR(E487="",F487=""),"",ROUND(MOD(F487-E487,1)*24-N(G487),2))</f>
        <v/>
      </c>
      <c r="I487" s="33">
        <f>IF(H487="","",ROUND(MAX(0,H487-8),2))</f>
        <v/>
      </c>
      <c r="J487" s="33">
        <f>IF(OR(E487="",F487=""),"",ROUND(IF(MOD(F487,1)&gt;=TIME(22,0,0),(MOD(F487,1)-TIME(22,0,0))*24,IF(MOD(F487,1)&lt;TIME(6,0,0),(MOD(F487,1)+1-TIME(22,0,0))*24,0)),2))</f>
        <v/>
      </c>
      <c r="K487" s="33">
        <f>IF(H487="","",ROUND(IF(L487="휴일근로",MIN(H487,8)*1.5+MAX(0,H487-8)*2,I487*1.5)+N(J487)*0.5,2))</f>
        <v/>
      </c>
      <c r="L487" s="18" t="n"/>
      <c r="M487" s="18" t="n"/>
      <c r="N487" s="22" t="n"/>
    </row>
    <row r="488">
      <c r="A488" s="19" t="n"/>
      <c r="B488" s="25">
        <f>IF(A488="","",CHOOSE(WEEKDAY(A488,2),"월","화","수","목","금","토","일"))</f>
        <v/>
      </c>
      <c r="C488" s="18" t="n"/>
      <c r="D488" s="25">
        <f>IFERROR(IF(C488="","",INDEX(직원명부!$B$5:$B$24,MATCH(C488,직원명부!$A$5:$A$24,0))),"사번 확인")</f>
        <v/>
      </c>
      <c r="E488" s="34" t="n"/>
      <c r="F488" s="34" t="n"/>
      <c r="G488" s="28" t="n"/>
      <c r="H488" s="33">
        <f>IF(OR(E488="",F488=""),"",ROUND(MOD(F488-E488,1)*24-N(G488),2))</f>
        <v/>
      </c>
      <c r="I488" s="33">
        <f>IF(H488="","",ROUND(MAX(0,H488-8),2))</f>
        <v/>
      </c>
      <c r="J488" s="33">
        <f>IF(OR(E488="",F488=""),"",ROUND(IF(MOD(F488,1)&gt;=TIME(22,0,0),(MOD(F488,1)-TIME(22,0,0))*24,IF(MOD(F488,1)&lt;TIME(6,0,0),(MOD(F488,1)+1-TIME(22,0,0))*24,0)),2))</f>
        <v/>
      </c>
      <c r="K488" s="33">
        <f>IF(H488="","",ROUND(IF(L488="휴일근로",MIN(H488,8)*1.5+MAX(0,H488-8)*2,I488*1.5)+N(J488)*0.5,2))</f>
        <v/>
      </c>
      <c r="L488" s="18" t="n"/>
      <c r="M488" s="18" t="n"/>
      <c r="N488" s="22" t="n"/>
    </row>
    <row r="489">
      <c r="A489" s="19" t="n"/>
      <c r="B489" s="25">
        <f>IF(A489="","",CHOOSE(WEEKDAY(A489,2),"월","화","수","목","금","토","일"))</f>
        <v/>
      </c>
      <c r="C489" s="18" t="n"/>
      <c r="D489" s="25">
        <f>IFERROR(IF(C489="","",INDEX(직원명부!$B$5:$B$24,MATCH(C489,직원명부!$A$5:$A$24,0))),"사번 확인")</f>
        <v/>
      </c>
      <c r="E489" s="34" t="n"/>
      <c r="F489" s="34" t="n"/>
      <c r="G489" s="28" t="n"/>
      <c r="H489" s="33">
        <f>IF(OR(E489="",F489=""),"",ROUND(MOD(F489-E489,1)*24-N(G489),2))</f>
        <v/>
      </c>
      <c r="I489" s="33">
        <f>IF(H489="","",ROUND(MAX(0,H489-8),2))</f>
        <v/>
      </c>
      <c r="J489" s="33">
        <f>IF(OR(E489="",F489=""),"",ROUND(IF(MOD(F489,1)&gt;=TIME(22,0,0),(MOD(F489,1)-TIME(22,0,0))*24,IF(MOD(F489,1)&lt;TIME(6,0,0),(MOD(F489,1)+1-TIME(22,0,0))*24,0)),2))</f>
        <v/>
      </c>
      <c r="K489" s="33">
        <f>IF(H489="","",ROUND(IF(L489="휴일근로",MIN(H489,8)*1.5+MAX(0,H489-8)*2,I489*1.5)+N(J489)*0.5,2))</f>
        <v/>
      </c>
      <c r="L489" s="18" t="n"/>
      <c r="M489" s="18" t="n"/>
      <c r="N489" s="22" t="n"/>
    </row>
    <row r="490">
      <c r="A490" s="19" t="n"/>
      <c r="B490" s="25">
        <f>IF(A490="","",CHOOSE(WEEKDAY(A490,2),"월","화","수","목","금","토","일"))</f>
        <v/>
      </c>
      <c r="C490" s="18" t="n"/>
      <c r="D490" s="25">
        <f>IFERROR(IF(C490="","",INDEX(직원명부!$B$5:$B$24,MATCH(C490,직원명부!$A$5:$A$24,0))),"사번 확인")</f>
        <v/>
      </c>
      <c r="E490" s="34" t="n"/>
      <c r="F490" s="34" t="n"/>
      <c r="G490" s="28" t="n"/>
      <c r="H490" s="33">
        <f>IF(OR(E490="",F490=""),"",ROUND(MOD(F490-E490,1)*24-N(G490),2))</f>
        <v/>
      </c>
      <c r="I490" s="33">
        <f>IF(H490="","",ROUND(MAX(0,H490-8),2))</f>
        <v/>
      </c>
      <c r="J490" s="33">
        <f>IF(OR(E490="",F490=""),"",ROUND(IF(MOD(F490,1)&gt;=TIME(22,0,0),(MOD(F490,1)-TIME(22,0,0))*24,IF(MOD(F490,1)&lt;TIME(6,0,0),(MOD(F490,1)+1-TIME(22,0,0))*24,0)),2))</f>
        <v/>
      </c>
      <c r="K490" s="33">
        <f>IF(H490="","",ROUND(IF(L490="휴일근로",MIN(H490,8)*1.5+MAX(0,H490-8)*2,I490*1.5)+N(J490)*0.5,2))</f>
        <v/>
      </c>
      <c r="L490" s="18" t="n"/>
      <c r="M490" s="18" t="n"/>
      <c r="N490" s="22" t="n"/>
    </row>
    <row r="491">
      <c r="A491" s="19" t="n"/>
      <c r="B491" s="25">
        <f>IF(A491="","",CHOOSE(WEEKDAY(A491,2),"월","화","수","목","금","토","일"))</f>
        <v/>
      </c>
      <c r="C491" s="18" t="n"/>
      <c r="D491" s="25">
        <f>IFERROR(IF(C491="","",INDEX(직원명부!$B$5:$B$24,MATCH(C491,직원명부!$A$5:$A$24,0))),"사번 확인")</f>
        <v/>
      </c>
      <c r="E491" s="34" t="n"/>
      <c r="F491" s="34" t="n"/>
      <c r="G491" s="28" t="n"/>
      <c r="H491" s="33">
        <f>IF(OR(E491="",F491=""),"",ROUND(MOD(F491-E491,1)*24-N(G491),2))</f>
        <v/>
      </c>
      <c r="I491" s="33">
        <f>IF(H491="","",ROUND(MAX(0,H491-8),2))</f>
        <v/>
      </c>
      <c r="J491" s="33">
        <f>IF(OR(E491="",F491=""),"",ROUND(IF(MOD(F491,1)&gt;=TIME(22,0,0),(MOD(F491,1)-TIME(22,0,0))*24,IF(MOD(F491,1)&lt;TIME(6,0,0),(MOD(F491,1)+1-TIME(22,0,0))*24,0)),2))</f>
        <v/>
      </c>
      <c r="K491" s="33">
        <f>IF(H491="","",ROUND(IF(L491="휴일근로",MIN(H491,8)*1.5+MAX(0,H491-8)*2,I491*1.5)+N(J491)*0.5,2))</f>
        <v/>
      </c>
      <c r="L491" s="18" t="n"/>
      <c r="M491" s="18" t="n"/>
      <c r="N491" s="22" t="n"/>
    </row>
    <row r="492">
      <c r="A492" s="19" t="n"/>
      <c r="B492" s="25">
        <f>IF(A492="","",CHOOSE(WEEKDAY(A492,2),"월","화","수","목","금","토","일"))</f>
        <v/>
      </c>
      <c r="C492" s="18" t="n"/>
      <c r="D492" s="25">
        <f>IFERROR(IF(C492="","",INDEX(직원명부!$B$5:$B$24,MATCH(C492,직원명부!$A$5:$A$24,0))),"사번 확인")</f>
        <v/>
      </c>
      <c r="E492" s="34" t="n"/>
      <c r="F492" s="34" t="n"/>
      <c r="G492" s="28" t="n"/>
      <c r="H492" s="33">
        <f>IF(OR(E492="",F492=""),"",ROUND(MOD(F492-E492,1)*24-N(G492),2))</f>
        <v/>
      </c>
      <c r="I492" s="33">
        <f>IF(H492="","",ROUND(MAX(0,H492-8),2))</f>
        <v/>
      </c>
      <c r="J492" s="33">
        <f>IF(OR(E492="",F492=""),"",ROUND(IF(MOD(F492,1)&gt;=TIME(22,0,0),(MOD(F492,1)-TIME(22,0,0))*24,IF(MOD(F492,1)&lt;TIME(6,0,0),(MOD(F492,1)+1-TIME(22,0,0))*24,0)),2))</f>
        <v/>
      </c>
      <c r="K492" s="33">
        <f>IF(H492="","",ROUND(IF(L492="휴일근로",MIN(H492,8)*1.5+MAX(0,H492-8)*2,I492*1.5)+N(J492)*0.5,2))</f>
        <v/>
      </c>
      <c r="L492" s="18" t="n"/>
      <c r="M492" s="18" t="n"/>
      <c r="N492" s="22" t="n"/>
    </row>
    <row r="493">
      <c r="A493" s="19" t="n"/>
      <c r="B493" s="25">
        <f>IF(A493="","",CHOOSE(WEEKDAY(A493,2),"월","화","수","목","금","토","일"))</f>
        <v/>
      </c>
      <c r="C493" s="18" t="n"/>
      <c r="D493" s="25">
        <f>IFERROR(IF(C493="","",INDEX(직원명부!$B$5:$B$24,MATCH(C493,직원명부!$A$5:$A$24,0))),"사번 확인")</f>
        <v/>
      </c>
      <c r="E493" s="34" t="n"/>
      <c r="F493" s="34" t="n"/>
      <c r="G493" s="28" t="n"/>
      <c r="H493" s="33">
        <f>IF(OR(E493="",F493=""),"",ROUND(MOD(F493-E493,1)*24-N(G493),2))</f>
        <v/>
      </c>
      <c r="I493" s="33">
        <f>IF(H493="","",ROUND(MAX(0,H493-8),2))</f>
        <v/>
      </c>
      <c r="J493" s="33">
        <f>IF(OR(E493="",F493=""),"",ROUND(IF(MOD(F493,1)&gt;=TIME(22,0,0),(MOD(F493,1)-TIME(22,0,0))*24,IF(MOD(F493,1)&lt;TIME(6,0,0),(MOD(F493,1)+1-TIME(22,0,0))*24,0)),2))</f>
        <v/>
      </c>
      <c r="K493" s="33">
        <f>IF(H493="","",ROUND(IF(L493="휴일근로",MIN(H493,8)*1.5+MAX(0,H493-8)*2,I493*1.5)+N(J493)*0.5,2))</f>
        <v/>
      </c>
      <c r="L493" s="18" t="n"/>
      <c r="M493" s="18" t="n"/>
      <c r="N493" s="22" t="n"/>
    </row>
    <row r="494">
      <c r="A494" s="19" t="n"/>
      <c r="B494" s="25">
        <f>IF(A494="","",CHOOSE(WEEKDAY(A494,2),"월","화","수","목","금","토","일"))</f>
        <v/>
      </c>
      <c r="C494" s="18" t="n"/>
      <c r="D494" s="25">
        <f>IFERROR(IF(C494="","",INDEX(직원명부!$B$5:$B$24,MATCH(C494,직원명부!$A$5:$A$24,0))),"사번 확인")</f>
        <v/>
      </c>
      <c r="E494" s="34" t="n"/>
      <c r="F494" s="34" t="n"/>
      <c r="G494" s="28" t="n"/>
      <c r="H494" s="33">
        <f>IF(OR(E494="",F494=""),"",ROUND(MOD(F494-E494,1)*24-N(G494),2))</f>
        <v/>
      </c>
      <c r="I494" s="33">
        <f>IF(H494="","",ROUND(MAX(0,H494-8),2))</f>
        <v/>
      </c>
      <c r="J494" s="33">
        <f>IF(OR(E494="",F494=""),"",ROUND(IF(MOD(F494,1)&gt;=TIME(22,0,0),(MOD(F494,1)-TIME(22,0,0))*24,IF(MOD(F494,1)&lt;TIME(6,0,0),(MOD(F494,1)+1-TIME(22,0,0))*24,0)),2))</f>
        <v/>
      </c>
      <c r="K494" s="33">
        <f>IF(H494="","",ROUND(IF(L494="휴일근로",MIN(H494,8)*1.5+MAX(0,H494-8)*2,I494*1.5)+N(J494)*0.5,2))</f>
        <v/>
      </c>
      <c r="L494" s="18" t="n"/>
      <c r="M494" s="18" t="n"/>
      <c r="N494" s="22" t="n"/>
    </row>
    <row r="495">
      <c r="A495" s="19" t="n"/>
      <c r="B495" s="25">
        <f>IF(A495="","",CHOOSE(WEEKDAY(A495,2),"월","화","수","목","금","토","일"))</f>
        <v/>
      </c>
      <c r="C495" s="18" t="n"/>
      <c r="D495" s="25">
        <f>IFERROR(IF(C495="","",INDEX(직원명부!$B$5:$B$24,MATCH(C495,직원명부!$A$5:$A$24,0))),"사번 확인")</f>
        <v/>
      </c>
      <c r="E495" s="34" t="n"/>
      <c r="F495" s="34" t="n"/>
      <c r="G495" s="28" t="n"/>
      <c r="H495" s="33">
        <f>IF(OR(E495="",F495=""),"",ROUND(MOD(F495-E495,1)*24-N(G495),2))</f>
        <v/>
      </c>
      <c r="I495" s="33">
        <f>IF(H495="","",ROUND(MAX(0,H495-8),2))</f>
        <v/>
      </c>
      <c r="J495" s="33">
        <f>IF(OR(E495="",F495=""),"",ROUND(IF(MOD(F495,1)&gt;=TIME(22,0,0),(MOD(F495,1)-TIME(22,0,0))*24,IF(MOD(F495,1)&lt;TIME(6,0,0),(MOD(F495,1)+1-TIME(22,0,0))*24,0)),2))</f>
        <v/>
      </c>
      <c r="K495" s="33">
        <f>IF(H495="","",ROUND(IF(L495="휴일근로",MIN(H495,8)*1.5+MAX(0,H495-8)*2,I495*1.5)+N(J495)*0.5,2))</f>
        <v/>
      </c>
      <c r="L495" s="18" t="n"/>
      <c r="M495" s="18" t="n"/>
      <c r="N495" s="22" t="n"/>
    </row>
    <row r="496">
      <c r="A496" s="19" t="n"/>
      <c r="B496" s="25">
        <f>IF(A496="","",CHOOSE(WEEKDAY(A496,2),"월","화","수","목","금","토","일"))</f>
        <v/>
      </c>
      <c r="C496" s="18" t="n"/>
      <c r="D496" s="25">
        <f>IFERROR(IF(C496="","",INDEX(직원명부!$B$5:$B$24,MATCH(C496,직원명부!$A$5:$A$24,0))),"사번 확인")</f>
        <v/>
      </c>
      <c r="E496" s="34" t="n"/>
      <c r="F496" s="34" t="n"/>
      <c r="G496" s="28" t="n"/>
      <c r="H496" s="33">
        <f>IF(OR(E496="",F496=""),"",ROUND(MOD(F496-E496,1)*24-N(G496),2))</f>
        <v/>
      </c>
      <c r="I496" s="33">
        <f>IF(H496="","",ROUND(MAX(0,H496-8),2))</f>
        <v/>
      </c>
      <c r="J496" s="33">
        <f>IF(OR(E496="",F496=""),"",ROUND(IF(MOD(F496,1)&gt;=TIME(22,0,0),(MOD(F496,1)-TIME(22,0,0))*24,IF(MOD(F496,1)&lt;TIME(6,0,0),(MOD(F496,1)+1-TIME(22,0,0))*24,0)),2))</f>
        <v/>
      </c>
      <c r="K496" s="33">
        <f>IF(H496="","",ROUND(IF(L496="휴일근로",MIN(H496,8)*1.5+MAX(0,H496-8)*2,I496*1.5)+N(J496)*0.5,2))</f>
        <v/>
      </c>
      <c r="L496" s="18" t="n"/>
      <c r="M496" s="18" t="n"/>
      <c r="N496" s="22" t="n"/>
    </row>
    <row r="497">
      <c r="A497" s="19" t="n"/>
      <c r="B497" s="25">
        <f>IF(A497="","",CHOOSE(WEEKDAY(A497,2),"월","화","수","목","금","토","일"))</f>
        <v/>
      </c>
      <c r="C497" s="18" t="n"/>
      <c r="D497" s="25">
        <f>IFERROR(IF(C497="","",INDEX(직원명부!$B$5:$B$24,MATCH(C497,직원명부!$A$5:$A$24,0))),"사번 확인")</f>
        <v/>
      </c>
      <c r="E497" s="34" t="n"/>
      <c r="F497" s="34" t="n"/>
      <c r="G497" s="28" t="n"/>
      <c r="H497" s="33">
        <f>IF(OR(E497="",F497=""),"",ROUND(MOD(F497-E497,1)*24-N(G497),2))</f>
        <v/>
      </c>
      <c r="I497" s="33">
        <f>IF(H497="","",ROUND(MAX(0,H497-8),2))</f>
        <v/>
      </c>
      <c r="J497" s="33">
        <f>IF(OR(E497="",F497=""),"",ROUND(IF(MOD(F497,1)&gt;=TIME(22,0,0),(MOD(F497,1)-TIME(22,0,0))*24,IF(MOD(F497,1)&lt;TIME(6,0,0),(MOD(F497,1)+1-TIME(22,0,0))*24,0)),2))</f>
        <v/>
      </c>
      <c r="K497" s="33">
        <f>IF(H497="","",ROUND(IF(L497="휴일근로",MIN(H497,8)*1.5+MAX(0,H497-8)*2,I497*1.5)+N(J497)*0.5,2))</f>
        <v/>
      </c>
      <c r="L497" s="18" t="n"/>
      <c r="M497" s="18" t="n"/>
      <c r="N497" s="22" t="n"/>
    </row>
    <row r="498">
      <c r="A498" s="19" t="n"/>
      <c r="B498" s="25">
        <f>IF(A498="","",CHOOSE(WEEKDAY(A498,2),"월","화","수","목","금","토","일"))</f>
        <v/>
      </c>
      <c r="C498" s="18" t="n"/>
      <c r="D498" s="25">
        <f>IFERROR(IF(C498="","",INDEX(직원명부!$B$5:$B$24,MATCH(C498,직원명부!$A$5:$A$24,0))),"사번 확인")</f>
        <v/>
      </c>
      <c r="E498" s="34" t="n"/>
      <c r="F498" s="34" t="n"/>
      <c r="G498" s="28" t="n"/>
      <c r="H498" s="33">
        <f>IF(OR(E498="",F498=""),"",ROUND(MOD(F498-E498,1)*24-N(G498),2))</f>
        <v/>
      </c>
      <c r="I498" s="33">
        <f>IF(H498="","",ROUND(MAX(0,H498-8),2))</f>
        <v/>
      </c>
      <c r="J498" s="33">
        <f>IF(OR(E498="",F498=""),"",ROUND(IF(MOD(F498,1)&gt;=TIME(22,0,0),(MOD(F498,1)-TIME(22,0,0))*24,IF(MOD(F498,1)&lt;TIME(6,0,0),(MOD(F498,1)+1-TIME(22,0,0))*24,0)),2))</f>
        <v/>
      </c>
      <c r="K498" s="33">
        <f>IF(H498="","",ROUND(IF(L498="휴일근로",MIN(H498,8)*1.5+MAX(0,H498-8)*2,I498*1.5)+N(J498)*0.5,2))</f>
        <v/>
      </c>
      <c r="L498" s="18" t="n"/>
      <c r="M498" s="18" t="n"/>
      <c r="N498" s="22" t="n"/>
    </row>
    <row r="499">
      <c r="A499" s="19" t="n"/>
      <c r="B499" s="25">
        <f>IF(A499="","",CHOOSE(WEEKDAY(A499,2),"월","화","수","목","금","토","일"))</f>
        <v/>
      </c>
      <c r="C499" s="18" t="n"/>
      <c r="D499" s="25">
        <f>IFERROR(IF(C499="","",INDEX(직원명부!$B$5:$B$24,MATCH(C499,직원명부!$A$5:$A$24,0))),"사번 확인")</f>
        <v/>
      </c>
      <c r="E499" s="34" t="n"/>
      <c r="F499" s="34" t="n"/>
      <c r="G499" s="28" t="n"/>
      <c r="H499" s="33">
        <f>IF(OR(E499="",F499=""),"",ROUND(MOD(F499-E499,1)*24-N(G499),2))</f>
        <v/>
      </c>
      <c r="I499" s="33">
        <f>IF(H499="","",ROUND(MAX(0,H499-8),2))</f>
        <v/>
      </c>
      <c r="J499" s="33">
        <f>IF(OR(E499="",F499=""),"",ROUND(IF(MOD(F499,1)&gt;=TIME(22,0,0),(MOD(F499,1)-TIME(22,0,0))*24,IF(MOD(F499,1)&lt;TIME(6,0,0),(MOD(F499,1)+1-TIME(22,0,0))*24,0)),2))</f>
        <v/>
      </c>
      <c r="K499" s="33">
        <f>IF(H499="","",ROUND(IF(L499="휴일근로",MIN(H499,8)*1.5+MAX(0,H499-8)*2,I499*1.5)+N(J499)*0.5,2))</f>
        <v/>
      </c>
      <c r="L499" s="18" t="n"/>
      <c r="M499" s="18" t="n"/>
      <c r="N499" s="22" t="n"/>
    </row>
    <row r="500">
      <c r="A500" s="19" t="n"/>
      <c r="B500" s="25">
        <f>IF(A500="","",CHOOSE(WEEKDAY(A500,2),"월","화","수","목","금","토","일"))</f>
        <v/>
      </c>
      <c r="C500" s="18" t="n"/>
      <c r="D500" s="25">
        <f>IFERROR(IF(C500="","",INDEX(직원명부!$B$5:$B$24,MATCH(C500,직원명부!$A$5:$A$24,0))),"사번 확인")</f>
        <v/>
      </c>
      <c r="E500" s="34" t="n"/>
      <c r="F500" s="34" t="n"/>
      <c r="G500" s="28" t="n"/>
      <c r="H500" s="33">
        <f>IF(OR(E500="",F500=""),"",ROUND(MOD(F500-E500,1)*24-N(G500),2))</f>
        <v/>
      </c>
      <c r="I500" s="33">
        <f>IF(H500="","",ROUND(MAX(0,H500-8),2))</f>
        <v/>
      </c>
      <c r="J500" s="33">
        <f>IF(OR(E500="",F500=""),"",ROUND(IF(MOD(F500,1)&gt;=TIME(22,0,0),(MOD(F500,1)-TIME(22,0,0))*24,IF(MOD(F500,1)&lt;TIME(6,0,0),(MOD(F500,1)+1-TIME(22,0,0))*24,0)),2))</f>
        <v/>
      </c>
      <c r="K500" s="33">
        <f>IF(H500="","",ROUND(IF(L500="휴일근로",MIN(H500,8)*1.5+MAX(0,H500-8)*2,I500*1.5)+N(J500)*0.5,2))</f>
        <v/>
      </c>
      <c r="L500" s="18" t="n"/>
      <c r="M500" s="18" t="n"/>
      <c r="N500" s="22" t="n"/>
    </row>
    <row r="501">
      <c r="A501" s="19" t="n"/>
      <c r="B501" s="25">
        <f>IF(A501="","",CHOOSE(WEEKDAY(A501,2),"월","화","수","목","금","토","일"))</f>
        <v/>
      </c>
      <c r="C501" s="18" t="n"/>
      <c r="D501" s="25">
        <f>IFERROR(IF(C501="","",INDEX(직원명부!$B$5:$B$24,MATCH(C501,직원명부!$A$5:$A$24,0))),"사번 확인")</f>
        <v/>
      </c>
      <c r="E501" s="34" t="n"/>
      <c r="F501" s="34" t="n"/>
      <c r="G501" s="28" t="n"/>
      <c r="H501" s="33">
        <f>IF(OR(E501="",F501=""),"",ROUND(MOD(F501-E501,1)*24-N(G501),2))</f>
        <v/>
      </c>
      <c r="I501" s="33">
        <f>IF(H501="","",ROUND(MAX(0,H501-8),2))</f>
        <v/>
      </c>
      <c r="J501" s="33">
        <f>IF(OR(E501="",F501=""),"",ROUND(IF(MOD(F501,1)&gt;=TIME(22,0,0),(MOD(F501,1)-TIME(22,0,0))*24,IF(MOD(F501,1)&lt;TIME(6,0,0),(MOD(F501,1)+1-TIME(22,0,0))*24,0)),2))</f>
        <v/>
      </c>
      <c r="K501" s="33">
        <f>IF(H501="","",ROUND(IF(L501="휴일근로",MIN(H501,8)*1.5+MAX(0,H501-8)*2,I501*1.5)+N(J501)*0.5,2))</f>
        <v/>
      </c>
      <c r="L501" s="18" t="n"/>
      <c r="M501" s="18" t="n"/>
      <c r="N501" s="22" t="n"/>
    </row>
    <row r="502">
      <c r="A502" s="19" t="n"/>
      <c r="B502" s="25">
        <f>IF(A502="","",CHOOSE(WEEKDAY(A502,2),"월","화","수","목","금","토","일"))</f>
        <v/>
      </c>
      <c r="C502" s="18" t="n"/>
      <c r="D502" s="25">
        <f>IFERROR(IF(C502="","",INDEX(직원명부!$B$5:$B$24,MATCH(C502,직원명부!$A$5:$A$24,0))),"사번 확인")</f>
        <v/>
      </c>
      <c r="E502" s="34" t="n"/>
      <c r="F502" s="34" t="n"/>
      <c r="G502" s="28" t="n"/>
      <c r="H502" s="33">
        <f>IF(OR(E502="",F502=""),"",ROUND(MOD(F502-E502,1)*24-N(G502),2))</f>
        <v/>
      </c>
      <c r="I502" s="33">
        <f>IF(H502="","",ROUND(MAX(0,H502-8),2))</f>
        <v/>
      </c>
      <c r="J502" s="33">
        <f>IF(OR(E502="",F502=""),"",ROUND(IF(MOD(F502,1)&gt;=TIME(22,0,0),(MOD(F502,1)-TIME(22,0,0))*24,IF(MOD(F502,1)&lt;TIME(6,0,0),(MOD(F502,1)+1-TIME(22,0,0))*24,0)),2))</f>
        <v/>
      </c>
      <c r="K502" s="33">
        <f>IF(H502="","",ROUND(IF(L502="휴일근로",MIN(H502,8)*1.5+MAX(0,H502-8)*2,I502*1.5)+N(J502)*0.5,2))</f>
        <v/>
      </c>
      <c r="L502" s="18" t="n"/>
      <c r="M502" s="18" t="n"/>
      <c r="N502" s="22" t="n"/>
    </row>
    <row r="503">
      <c r="A503" s="19" t="n"/>
      <c r="B503" s="25">
        <f>IF(A503="","",CHOOSE(WEEKDAY(A503,2),"월","화","수","목","금","토","일"))</f>
        <v/>
      </c>
      <c r="C503" s="18" t="n"/>
      <c r="D503" s="25">
        <f>IFERROR(IF(C503="","",INDEX(직원명부!$B$5:$B$24,MATCH(C503,직원명부!$A$5:$A$24,0))),"사번 확인")</f>
        <v/>
      </c>
      <c r="E503" s="34" t="n"/>
      <c r="F503" s="34" t="n"/>
      <c r="G503" s="28" t="n"/>
      <c r="H503" s="33">
        <f>IF(OR(E503="",F503=""),"",ROUND(MOD(F503-E503,1)*24-N(G503),2))</f>
        <v/>
      </c>
      <c r="I503" s="33">
        <f>IF(H503="","",ROUND(MAX(0,H503-8),2))</f>
        <v/>
      </c>
      <c r="J503" s="33">
        <f>IF(OR(E503="",F503=""),"",ROUND(IF(MOD(F503,1)&gt;=TIME(22,0,0),(MOD(F503,1)-TIME(22,0,0))*24,IF(MOD(F503,1)&lt;TIME(6,0,0),(MOD(F503,1)+1-TIME(22,0,0))*24,0)),2))</f>
        <v/>
      </c>
      <c r="K503" s="33">
        <f>IF(H503="","",ROUND(IF(L503="휴일근로",MIN(H503,8)*1.5+MAX(0,H503-8)*2,I503*1.5)+N(J503)*0.5,2))</f>
        <v/>
      </c>
      <c r="L503" s="18" t="n"/>
      <c r="M503" s="18" t="n"/>
      <c r="N503" s="22" t="n"/>
    </row>
    <row r="504">
      <c r="A504" s="19" t="n"/>
      <c r="B504" s="25">
        <f>IF(A504="","",CHOOSE(WEEKDAY(A504,2),"월","화","수","목","금","토","일"))</f>
        <v/>
      </c>
      <c r="C504" s="18" t="n"/>
      <c r="D504" s="25">
        <f>IFERROR(IF(C504="","",INDEX(직원명부!$B$5:$B$24,MATCH(C504,직원명부!$A$5:$A$24,0))),"사번 확인")</f>
        <v/>
      </c>
      <c r="E504" s="34" t="n"/>
      <c r="F504" s="34" t="n"/>
      <c r="G504" s="28" t="n"/>
      <c r="H504" s="33">
        <f>IF(OR(E504="",F504=""),"",ROUND(MOD(F504-E504,1)*24-N(G504),2))</f>
        <v/>
      </c>
      <c r="I504" s="33">
        <f>IF(H504="","",ROUND(MAX(0,H504-8),2))</f>
        <v/>
      </c>
      <c r="J504" s="33">
        <f>IF(OR(E504="",F504=""),"",ROUND(IF(MOD(F504,1)&gt;=TIME(22,0,0),(MOD(F504,1)-TIME(22,0,0))*24,IF(MOD(F504,1)&lt;TIME(6,0,0),(MOD(F504,1)+1-TIME(22,0,0))*24,0)),2))</f>
        <v/>
      </c>
      <c r="K504" s="33">
        <f>IF(H504="","",ROUND(IF(L504="휴일근로",MIN(H504,8)*1.5+MAX(0,H504-8)*2,I504*1.5)+N(J504)*0.5,2))</f>
        <v/>
      </c>
      <c r="L504" s="18" t="n"/>
      <c r="M504" s="18" t="n"/>
      <c r="N504" s="22" t="n"/>
    </row>
    <row r="505">
      <c r="A505" s="19" t="n"/>
      <c r="B505" s="25">
        <f>IF(A505="","",CHOOSE(WEEKDAY(A505,2),"월","화","수","목","금","토","일"))</f>
        <v/>
      </c>
      <c r="C505" s="18" t="n"/>
      <c r="D505" s="25">
        <f>IFERROR(IF(C505="","",INDEX(직원명부!$B$5:$B$24,MATCH(C505,직원명부!$A$5:$A$24,0))),"사번 확인")</f>
        <v/>
      </c>
      <c r="E505" s="34" t="n"/>
      <c r="F505" s="34" t="n"/>
      <c r="G505" s="28" t="n"/>
      <c r="H505" s="33">
        <f>IF(OR(E505="",F505=""),"",ROUND(MOD(F505-E505,1)*24-N(G505),2))</f>
        <v/>
      </c>
      <c r="I505" s="33">
        <f>IF(H505="","",ROUND(MAX(0,H505-8),2))</f>
        <v/>
      </c>
      <c r="J505" s="33">
        <f>IF(OR(E505="",F505=""),"",ROUND(IF(MOD(F505,1)&gt;=TIME(22,0,0),(MOD(F505,1)-TIME(22,0,0))*24,IF(MOD(F505,1)&lt;TIME(6,0,0),(MOD(F505,1)+1-TIME(22,0,0))*24,0)),2))</f>
        <v/>
      </c>
      <c r="K505" s="33">
        <f>IF(H505="","",ROUND(IF(L505="휴일근로",MIN(H505,8)*1.5+MAX(0,H505-8)*2,I505*1.5)+N(J505)*0.5,2))</f>
        <v/>
      </c>
      <c r="L505" s="18" t="n"/>
      <c r="M505" s="18" t="n"/>
      <c r="N505" s="22" t="n"/>
    </row>
    <row r="506">
      <c r="A506" s="19" t="n"/>
      <c r="B506" s="25">
        <f>IF(A506="","",CHOOSE(WEEKDAY(A506,2),"월","화","수","목","금","토","일"))</f>
        <v/>
      </c>
      <c r="C506" s="18" t="n"/>
      <c r="D506" s="25">
        <f>IFERROR(IF(C506="","",INDEX(직원명부!$B$5:$B$24,MATCH(C506,직원명부!$A$5:$A$24,0))),"사번 확인")</f>
        <v/>
      </c>
      <c r="E506" s="34" t="n"/>
      <c r="F506" s="34" t="n"/>
      <c r="G506" s="28" t="n"/>
      <c r="H506" s="33">
        <f>IF(OR(E506="",F506=""),"",ROUND(MOD(F506-E506,1)*24-N(G506),2))</f>
        <v/>
      </c>
      <c r="I506" s="33">
        <f>IF(H506="","",ROUND(MAX(0,H506-8),2))</f>
        <v/>
      </c>
      <c r="J506" s="33">
        <f>IF(OR(E506="",F506=""),"",ROUND(IF(MOD(F506,1)&gt;=TIME(22,0,0),(MOD(F506,1)-TIME(22,0,0))*24,IF(MOD(F506,1)&lt;TIME(6,0,0),(MOD(F506,1)+1-TIME(22,0,0))*24,0)),2))</f>
        <v/>
      </c>
      <c r="K506" s="33">
        <f>IF(H506="","",ROUND(IF(L506="휴일근로",MIN(H506,8)*1.5+MAX(0,H506-8)*2,I506*1.5)+N(J506)*0.5,2))</f>
        <v/>
      </c>
      <c r="L506" s="18" t="n"/>
      <c r="M506" s="18" t="n"/>
      <c r="N506" s="22" t="n"/>
    </row>
    <row r="507">
      <c r="A507" s="19" t="n"/>
      <c r="B507" s="25">
        <f>IF(A507="","",CHOOSE(WEEKDAY(A507,2),"월","화","수","목","금","토","일"))</f>
        <v/>
      </c>
      <c r="C507" s="18" t="n"/>
      <c r="D507" s="25">
        <f>IFERROR(IF(C507="","",INDEX(직원명부!$B$5:$B$24,MATCH(C507,직원명부!$A$5:$A$24,0))),"사번 확인")</f>
        <v/>
      </c>
      <c r="E507" s="34" t="n"/>
      <c r="F507" s="34" t="n"/>
      <c r="G507" s="28" t="n"/>
      <c r="H507" s="33">
        <f>IF(OR(E507="",F507=""),"",ROUND(MOD(F507-E507,1)*24-N(G507),2))</f>
        <v/>
      </c>
      <c r="I507" s="33">
        <f>IF(H507="","",ROUND(MAX(0,H507-8),2))</f>
        <v/>
      </c>
      <c r="J507" s="33">
        <f>IF(OR(E507="",F507=""),"",ROUND(IF(MOD(F507,1)&gt;=TIME(22,0,0),(MOD(F507,1)-TIME(22,0,0))*24,IF(MOD(F507,1)&lt;TIME(6,0,0),(MOD(F507,1)+1-TIME(22,0,0))*24,0)),2))</f>
        <v/>
      </c>
      <c r="K507" s="33">
        <f>IF(H507="","",ROUND(IF(L507="휴일근로",MIN(H507,8)*1.5+MAX(0,H507-8)*2,I507*1.5)+N(J507)*0.5,2))</f>
        <v/>
      </c>
      <c r="L507" s="18" t="n"/>
      <c r="M507" s="18" t="n"/>
      <c r="N507" s="22" t="n"/>
    </row>
    <row r="508">
      <c r="A508" s="19" t="n"/>
      <c r="B508" s="25">
        <f>IF(A508="","",CHOOSE(WEEKDAY(A508,2),"월","화","수","목","금","토","일"))</f>
        <v/>
      </c>
      <c r="C508" s="18" t="n"/>
      <c r="D508" s="25">
        <f>IFERROR(IF(C508="","",INDEX(직원명부!$B$5:$B$24,MATCH(C508,직원명부!$A$5:$A$24,0))),"사번 확인")</f>
        <v/>
      </c>
      <c r="E508" s="34" t="n"/>
      <c r="F508" s="34" t="n"/>
      <c r="G508" s="28" t="n"/>
      <c r="H508" s="33">
        <f>IF(OR(E508="",F508=""),"",ROUND(MOD(F508-E508,1)*24-N(G508),2))</f>
        <v/>
      </c>
      <c r="I508" s="33">
        <f>IF(H508="","",ROUND(MAX(0,H508-8),2))</f>
        <v/>
      </c>
      <c r="J508" s="33">
        <f>IF(OR(E508="",F508=""),"",ROUND(IF(MOD(F508,1)&gt;=TIME(22,0,0),(MOD(F508,1)-TIME(22,0,0))*24,IF(MOD(F508,1)&lt;TIME(6,0,0),(MOD(F508,1)+1-TIME(22,0,0))*24,0)),2))</f>
        <v/>
      </c>
      <c r="K508" s="33">
        <f>IF(H508="","",ROUND(IF(L508="휴일근로",MIN(H508,8)*1.5+MAX(0,H508-8)*2,I508*1.5)+N(J508)*0.5,2))</f>
        <v/>
      </c>
      <c r="L508" s="18" t="n"/>
      <c r="M508" s="18" t="n"/>
      <c r="N508" s="22" t="n"/>
    </row>
    <row r="509">
      <c r="A509" s="19" t="n"/>
      <c r="B509" s="25">
        <f>IF(A509="","",CHOOSE(WEEKDAY(A509,2),"월","화","수","목","금","토","일"))</f>
        <v/>
      </c>
      <c r="C509" s="18" t="n"/>
      <c r="D509" s="25">
        <f>IFERROR(IF(C509="","",INDEX(직원명부!$B$5:$B$24,MATCH(C509,직원명부!$A$5:$A$24,0))),"사번 확인")</f>
        <v/>
      </c>
      <c r="E509" s="34" t="n"/>
      <c r="F509" s="34" t="n"/>
      <c r="G509" s="28" t="n"/>
      <c r="H509" s="33">
        <f>IF(OR(E509="",F509=""),"",ROUND(MOD(F509-E509,1)*24-N(G509),2))</f>
        <v/>
      </c>
      <c r="I509" s="33">
        <f>IF(H509="","",ROUND(MAX(0,H509-8),2))</f>
        <v/>
      </c>
      <c r="J509" s="33">
        <f>IF(OR(E509="",F509=""),"",ROUND(IF(MOD(F509,1)&gt;=TIME(22,0,0),(MOD(F509,1)-TIME(22,0,0))*24,IF(MOD(F509,1)&lt;TIME(6,0,0),(MOD(F509,1)+1-TIME(22,0,0))*24,0)),2))</f>
        <v/>
      </c>
      <c r="K509" s="33">
        <f>IF(H509="","",ROUND(IF(L509="휴일근로",MIN(H509,8)*1.5+MAX(0,H509-8)*2,I509*1.5)+N(J509)*0.5,2))</f>
        <v/>
      </c>
      <c r="L509" s="18" t="n"/>
      <c r="M509" s="18" t="n"/>
      <c r="N509" s="22" t="n"/>
    </row>
    <row r="510">
      <c r="A510" s="19" t="n"/>
      <c r="B510" s="25">
        <f>IF(A510="","",CHOOSE(WEEKDAY(A510,2),"월","화","수","목","금","토","일"))</f>
        <v/>
      </c>
      <c r="C510" s="18" t="n"/>
      <c r="D510" s="25">
        <f>IFERROR(IF(C510="","",INDEX(직원명부!$B$5:$B$24,MATCH(C510,직원명부!$A$5:$A$24,0))),"사번 확인")</f>
        <v/>
      </c>
      <c r="E510" s="34" t="n"/>
      <c r="F510" s="34" t="n"/>
      <c r="G510" s="28" t="n"/>
      <c r="H510" s="33">
        <f>IF(OR(E510="",F510=""),"",ROUND(MOD(F510-E510,1)*24-N(G510),2))</f>
        <v/>
      </c>
      <c r="I510" s="33">
        <f>IF(H510="","",ROUND(MAX(0,H510-8),2))</f>
        <v/>
      </c>
      <c r="J510" s="33">
        <f>IF(OR(E510="",F510=""),"",ROUND(IF(MOD(F510,1)&gt;=TIME(22,0,0),(MOD(F510,1)-TIME(22,0,0))*24,IF(MOD(F510,1)&lt;TIME(6,0,0),(MOD(F510,1)+1-TIME(22,0,0))*24,0)),2))</f>
        <v/>
      </c>
      <c r="K510" s="33">
        <f>IF(H510="","",ROUND(IF(L510="휴일근로",MIN(H510,8)*1.5+MAX(0,H510-8)*2,I510*1.5)+N(J510)*0.5,2))</f>
        <v/>
      </c>
      <c r="L510" s="18" t="n"/>
      <c r="M510" s="18" t="n"/>
      <c r="N510" s="22" t="n"/>
    </row>
    <row r="511">
      <c r="A511" s="19" t="n"/>
      <c r="B511" s="25">
        <f>IF(A511="","",CHOOSE(WEEKDAY(A511,2),"월","화","수","목","금","토","일"))</f>
        <v/>
      </c>
      <c r="C511" s="18" t="n"/>
      <c r="D511" s="25">
        <f>IFERROR(IF(C511="","",INDEX(직원명부!$B$5:$B$24,MATCH(C511,직원명부!$A$5:$A$24,0))),"사번 확인")</f>
        <v/>
      </c>
      <c r="E511" s="34" t="n"/>
      <c r="F511" s="34" t="n"/>
      <c r="G511" s="28" t="n"/>
      <c r="H511" s="33">
        <f>IF(OR(E511="",F511=""),"",ROUND(MOD(F511-E511,1)*24-N(G511),2))</f>
        <v/>
      </c>
      <c r="I511" s="33">
        <f>IF(H511="","",ROUND(MAX(0,H511-8),2))</f>
        <v/>
      </c>
      <c r="J511" s="33">
        <f>IF(OR(E511="",F511=""),"",ROUND(IF(MOD(F511,1)&gt;=TIME(22,0,0),(MOD(F511,1)-TIME(22,0,0))*24,IF(MOD(F511,1)&lt;TIME(6,0,0),(MOD(F511,1)+1-TIME(22,0,0))*24,0)),2))</f>
        <v/>
      </c>
      <c r="K511" s="33">
        <f>IF(H511="","",ROUND(IF(L511="휴일근로",MIN(H511,8)*1.5+MAX(0,H511-8)*2,I511*1.5)+N(J511)*0.5,2))</f>
        <v/>
      </c>
      <c r="L511" s="18" t="n"/>
      <c r="M511" s="18" t="n"/>
      <c r="N511" s="22" t="n"/>
    </row>
    <row r="512">
      <c r="A512" s="19" t="n"/>
      <c r="B512" s="25">
        <f>IF(A512="","",CHOOSE(WEEKDAY(A512,2),"월","화","수","목","금","토","일"))</f>
        <v/>
      </c>
      <c r="C512" s="18" t="n"/>
      <c r="D512" s="25">
        <f>IFERROR(IF(C512="","",INDEX(직원명부!$B$5:$B$24,MATCH(C512,직원명부!$A$5:$A$24,0))),"사번 확인")</f>
        <v/>
      </c>
      <c r="E512" s="34" t="n"/>
      <c r="F512" s="34" t="n"/>
      <c r="G512" s="28" t="n"/>
      <c r="H512" s="33">
        <f>IF(OR(E512="",F512=""),"",ROUND(MOD(F512-E512,1)*24-N(G512),2))</f>
        <v/>
      </c>
      <c r="I512" s="33">
        <f>IF(H512="","",ROUND(MAX(0,H512-8),2))</f>
        <v/>
      </c>
      <c r="J512" s="33">
        <f>IF(OR(E512="",F512=""),"",ROUND(IF(MOD(F512,1)&gt;=TIME(22,0,0),(MOD(F512,1)-TIME(22,0,0))*24,IF(MOD(F512,1)&lt;TIME(6,0,0),(MOD(F512,1)+1-TIME(22,0,0))*24,0)),2))</f>
        <v/>
      </c>
      <c r="K512" s="33">
        <f>IF(H512="","",ROUND(IF(L512="휴일근로",MIN(H512,8)*1.5+MAX(0,H512-8)*2,I512*1.5)+N(J512)*0.5,2))</f>
        <v/>
      </c>
      <c r="L512" s="18" t="n"/>
      <c r="M512" s="18" t="n"/>
      <c r="N512" s="22" t="n"/>
    </row>
    <row r="513">
      <c r="A513" s="19" t="n"/>
      <c r="B513" s="25">
        <f>IF(A513="","",CHOOSE(WEEKDAY(A513,2),"월","화","수","목","금","토","일"))</f>
        <v/>
      </c>
      <c r="C513" s="18" t="n"/>
      <c r="D513" s="25">
        <f>IFERROR(IF(C513="","",INDEX(직원명부!$B$5:$B$24,MATCH(C513,직원명부!$A$5:$A$24,0))),"사번 확인")</f>
        <v/>
      </c>
      <c r="E513" s="34" t="n"/>
      <c r="F513" s="34" t="n"/>
      <c r="G513" s="28" t="n"/>
      <c r="H513" s="33">
        <f>IF(OR(E513="",F513=""),"",ROUND(MOD(F513-E513,1)*24-N(G513),2))</f>
        <v/>
      </c>
      <c r="I513" s="33">
        <f>IF(H513="","",ROUND(MAX(0,H513-8),2))</f>
        <v/>
      </c>
      <c r="J513" s="33">
        <f>IF(OR(E513="",F513=""),"",ROUND(IF(MOD(F513,1)&gt;=TIME(22,0,0),(MOD(F513,1)-TIME(22,0,0))*24,IF(MOD(F513,1)&lt;TIME(6,0,0),(MOD(F513,1)+1-TIME(22,0,0))*24,0)),2))</f>
        <v/>
      </c>
      <c r="K513" s="33">
        <f>IF(H513="","",ROUND(IF(L513="휴일근로",MIN(H513,8)*1.5+MAX(0,H513-8)*2,I513*1.5)+N(J513)*0.5,2))</f>
        <v/>
      </c>
      <c r="L513" s="18" t="n"/>
      <c r="M513" s="18" t="n"/>
      <c r="N513" s="22" t="n"/>
    </row>
    <row r="514">
      <c r="A514" s="19" t="n"/>
      <c r="B514" s="25">
        <f>IF(A514="","",CHOOSE(WEEKDAY(A514,2),"월","화","수","목","금","토","일"))</f>
        <v/>
      </c>
      <c r="C514" s="18" t="n"/>
      <c r="D514" s="25">
        <f>IFERROR(IF(C514="","",INDEX(직원명부!$B$5:$B$24,MATCH(C514,직원명부!$A$5:$A$24,0))),"사번 확인")</f>
        <v/>
      </c>
      <c r="E514" s="34" t="n"/>
      <c r="F514" s="34" t="n"/>
      <c r="G514" s="28" t="n"/>
      <c r="H514" s="33">
        <f>IF(OR(E514="",F514=""),"",ROUND(MOD(F514-E514,1)*24-N(G514),2))</f>
        <v/>
      </c>
      <c r="I514" s="33">
        <f>IF(H514="","",ROUND(MAX(0,H514-8),2))</f>
        <v/>
      </c>
      <c r="J514" s="33">
        <f>IF(OR(E514="",F514=""),"",ROUND(IF(MOD(F514,1)&gt;=TIME(22,0,0),(MOD(F514,1)-TIME(22,0,0))*24,IF(MOD(F514,1)&lt;TIME(6,0,0),(MOD(F514,1)+1-TIME(22,0,0))*24,0)),2))</f>
        <v/>
      </c>
      <c r="K514" s="33">
        <f>IF(H514="","",ROUND(IF(L514="휴일근로",MIN(H514,8)*1.5+MAX(0,H514-8)*2,I514*1.5)+N(J514)*0.5,2))</f>
        <v/>
      </c>
      <c r="L514" s="18" t="n"/>
      <c r="M514" s="18" t="n"/>
      <c r="N514" s="22" t="n"/>
    </row>
    <row r="515">
      <c r="A515" s="19" t="n"/>
      <c r="B515" s="25">
        <f>IF(A515="","",CHOOSE(WEEKDAY(A515,2),"월","화","수","목","금","토","일"))</f>
        <v/>
      </c>
      <c r="C515" s="18" t="n"/>
      <c r="D515" s="25">
        <f>IFERROR(IF(C515="","",INDEX(직원명부!$B$5:$B$24,MATCH(C515,직원명부!$A$5:$A$24,0))),"사번 확인")</f>
        <v/>
      </c>
      <c r="E515" s="34" t="n"/>
      <c r="F515" s="34" t="n"/>
      <c r="G515" s="28" t="n"/>
      <c r="H515" s="33">
        <f>IF(OR(E515="",F515=""),"",ROUND(MOD(F515-E515,1)*24-N(G515),2))</f>
        <v/>
      </c>
      <c r="I515" s="33">
        <f>IF(H515="","",ROUND(MAX(0,H515-8),2))</f>
        <v/>
      </c>
      <c r="J515" s="33">
        <f>IF(OR(E515="",F515=""),"",ROUND(IF(MOD(F515,1)&gt;=TIME(22,0,0),(MOD(F515,1)-TIME(22,0,0))*24,IF(MOD(F515,1)&lt;TIME(6,0,0),(MOD(F515,1)+1-TIME(22,0,0))*24,0)),2))</f>
        <v/>
      </c>
      <c r="K515" s="33">
        <f>IF(H515="","",ROUND(IF(L515="휴일근로",MIN(H515,8)*1.5+MAX(0,H515-8)*2,I515*1.5)+N(J515)*0.5,2))</f>
        <v/>
      </c>
      <c r="L515" s="18" t="n"/>
      <c r="M515" s="18" t="n"/>
      <c r="N515" s="22" t="n"/>
    </row>
    <row r="516">
      <c r="A516" s="19" t="n"/>
      <c r="B516" s="25">
        <f>IF(A516="","",CHOOSE(WEEKDAY(A516,2),"월","화","수","목","금","토","일"))</f>
        <v/>
      </c>
      <c r="C516" s="18" t="n"/>
      <c r="D516" s="25">
        <f>IFERROR(IF(C516="","",INDEX(직원명부!$B$5:$B$24,MATCH(C516,직원명부!$A$5:$A$24,0))),"사번 확인")</f>
        <v/>
      </c>
      <c r="E516" s="34" t="n"/>
      <c r="F516" s="34" t="n"/>
      <c r="G516" s="28" t="n"/>
      <c r="H516" s="33">
        <f>IF(OR(E516="",F516=""),"",ROUND(MOD(F516-E516,1)*24-N(G516),2))</f>
        <v/>
      </c>
      <c r="I516" s="33">
        <f>IF(H516="","",ROUND(MAX(0,H516-8),2))</f>
        <v/>
      </c>
      <c r="J516" s="33">
        <f>IF(OR(E516="",F516=""),"",ROUND(IF(MOD(F516,1)&gt;=TIME(22,0,0),(MOD(F516,1)-TIME(22,0,0))*24,IF(MOD(F516,1)&lt;TIME(6,0,0),(MOD(F516,1)+1-TIME(22,0,0))*24,0)),2))</f>
        <v/>
      </c>
      <c r="K516" s="33">
        <f>IF(H516="","",ROUND(IF(L516="휴일근로",MIN(H516,8)*1.5+MAX(0,H516-8)*2,I516*1.5)+N(J516)*0.5,2))</f>
        <v/>
      </c>
      <c r="L516" s="18" t="n"/>
      <c r="M516" s="18" t="n"/>
      <c r="N516" s="22" t="n"/>
    </row>
    <row r="517">
      <c r="A517" s="19" t="n"/>
      <c r="B517" s="25">
        <f>IF(A517="","",CHOOSE(WEEKDAY(A517,2),"월","화","수","목","금","토","일"))</f>
        <v/>
      </c>
      <c r="C517" s="18" t="n"/>
      <c r="D517" s="25">
        <f>IFERROR(IF(C517="","",INDEX(직원명부!$B$5:$B$24,MATCH(C517,직원명부!$A$5:$A$24,0))),"사번 확인")</f>
        <v/>
      </c>
      <c r="E517" s="34" t="n"/>
      <c r="F517" s="34" t="n"/>
      <c r="G517" s="28" t="n"/>
      <c r="H517" s="33">
        <f>IF(OR(E517="",F517=""),"",ROUND(MOD(F517-E517,1)*24-N(G517),2))</f>
        <v/>
      </c>
      <c r="I517" s="33">
        <f>IF(H517="","",ROUND(MAX(0,H517-8),2))</f>
        <v/>
      </c>
      <c r="J517" s="33">
        <f>IF(OR(E517="",F517=""),"",ROUND(IF(MOD(F517,1)&gt;=TIME(22,0,0),(MOD(F517,1)-TIME(22,0,0))*24,IF(MOD(F517,1)&lt;TIME(6,0,0),(MOD(F517,1)+1-TIME(22,0,0))*24,0)),2))</f>
        <v/>
      </c>
      <c r="K517" s="33">
        <f>IF(H517="","",ROUND(IF(L517="휴일근로",MIN(H517,8)*1.5+MAX(0,H517-8)*2,I517*1.5)+N(J517)*0.5,2))</f>
        <v/>
      </c>
      <c r="L517" s="18" t="n"/>
      <c r="M517" s="18" t="n"/>
      <c r="N517" s="22" t="n"/>
    </row>
    <row r="518">
      <c r="A518" s="19" t="n"/>
      <c r="B518" s="25">
        <f>IF(A518="","",CHOOSE(WEEKDAY(A518,2),"월","화","수","목","금","토","일"))</f>
        <v/>
      </c>
      <c r="C518" s="18" t="n"/>
      <c r="D518" s="25">
        <f>IFERROR(IF(C518="","",INDEX(직원명부!$B$5:$B$24,MATCH(C518,직원명부!$A$5:$A$24,0))),"사번 확인")</f>
        <v/>
      </c>
      <c r="E518" s="34" t="n"/>
      <c r="F518" s="34" t="n"/>
      <c r="G518" s="28" t="n"/>
      <c r="H518" s="33">
        <f>IF(OR(E518="",F518=""),"",ROUND(MOD(F518-E518,1)*24-N(G518),2))</f>
        <v/>
      </c>
      <c r="I518" s="33">
        <f>IF(H518="","",ROUND(MAX(0,H518-8),2))</f>
        <v/>
      </c>
      <c r="J518" s="33">
        <f>IF(OR(E518="",F518=""),"",ROUND(IF(MOD(F518,1)&gt;=TIME(22,0,0),(MOD(F518,1)-TIME(22,0,0))*24,IF(MOD(F518,1)&lt;TIME(6,0,0),(MOD(F518,1)+1-TIME(22,0,0))*24,0)),2))</f>
        <v/>
      </c>
      <c r="K518" s="33">
        <f>IF(H518="","",ROUND(IF(L518="휴일근로",MIN(H518,8)*1.5+MAX(0,H518-8)*2,I518*1.5)+N(J518)*0.5,2))</f>
        <v/>
      </c>
      <c r="L518" s="18" t="n"/>
      <c r="M518" s="18" t="n"/>
      <c r="N518" s="22" t="n"/>
    </row>
    <row r="519">
      <c r="A519" s="19" t="n"/>
      <c r="B519" s="25">
        <f>IF(A519="","",CHOOSE(WEEKDAY(A519,2),"월","화","수","목","금","토","일"))</f>
        <v/>
      </c>
      <c r="C519" s="18" t="n"/>
      <c r="D519" s="25">
        <f>IFERROR(IF(C519="","",INDEX(직원명부!$B$5:$B$24,MATCH(C519,직원명부!$A$5:$A$24,0))),"사번 확인")</f>
        <v/>
      </c>
      <c r="E519" s="34" t="n"/>
      <c r="F519" s="34" t="n"/>
      <c r="G519" s="28" t="n"/>
      <c r="H519" s="33">
        <f>IF(OR(E519="",F519=""),"",ROUND(MOD(F519-E519,1)*24-N(G519),2))</f>
        <v/>
      </c>
      <c r="I519" s="33">
        <f>IF(H519="","",ROUND(MAX(0,H519-8),2))</f>
        <v/>
      </c>
      <c r="J519" s="33">
        <f>IF(OR(E519="",F519=""),"",ROUND(IF(MOD(F519,1)&gt;=TIME(22,0,0),(MOD(F519,1)-TIME(22,0,0))*24,IF(MOD(F519,1)&lt;TIME(6,0,0),(MOD(F519,1)+1-TIME(22,0,0))*24,0)),2))</f>
        <v/>
      </c>
      <c r="K519" s="33">
        <f>IF(H519="","",ROUND(IF(L519="휴일근로",MIN(H519,8)*1.5+MAX(0,H519-8)*2,I519*1.5)+N(J519)*0.5,2))</f>
        <v/>
      </c>
      <c r="L519" s="18" t="n"/>
      <c r="M519" s="18" t="n"/>
      <c r="N519" s="22" t="n"/>
    </row>
    <row r="520">
      <c r="A520" s="19" t="n"/>
      <c r="B520" s="25">
        <f>IF(A520="","",CHOOSE(WEEKDAY(A520,2),"월","화","수","목","금","토","일"))</f>
        <v/>
      </c>
      <c r="C520" s="18" t="n"/>
      <c r="D520" s="25">
        <f>IFERROR(IF(C520="","",INDEX(직원명부!$B$5:$B$24,MATCH(C520,직원명부!$A$5:$A$24,0))),"사번 확인")</f>
        <v/>
      </c>
      <c r="E520" s="34" t="n"/>
      <c r="F520" s="34" t="n"/>
      <c r="G520" s="28" t="n"/>
      <c r="H520" s="33">
        <f>IF(OR(E520="",F520=""),"",ROUND(MOD(F520-E520,1)*24-N(G520),2))</f>
        <v/>
      </c>
      <c r="I520" s="33">
        <f>IF(H520="","",ROUND(MAX(0,H520-8),2))</f>
        <v/>
      </c>
      <c r="J520" s="33">
        <f>IF(OR(E520="",F520=""),"",ROUND(IF(MOD(F520,1)&gt;=TIME(22,0,0),(MOD(F520,1)-TIME(22,0,0))*24,IF(MOD(F520,1)&lt;TIME(6,0,0),(MOD(F520,1)+1-TIME(22,0,0))*24,0)),2))</f>
        <v/>
      </c>
      <c r="K520" s="33">
        <f>IF(H520="","",ROUND(IF(L520="휴일근로",MIN(H520,8)*1.5+MAX(0,H520-8)*2,I520*1.5)+N(J520)*0.5,2))</f>
        <v/>
      </c>
      <c r="L520" s="18" t="n"/>
      <c r="M520" s="18" t="n"/>
      <c r="N520" s="22" t="n"/>
    </row>
    <row r="521">
      <c r="A521" s="19" t="n"/>
      <c r="B521" s="25">
        <f>IF(A521="","",CHOOSE(WEEKDAY(A521,2),"월","화","수","목","금","토","일"))</f>
        <v/>
      </c>
      <c r="C521" s="18" t="n"/>
      <c r="D521" s="25">
        <f>IFERROR(IF(C521="","",INDEX(직원명부!$B$5:$B$24,MATCH(C521,직원명부!$A$5:$A$24,0))),"사번 확인")</f>
        <v/>
      </c>
      <c r="E521" s="34" t="n"/>
      <c r="F521" s="34" t="n"/>
      <c r="G521" s="28" t="n"/>
      <c r="H521" s="33">
        <f>IF(OR(E521="",F521=""),"",ROUND(MOD(F521-E521,1)*24-N(G521),2))</f>
        <v/>
      </c>
      <c r="I521" s="33">
        <f>IF(H521="","",ROUND(MAX(0,H521-8),2))</f>
        <v/>
      </c>
      <c r="J521" s="33">
        <f>IF(OR(E521="",F521=""),"",ROUND(IF(MOD(F521,1)&gt;=TIME(22,0,0),(MOD(F521,1)-TIME(22,0,0))*24,IF(MOD(F521,1)&lt;TIME(6,0,0),(MOD(F521,1)+1-TIME(22,0,0))*24,0)),2))</f>
        <v/>
      </c>
      <c r="K521" s="33">
        <f>IF(H521="","",ROUND(IF(L521="휴일근로",MIN(H521,8)*1.5+MAX(0,H521-8)*2,I521*1.5)+N(J521)*0.5,2))</f>
        <v/>
      </c>
      <c r="L521" s="18" t="n"/>
      <c r="M521" s="18" t="n"/>
      <c r="N521" s="22" t="n"/>
    </row>
    <row r="522">
      <c r="A522" s="19" t="n"/>
      <c r="B522" s="25">
        <f>IF(A522="","",CHOOSE(WEEKDAY(A522,2),"월","화","수","목","금","토","일"))</f>
        <v/>
      </c>
      <c r="C522" s="18" t="n"/>
      <c r="D522" s="25">
        <f>IFERROR(IF(C522="","",INDEX(직원명부!$B$5:$B$24,MATCH(C522,직원명부!$A$5:$A$24,0))),"사번 확인")</f>
        <v/>
      </c>
      <c r="E522" s="34" t="n"/>
      <c r="F522" s="34" t="n"/>
      <c r="G522" s="28" t="n"/>
      <c r="H522" s="33">
        <f>IF(OR(E522="",F522=""),"",ROUND(MOD(F522-E522,1)*24-N(G522),2))</f>
        <v/>
      </c>
      <c r="I522" s="33">
        <f>IF(H522="","",ROUND(MAX(0,H522-8),2))</f>
        <v/>
      </c>
      <c r="J522" s="33">
        <f>IF(OR(E522="",F522=""),"",ROUND(IF(MOD(F522,1)&gt;=TIME(22,0,0),(MOD(F522,1)-TIME(22,0,0))*24,IF(MOD(F522,1)&lt;TIME(6,0,0),(MOD(F522,1)+1-TIME(22,0,0))*24,0)),2))</f>
        <v/>
      </c>
      <c r="K522" s="33">
        <f>IF(H522="","",ROUND(IF(L522="휴일근로",MIN(H522,8)*1.5+MAX(0,H522-8)*2,I522*1.5)+N(J522)*0.5,2))</f>
        <v/>
      </c>
      <c r="L522" s="18" t="n"/>
      <c r="M522" s="18" t="n"/>
      <c r="N522" s="22" t="n"/>
    </row>
    <row r="523">
      <c r="A523" s="19" t="n"/>
      <c r="B523" s="25">
        <f>IF(A523="","",CHOOSE(WEEKDAY(A523,2),"월","화","수","목","금","토","일"))</f>
        <v/>
      </c>
      <c r="C523" s="18" t="n"/>
      <c r="D523" s="25">
        <f>IFERROR(IF(C523="","",INDEX(직원명부!$B$5:$B$24,MATCH(C523,직원명부!$A$5:$A$24,0))),"사번 확인")</f>
        <v/>
      </c>
      <c r="E523" s="34" t="n"/>
      <c r="F523" s="34" t="n"/>
      <c r="G523" s="28" t="n"/>
      <c r="H523" s="33">
        <f>IF(OR(E523="",F523=""),"",ROUND(MOD(F523-E523,1)*24-N(G523),2))</f>
        <v/>
      </c>
      <c r="I523" s="33">
        <f>IF(H523="","",ROUND(MAX(0,H523-8),2))</f>
        <v/>
      </c>
      <c r="J523" s="33">
        <f>IF(OR(E523="",F523=""),"",ROUND(IF(MOD(F523,1)&gt;=TIME(22,0,0),(MOD(F523,1)-TIME(22,0,0))*24,IF(MOD(F523,1)&lt;TIME(6,0,0),(MOD(F523,1)+1-TIME(22,0,0))*24,0)),2))</f>
        <v/>
      </c>
      <c r="K523" s="33">
        <f>IF(H523="","",ROUND(IF(L523="휴일근로",MIN(H523,8)*1.5+MAX(0,H523-8)*2,I523*1.5)+N(J523)*0.5,2))</f>
        <v/>
      </c>
      <c r="L523" s="18" t="n"/>
      <c r="M523" s="18" t="n"/>
      <c r="N523" s="22" t="n"/>
    </row>
    <row r="524">
      <c r="A524" s="19" t="n"/>
      <c r="B524" s="25">
        <f>IF(A524="","",CHOOSE(WEEKDAY(A524,2),"월","화","수","목","금","토","일"))</f>
        <v/>
      </c>
      <c r="C524" s="18" t="n"/>
      <c r="D524" s="25">
        <f>IFERROR(IF(C524="","",INDEX(직원명부!$B$5:$B$24,MATCH(C524,직원명부!$A$5:$A$24,0))),"사번 확인")</f>
        <v/>
      </c>
      <c r="E524" s="34" t="n"/>
      <c r="F524" s="34" t="n"/>
      <c r="G524" s="28" t="n"/>
      <c r="H524" s="33">
        <f>IF(OR(E524="",F524=""),"",ROUND(MOD(F524-E524,1)*24-N(G524),2))</f>
        <v/>
      </c>
      <c r="I524" s="33">
        <f>IF(H524="","",ROUND(MAX(0,H524-8),2))</f>
        <v/>
      </c>
      <c r="J524" s="33">
        <f>IF(OR(E524="",F524=""),"",ROUND(IF(MOD(F524,1)&gt;=TIME(22,0,0),(MOD(F524,1)-TIME(22,0,0))*24,IF(MOD(F524,1)&lt;TIME(6,0,0),(MOD(F524,1)+1-TIME(22,0,0))*24,0)),2))</f>
        <v/>
      </c>
      <c r="K524" s="33">
        <f>IF(H524="","",ROUND(IF(L524="휴일근로",MIN(H524,8)*1.5+MAX(0,H524-8)*2,I524*1.5)+N(J524)*0.5,2))</f>
        <v/>
      </c>
      <c r="L524" s="18" t="n"/>
      <c r="M524" s="18" t="n"/>
      <c r="N524" s="22" t="n"/>
    </row>
    <row r="525">
      <c r="A525" s="19" t="n"/>
      <c r="B525" s="25">
        <f>IF(A525="","",CHOOSE(WEEKDAY(A525,2),"월","화","수","목","금","토","일"))</f>
        <v/>
      </c>
      <c r="C525" s="18" t="n"/>
      <c r="D525" s="25">
        <f>IFERROR(IF(C525="","",INDEX(직원명부!$B$5:$B$24,MATCH(C525,직원명부!$A$5:$A$24,0))),"사번 확인")</f>
        <v/>
      </c>
      <c r="E525" s="34" t="n"/>
      <c r="F525" s="34" t="n"/>
      <c r="G525" s="28" t="n"/>
      <c r="H525" s="33">
        <f>IF(OR(E525="",F525=""),"",ROUND(MOD(F525-E525,1)*24-N(G525),2))</f>
        <v/>
      </c>
      <c r="I525" s="33">
        <f>IF(H525="","",ROUND(MAX(0,H525-8),2))</f>
        <v/>
      </c>
      <c r="J525" s="33">
        <f>IF(OR(E525="",F525=""),"",ROUND(IF(MOD(F525,1)&gt;=TIME(22,0,0),(MOD(F525,1)-TIME(22,0,0))*24,IF(MOD(F525,1)&lt;TIME(6,0,0),(MOD(F525,1)+1-TIME(22,0,0))*24,0)),2))</f>
        <v/>
      </c>
      <c r="K525" s="33">
        <f>IF(H525="","",ROUND(IF(L525="휴일근로",MIN(H525,8)*1.5+MAX(0,H525-8)*2,I525*1.5)+N(J525)*0.5,2))</f>
        <v/>
      </c>
      <c r="L525" s="18" t="n"/>
      <c r="M525" s="18" t="n"/>
      <c r="N525" s="22" t="n"/>
    </row>
    <row r="526">
      <c r="A526" s="19" t="n"/>
      <c r="B526" s="25">
        <f>IF(A526="","",CHOOSE(WEEKDAY(A526,2),"월","화","수","목","금","토","일"))</f>
        <v/>
      </c>
      <c r="C526" s="18" t="n"/>
      <c r="D526" s="25">
        <f>IFERROR(IF(C526="","",INDEX(직원명부!$B$5:$B$24,MATCH(C526,직원명부!$A$5:$A$24,0))),"사번 확인")</f>
        <v/>
      </c>
      <c r="E526" s="34" t="n"/>
      <c r="F526" s="34" t="n"/>
      <c r="G526" s="28" t="n"/>
      <c r="H526" s="33">
        <f>IF(OR(E526="",F526=""),"",ROUND(MOD(F526-E526,1)*24-N(G526),2))</f>
        <v/>
      </c>
      <c r="I526" s="33">
        <f>IF(H526="","",ROUND(MAX(0,H526-8),2))</f>
        <v/>
      </c>
      <c r="J526" s="33">
        <f>IF(OR(E526="",F526=""),"",ROUND(IF(MOD(F526,1)&gt;=TIME(22,0,0),(MOD(F526,1)-TIME(22,0,0))*24,IF(MOD(F526,1)&lt;TIME(6,0,0),(MOD(F526,1)+1-TIME(22,0,0))*24,0)),2))</f>
        <v/>
      </c>
      <c r="K526" s="33">
        <f>IF(H526="","",ROUND(IF(L526="휴일근로",MIN(H526,8)*1.5+MAX(0,H526-8)*2,I526*1.5)+N(J526)*0.5,2))</f>
        <v/>
      </c>
      <c r="L526" s="18" t="n"/>
      <c r="M526" s="18" t="n"/>
      <c r="N526" s="22" t="n"/>
    </row>
    <row r="527">
      <c r="A527" s="19" t="n"/>
      <c r="B527" s="25">
        <f>IF(A527="","",CHOOSE(WEEKDAY(A527,2),"월","화","수","목","금","토","일"))</f>
        <v/>
      </c>
      <c r="C527" s="18" t="n"/>
      <c r="D527" s="25">
        <f>IFERROR(IF(C527="","",INDEX(직원명부!$B$5:$B$24,MATCH(C527,직원명부!$A$5:$A$24,0))),"사번 확인")</f>
        <v/>
      </c>
      <c r="E527" s="34" t="n"/>
      <c r="F527" s="34" t="n"/>
      <c r="G527" s="28" t="n"/>
      <c r="H527" s="33">
        <f>IF(OR(E527="",F527=""),"",ROUND(MOD(F527-E527,1)*24-N(G527),2))</f>
        <v/>
      </c>
      <c r="I527" s="33">
        <f>IF(H527="","",ROUND(MAX(0,H527-8),2))</f>
        <v/>
      </c>
      <c r="J527" s="33">
        <f>IF(OR(E527="",F527=""),"",ROUND(IF(MOD(F527,1)&gt;=TIME(22,0,0),(MOD(F527,1)-TIME(22,0,0))*24,IF(MOD(F527,1)&lt;TIME(6,0,0),(MOD(F527,1)+1-TIME(22,0,0))*24,0)),2))</f>
        <v/>
      </c>
      <c r="K527" s="33">
        <f>IF(H527="","",ROUND(IF(L527="휴일근로",MIN(H527,8)*1.5+MAX(0,H527-8)*2,I527*1.5)+N(J527)*0.5,2))</f>
        <v/>
      </c>
      <c r="L527" s="18" t="n"/>
      <c r="M527" s="18" t="n"/>
      <c r="N527" s="22" t="n"/>
    </row>
    <row r="528">
      <c r="A528" s="19" t="n"/>
      <c r="B528" s="25">
        <f>IF(A528="","",CHOOSE(WEEKDAY(A528,2),"월","화","수","목","금","토","일"))</f>
        <v/>
      </c>
      <c r="C528" s="18" t="n"/>
      <c r="D528" s="25">
        <f>IFERROR(IF(C528="","",INDEX(직원명부!$B$5:$B$24,MATCH(C528,직원명부!$A$5:$A$24,0))),"사번 확인")</f>
        <v/>
      </c>
      <c r="E528" s="34" t="n"/>
      <c r="F528" s="34" t="n"/>
      <c r="G528" s="28" t="n"/>
      <c r="H528" s="33">
        <f>IF(OR(E528="",F528=""),"",ROUND(MOD(F528-E528,1)*24-N(G528),2))</f>
        <v/>
      </c>
      <c r="I528" s="33">
        <f>IF(H528="","",ROUND(MAX(0,H528-8),2))</f>
        <v/>
      </c>
      <c r="J528" s="33">
        <f>IF(OR(E528="",F528=""),"",ROUND(IF(MOD(F528,1)&gt;=TIME(22,0,0),(MOD(F528,1)-TIME(22,0,0))*24,IF(MOD(F528,1)&lt;TIME(6,0,0),(MOD(F528,1)+1-TIME(22,0,0))*24,0)),2))</f>
        <v/>
      </c>
      <c r="K528" s="33">
        <f>IF(H528="","",ROUND(IF(L528="휴일근로",MIN(H528,8)*1.5+MAX(0,H528-8)*2,I528*1.5)+N(J528)*0.5,2))</f>
        <v/>
      </c>
      <c r="L528" s="18" t="n"/>
      <c r="M528" s="18" t="n"/>
      <c r="N528" s="22" t="n"/>
    </row>
    <row r="529">
      <c r="A529" s="19" t="n"/>
      <c r="B529" s="25">
        <f>IF(A529="","",CHOOSE(WEEKDAY(A529,2),"월","화","수","목","금","토","일"))</f>
        <v/>
      </c>
      <c r="C529" s="18" t="n"/>
      <c r="D529" s="25">
        <f>IFERROR(IF(C529="","",INDEX(직원명부!$B$5:$B$24,MATCH(C529,직원명부!$A$5:$A$24,0))),"사번 확인")</f>
        <v/>
      </c>
      <c r="E529" s="34" t="n"/>
      <c r="F529" s="34" t="n"/>
      <c r="G529" s="28" t="n"/>
      <c r="H529" s="33">
        <f>IF(OR(E529="",F529=""),"",ROUND(MOD(F529-E529,1)*24-N(G529),2))</f>
        <v/>
      </c>
      <c r="I529" s="33">
        <f>IF(H529="","",ROUND(MAX(0,H529-8),2))</f>
        <v/>
      </c>
      <c r="J529" s="33">
        <f>IF(OR(E529="",F529=""),"",ROUND(IF(MOD(F529,1)&gt;=TIME(22,0,0),(MOD(F529,1)-TIME(22,0,0))*24,IF(MOD(F529,1)&lt;TIME(6,0,0),(MOD(F529,1)+1-TIME(22,0,0))*24,0)),2))</f>
        <v/>
      </c>
      <c r="K529" s="33">
        <f>IF(H529="","",ROUND(IF(L529="휴일근로",MIN(H529,8)*1.5+MAX(0,H529-8)*2,I529*1.5)+N(J529)*0.5,2))</f>
        <v/>
      </c>
      <c r="L529" s="18" t="n"/>
      <c r="M529" s="18" t="n"/>
      <c r="N529" s="22" t="n"/>
    </row>
    <row r="530">
      <c r="A530" s="19" t="n"/>
      <c r="B530" s="25">
        <f>IF(A530="","",CHOOSE(WEEKDAY(A530,2),"월","화","수","목","금","토","일"))</f>
        <v/>
      </c>
      <c r="C530" s="18" t="n"/>
      <c r="D530" s="25">
        <f>IFERROR(IF(C530="","",INDEX(직원명부!$B$5:$B$24,MATCH(C530,직원명부!$A$5:$A$24,0))),"사번 확인")</f>
        <v/>
      </c>
      <c r="E530" s="34" t="n"/>
      <c r="F530" s="34" t="n"/>
      <c r="G530" s="28" t="n"/>
      <c r="H530" s="33">
        <f>IF(OR(E530="",F530=""),"",ROUND(MOD(F530-E530,1)*24-N(G530),2))</f>
        <v/>
      </c>
      <c r="I530" s="33">
        <f>IF(H530="","",ROUND(MAX(0,H530-8),2))</f>
        <v/>
      </c>
      <c r="J530" s="33">
        <f>IF(OR(E530="",F530=""),"",ROUND(IF(MOD(F530,1)&gt;=TIME(22,0,0),(MOD(F530,1)-TIME(22,0,0))*24,IF(MOD(F530,1)&lt;TIME(6,0,0),(MOD(F530,1)+1-TIME(22,0,0))*24,0)),2))</f>
        <v/>
      </c>
      <c r="K530" s="33">
        <f>IF(H530="","",ROUND(IF(L530="휴일근로",MIN(H530,8)*1.5+MAX(0,H530-8)*2,I530*1.5)+N(J530)*0.5,2))</f>
        <v/>
      </c>
      <c r="L530" s="18" t="n"/>
      <c r="M530" s="18" t="n"/>
      <c r="N530" s="22" t="n"/>
    </row>
    <row r="531">
      <c r="A531" s="19" t="n"/>
      <c r="B531" s="25">
        <f>IF(A531="","",CHOOSE(WEEKDAY(A531,2),"월","화","수","목","금","토","일"))</f>
        <v/>
      </c>
      <c r="C531" s="18" t="n"/>
      <c r="D531" s="25">
        <f>IFERROR(IF(C531="","",INDEX(직원명부!$B$5:$B$24,MATCH(C531,직원명부!$A$5:$A$24,0))),"사번 확인")</f>
        <v/>
      </c>
      <c r="E531" s="34" t="n"/>
      <c r="F531" s="34" t="n"/>
      <c r="G531" s="28" t="n"/>
      <c r="H531" s="33">
        <f>IF(OR(E531="",F531=""),"",ROUND(MOD(F531-E531,1)*24-N(G531),2))</f>
        <v/>
      </c>
      <c r="I531" s="33">
        <f>IF(H531="","",ROUND(MAX(0,H531-8),2))</f>
        <v/>
      </c>
      <c r="J531" s="33">
        <f>IF(OR(E531="",F531=""),"",ROUND(IF(MOD(F531,1)&gt;=TIME(22,0,0),(MOD(F531,1)-TIME(22,0,0))*24,IF(MOD(F531,1)&lt;TIME(6,0,0),(MOD(F531,1)+1-TIME(22,0,0))*24,0)),2))</f>
        <v/>
      </c>
      <c r="K531" s="33">
        <f>IF(H531="","",ROUND(IF(L531="휴일근로",MIN(H531,8)*1.5+MAX(0,H531-8)*2,I531*1.5)+N(J531)*0.5,2))</f>
        <v/>
      </c>
      <c r="L531" s="18" t="n"/>
      <c r="M531" s="18" t="n"/>
      <c r="N531" s="22" t="n"/>
    </row>
    <row r="532">
      <c r="A532" s="19" t="n"/>
      <c r="B532" s="25">
        <f>IF(A532="","",CHOOSE(WEEKDAY(A532,2),"월","화","수","목","금","토","일"))</f>
        <v/>
      </c>
      <c r="C532" s="18" t="n"/>
      <c r="D532" s="25">
        <f>IFERROR(IF(C532="","",INDEX(직원명부!$B$5:$B$24,MATCH(C532,직원명부!$A$5:$A$24,0))),"사번 확인")</f>
        <v/>
      </c>
      <c r="E532" s="34" t="n"/>
      <c r="F532" s="34" t="n"/>
      <c r="G532" s="28" t="n"/>
      <c r="H532" s="33">
        <f>IF(OR(E532="",F532=""),"",ROUND(MOD(F532-E532,1)*24-N(G532),2))</f>
        <v/>
      </c>
      <c r="I532" s="33">
        <f>IF(H532="","",ROUND(MAX(0,H532-8),2))</f>
        <v/>
      </c>
      <c r="J532" s="33">
        <f>IF(OR(E532="",F532=""),"",ROUND(IF(MOD(F532,1)&gt;=TIME(22,0,0),(MOD(F532,1)-TIME(22,0,0))*24,IF(MOD(F532,1)&lt;TIME(6,0,0),(MOD(F532,1)+1-TIME(22,0,0))*24,0)),2))</f>
        <v/>
      </c>
      <c r="K532" s="33">
        <f>IF(H532="","",ROUND(IF(L532="휴일근로",MIN(H532,8)*1.5+MAX(0,H532-8)*2,I532*1.5)+N(J532)*0.5,2))</f>
        <v/>
      </c>
      <c r="L532" s="18" t="n"/>
      <c r="M532" s="18" t="n"/>
      <c r="N532" s="22" t="n"/>
    </row>
    <row r="533">
      <c r="A533" s="19" t="n"/>
      <c r="B533" s="25">
        <f>IF(A533="","",CHOOSE(WEEKDAY(A533,2),"월","화","수","목","금","토","일"))</f>
        <v/>
      </c>
      <c r="C533" s="18" t="n"/>
      <c r="D533" s="25">
        <f>IFERROR(IF(C533="","",INDEX(직원명부!$B$5:$B$24,MATCH(C533,직원명부!$A$5:$A$24,0))),"사번 확인")</f>
        <v/>
      </c>
      <c r="E533" s="34" t="n"/>
      <c r="F533" s="34" t="n"/>
      <c r="G533" s="28" t="n"/>
      <c r="H533" s="33">
        <f>IF(OR(E533="",F533=""),"",ROUND(MOD(F533-E533,1)*24-N(G533),2))</f>
        <v/>
      </c>
      <c r="I533" s="33">
        <f>IF(H533="","",ROUND(MAX(0,H533-8),2))</f>
        <v/>
      </c>
      <c r="J533" s="33">
        <f>IF(OR(E533="",F533=""),"",ROUND(IF(MOD(F533,1)&gt;=TIME(22,0,0),(MOD(F533,1)-TIME(22,0,0))*24,IF(MOD(F533,1)&lt;TIME(6,0,0),(MOD(F533,1)+1-TIME(22,0,0))*24,0)),2))</f>
        <v/>
      </c>
      <c r="K533" s="33">
        <f>IF(H533="","",ROUND(IF(L533="휴일근로",MIN(H533,8)*1.5+MAX(0,H533-8)*2,I533*1.5)+N(J533)*0.5,2))</f>
        <v/>
      </c>
      <c r="L533" s="18" t="n"/>
      <c r="M533" s="18" t="n"/>
      <c r="N533" s="22" t="n"/>
    </row>
    <row r="534">
      <c r="A534" s="19" t="n"/>
      <c r="B534" s="25">
        <f>IF(A534="","",CHOOSE(WEEKDAY(A534,2),"월","화","수","목","금","토","일"))</f>
        <v/>
      </c>
      <c r="C534" s="18" t="n"/>
      <c r="D534" s="25">
        <f>IFERROR(IF(C534="","",INDEX(직원명부!$B$5:$B$24,MATCH(C534,직원명부!$A$5:$A$24,0))),"사번 확인")</f>
        <v/>
      </c>
      <c r="E534" s="34" t="n"/>
      <c r="F534" s="34" t="n"/>
      <c r="G534" s="28" t="n"/>
      <c r="H534" s="33">
        <f>IF(OR(E534="",F534=""),"",ROUND(MOD(F534-E534,1)*24-N(G534),2))</f>
        <v/>
      </c>
      <c r="I534" s="33">
        <f>IF(H534="","",ROUND(MAX(0,H534-8),2))</f>
        <v/>
      </c>
      <c r="J534" s="33">
        <f>IF(OR(E534="",F534=""),"",ROUND(IF(MOD(F534,1)&gt;=TIME(22,0,0),(MOD(F534,1)-TIME(22,0,0))*24,IF(MOD(F534,1)&lt;TIME(6,0,0),(MOD(F534,1)+1-TIME(22,0,0))*24,0)),2))</f>
        <v/>
      </c>
      <c r="K534" s="33">
        <f>IF(H534="","",ROUND(IF(L534="휴일근로",MIN(H534,8)*1.5+MAX(0,H534-8)*2,I534*1.5)+N(J534)*0.5,2))</f>
        <v/>
      </c>
      <c r="L534" s="18" t="n"/>
      <c r="M534" s="18" t="n"/>
      <c r="N534" s="22" t="n"/>
    </row>
    <row r="535">
      <c r="A535" s="19" t="n"/>
      <c r="B535" s="25">
        <f>IF(A535="","",CHOOSE(WEEKDAY(A535,2),"월","화","수","목","금","토","일"))</f>
        <v/>
      </c>
      <c r="C535" s="18" t="n"/>
      <c r="D535" s="25">
        <f>IFERROR(IF(C535="","",INDEX(직원명부!$B$5:$B$24,MATCH(C535,직원명부!$A$5:$A$24,0))),"사번 확인")</f>
        <v/>
      </c>
      <c r="E535" s="34" t="n"/>
      <c r="F535" s="34" t="n"/>
      <c r="G535" s="28" t="n"/>
      <c r="H535" s="33">
        <f>IF(OR(E535="",F535=""),"",ROUND(MOD(F535-E535,1)*24-N(G535),2))</f>
        <v/>
      </c>
      <c r="I535" s="33">
        <f>IF(H535="","",ROUND(MAX(0,H535-8),2))</f>
        <v/>
      </c>
      <c r="J535" s="33">
        <f>IF(OR(E535="",F535=""),"",ROUND(IF(MOD(F535,1)&gt;=TIME(22,0,0),(MOD(F535,1)-TIME(22,0,0))*24,IF(MOD(F535,1)&lt;TIME(6,0,0),(MOD(F535,1)+1-TIME(22,0,0))*24,0)),2))</f>
        <v/>
      </c>
      <c r="K535" s="33">
        <f>IF(H535="","",ROUND(IF(L535="휴일근로",MIN(H535,8)*1.5+MAX(0,H535-8)*2,I535*1.5)+N(J535)*0.5,2))</f>
        <v/>
      </c>
      <c r="L535" s="18" t="n"/>
      <c r="M535" s="18" t="n"/>
      <c r="N535" s="22" t="n"/>
    </row>
    <row r="536">
      <c r="A536" s="19" t="n"/>
      <c r="B536" s="25">
        <f>IF(A536="","",CHOOSE(WEEKDAY(A536,2),"월","화","수","목","금","토","일"))</f>
        <v/>
      </c>
      <c r="C536" s="18" t="n"/>
      <c r="D536" s="25">
        <f>IFERROR(IF(C536="","",INDEX(직원명부!$B$5:$B$24,MATCH(C536,직원명부!$A$5:$A$24,0))),"사번 확인")</f>
        <v/>
      </c>
      <c r="E536" s="34" t="n"/>
      <c r="F536" s="34" t="n"/>
      <c r="G536" s="28" t="n"/>
      <c r="H536" s="33">
        <f>IF(OR(E536="",F536=""),"",ROUND(MOD(F536-E536,1)*24-N(G536),2))</f>
        <v/>
      </c>
      <c r="I536" s="33">
        <f>IF(H536="","",ROUND(MAX(0,H536-8),2))</f>
        <v/>
      </c>
      <c r="J536" s="33">
        <f>IF(OR(E536="",F536=""),"",ROUND(IF(MOD(F536,1)&gt;=TIME(22,0,0),(MOD(F536,1)-TIME(22,0,0))*24,IF(MOD(F536,1)&lt;TIME(6,0,0),(MOD(F536,1)+1-TIME(22,0,0))*24,0)),2))</f>
        <v/>
      </c>
      <c r="K536" s="33">
        <f>IF(H536="","",ROUND(IF(L536="휴일근로",MIN(H536,8)*1.5+MAX(0,H536-8)*2,I536*1.5)+N(J536)*0.5,2))</f>
        <v/>
      </c>
      <c r="L536" s="18" t="n"/>
      <c r="M536" s="18" t="n"/>
      <c r="N536" s="22" t="n"/>
    </row>
    <row r="537">
      <c r="A537" s="19" t="n"/>
      <c r="B537" s="25">
        <f>IF(A537="","",CHOOSE(WEEKDAY(A537,2),"월","화","수","목","금","토","일"))</f>
        <v/>
      </c>
      <c r="C537" s="18" t="n"/>
      <c r="D537" s="25">
        <f>IFERROR(IF(C537="","",INDEX(직원명부!$B$5:$B$24,MATCH(C537,직원명부!$A$5:$A$24,0))),"사번 확인")</f>
        <v/>
      </c>
      <c r="E537" s="34" t="n"/>
      <c r="F537" s="34" t="n"/>
      <c r="G537" s="28" t="n"/>
      <c r="H537" s="33">
        <f>IF(OR(E537="",F537=""),"",ROUND(MOD(F537-E537,1)*24-N(G537),2))</f>
        <v/>
      </c>
      <c r="I537" s="33">
        <f>IF(H537="","",ROUND(MAX(0,H537-8),2))</f>
        <v/>
      </c>
      <c r="J537" s="33">
        <f>IF(OR(E537="",F537=""),"",ROUND(IF(MOD(F537,1)&gt;=TIME(22,0,0),(MOD(F537,1)-TIME(22,0,0))*24,IF(MOD(F537,1)&lt;TIME(6,0,0),(MOD(F537,1)+1-TIME(22,0,0))*24,0)),2))</f>
        <v/>
      </c>
      <c r="K537" s="33">
        <f>IF(H537="","",ROUND(IF(L537="휴일근로",MIN(H537,8)*1.5+MAX(0,H537-8)*2,I537*1.5)+N(J537)*0.5,2))</f>
        <v/>
      </c>
      <c r="L537" s="18" t="n"/>
      <c r="M537" s="18" t="n"/>
      <c r="N537" s="22" t="n"/>
    </row>
    <row r="538">
      <c r="A538" s="19" t="n"/>
      <c r="B538" s="25">
        <f>IF(A538="","",CHOOSE(WEEKDAY(A538,2),"월","화","수","목","금","토","일"))</f>
        <v/>
      </c>
      <c r="C538" s="18" t="n"/>
      <c r="D538" s="25">
        <f>IFERROR(IF(C538="","",INDEX(직원명부!$B$5:$B$24,MATCH(C538,직원명부!$A$5:$A$24,0))),"사번 확인")</f>
        <v/>
      </c>
      <c r="E538" s="34" t="n"/>
      <c r="F538" s="34" t="n"/>
      <c r="G538" s="28" t="n"/>
      <c r="H538" s="33">
        <f>IF(OR(E538="",F538=""),"",ROUND(MOD(F538-E538,1)*24-N(G538),2))</f>
        <v/>
      </c>
      <c r="I538" s="33">
        <f>IF(H538="","",ROUND(MAX(0,H538-8),2))</f>
        <v/>
      </c>
      <c r="J538" s="33">
        <f>IF(OR(E538="",F538=""),"",ROUND(IF(MOD(F538,1)&gt;=TIME(22,0,0),(MOD(F538,1)-TIME(22,0,0))*24,IF(MOD(F538,1)&lt;TIME(6,0,0),(MOD(F538,1)+1-TIME(22,0,0))*24,0)),2))</f>
        <v/>
      </c>
      <c r="K538" s="33">
        <f>IF(H538="","",ROUND(IF(L538="휴일근로",MIN(H538,8)*1.5+MAX(0,H538-8)*2,I538*1.5)+N(J538)*0.5,2))</f>
        <v/>
      </c>
      <c r="L538" s="18" t="n"/>
      <c r="M538" s="18" t="n"/>
      <c r="N538" s="22" t="n"/>
    </row>
    <row r="539">
      <c r="A539" s="19" t="n"/>
      <c r="B539" s="25">
        <f>IF(A539="","",CHOOSE(WEEKDAY(A539,2),"월","화","수","목","금","토","일"))</f>
        <v/>
      </c>
      <c r="C539" s="18" t="n"/>
      <c r="D539" s="25">
        <f>IFERROR(IF(C539="","",INDEX(직원명부!$B$5:$B$24,MATCH(C539,직원명부!$A$5:$A$24,0))),"사번 확인")</f>
        <v/>
      </c>
      <c r="E539" s="34" t="n"/>
      <c r="F539" s="34" t="n"/>
      <c r="G539" s="28" t="n"/>
      <c r="H539" s="33">
        <f>IF(OR(E539="",F539=""),"",ROUND(MOD(F539-E539,1)*24-N(G539),2))</f>
        <v/>
      </c>
      <c r="I539" s="33">
        <f>IF(H539="","",ROUND(MAX(0,H539-8),2))</f>
        <v/>
      </c>
      <c r="J539" s="33">
        <f>IF(OR(E539="",F539=""),"",ROUND(IF(MOD(F539,1)&gt;=TIME(22,0,0),(MOD(F539,1)-TIME(22,0,0))*24,IF(MOD(F539,1)&lt;TIME(6,0,0),(MOD(F539,1)+1-TIME(22,0,0))*24,0)),2))</f>
        <v/>
      </c>
      <c r="K539" s="33">
        <f>IF(H539="","",ROUND(IF(L539="휴일근로",MIN(H539,8)*1.5+MAX(0,H539-8)*2,I539*1.5)+N(J539)*0.5,2))</f>
        <v/>
      </c>
      <c r="L539" s="18" t="n"/>
      <c r="M539" s="18" t="n"/>
      <c r="N539" s="22" t="n"/>
    </row>
    <row r="540">
      <c r="A540" s="19" t="n"/>
      <c r="B540" s="25">
        <f>IF(A540="","",CHOOSE(WEEKDAY(A540,2),"월","화","수","목","금","토","일"))</f>
        <v/>
      </c>
      <c r="C540" s="18" t="n"/>
      <c r="D540" s="25">
        <f>IFERROR(IF(C540="","",INDEX(직원명부!$B$5:$B$24,MATCH(C540,직원명부!$A$5:$A$24,0))),"사번 확인")</f>
        <v/>
      </c>
      <c r="E540" s="34" t="n"/>
      <c r="F540" s="34" t="n"/>
      <c r="G540" s="28" t="n"/>
      <c r="H540" s="33">
        <f>IF(OR(E540="",F540=""),"",ROUND(MOD(F540-E540,1)*24-N(G540),2))</f>
        <v/>
      </c>
      <c r="I540" s="33">
        <f>IF(H540="","",ROUND(MAX(0,H540-8),2))</f>
        <v/>
      </c>
      <c r="J540" s="33">
        <f>IF(OR(E540="",F540=""),"",ROUND(IF(MOD(F540,1)&gt;=TIME(22,0,0),(MOD(F540,1)-TIME(22,0,0))*24,IF(MOD(F540,1)&lt;TIME(6,0,0),(MOD(F540,1)+1-TIME(22,0,0))*24,0)),2))</f>
        <v/>
      </c>
      <c r="K540" s="33">
        <f>IF(H540="","",ROUND(IF(L540="휴일근로",MIN(H540,8)*1.5+MAX(0,H540-8)*2,I540*1.5)+N(J540)*0.5,2))</f>
        <v/>
      </c>
      <c r="L540" s="18" t="n"/>
      <c r="M540" s="18" t="n"/>
      <c r="N540" s="22" t="n"/>
    </row>
    <row r="541">
      <c r="A541" s="19" t="n"/>
      <c r="B541" s="25">
        <f>IF(A541="","",CHOOSE(WEEKDAY(A541,2),"월","화","수","목","금","토","일"))</f>
        <v/>
      </c>
      <c r="C541" s="18" t="n"/>
      <c r="D541" s="25">
        <f>IFERROR(IF(C541="","",INDEX(직원명부!$B$5:$B$24,MATCH(C541,직원명부!$A$5:$A$24,0))),"사번 확인")</f>
        <v/>
      </c>
      <c r="E541" s="34" t="n"/>
      <c r="F541" s="34" t="n"/>
      <c r="G541" s="28" t="n"/>
      <c r="H541" s="33">
        <f>IF(OR(E541="",F541=""),"",ROUND(MOD(F541-E541,1)*24-N(G541),2))</f>
        <v/>
      </c>
      <c r="I541" s="33">
        <f>IF(H541="","",ROUND(MAX(0,H541-8),2))</f>
        <v/>
      </c>
      <c r="J541" s="33">
        <f>IF(OR(E541="",F541=""),"",ROUND(IF(MOD(F541,1)&gt;=TIME(22,0,0),(MOD(F541,1)-TIME(22,0,0))*24,IF(MOD(F541,1)&lt;TIME(6,0,0),(MOD(F541,1)+1-TIME(22,0,0))*24,0)),2))</f>
        <v/>
      </c>
      <c r="K541" s="33">
        <f>IF(H541="","",ROUND(IF(L541="휴일근로",MIN(H541,8)*1.5+MAX(0,H541-8)*2,I541*1.5)+N(J541)*0.5,2))</f>
        <v/>
      </c>
      <c r="L541" s="18" t="n"/>
      <c r="M541" s="18" t="n"/>
      <c r="N541" s="22" t="n"/>
    </row>
    <row r="542">
      <c r="A542" s="19" t="n"/>
      <c r="B542" s="25">
        <f>IF(A542="","",CHOOSE(WEEKDAY(A542,2),"월","화","수","목","금","토","일"))</f>
        <v/>
      </c>
      <c r="C542" s="18" t="n"/>
      <c r="D542" s="25">
        <f>IFERROR(IF(C542="","",INDEX(직원명부!$B$5:$B$24,MATCH(C542,직원명부!$A$5:$A$24,0))),"사번 확인")</f>
        <v/>
      </c>
      <c r="E542" s="34" t="n"/>
      <c r="F542" s="34" t="n"/>
      <c r="G542" s="28" t="n"/>
      <c r="H542" s="33">
        <f>IF(OR(E542="",F542=""),"",ROUND(MOD(F542-E542,1)*24-N(G542),2))</f>
        <v/>
      </c>
      <c r="I542" s="33">
        <f>IF(H542="","",ROUND(MAX(0,H542-8),2))</f>
        <v/>
      </c>
      <c r="J542" s="33">
        <f>IF(OR(E542="",F542=""),"",ROUND(IF(MOD(F542,1)&gt;=TIME(22,0,0),(MOD(F542,1)-TIME(22,0,0))*24,IF(MOD(F542,1)&lt;TIME(6,0,0),(MOD(F542,1)+1-TIME(22,0,0))*24,0)),2))</f>
        <v/>
      </c>
      <c r="K542" s="33">
        <f>IF(H542="","",ROUND(IF(L542="휴일근로",MIN(H542,8)*1.5+MAX(0,H542-8)*2,I542*1.5)+N(J542)*0.5,2))</f>
        <v/>
      </c>
      <c r="L542" s="18" t="n"/>
      <c r="M542" s="18" t="n"/>
      <c r="N542" s="22" t="n"/>
    </row>
    <row r="543">
      <c r="A543" s="19" t="n"/>
      <c r="B543" s="25">
        <f>IF(A543="","",CHOOSE(WEEKDAY(A543,2),"월","화","수","목","금","토","일"))</f>
        <v/>
      </c>
      <c r="C543" s="18" t="n"/>
      <c r="D543" s="25">
        <f>IFERROR(IF(C543="","",INDEX(직원명부!$B$5:$B$24,MATCH(C543,직원명부!$A$5:$A$24,0))),"사번 확인")</f>
        <v/>
      </c>
      <c r="E543" s="34" t="n"/>
      <c r="F543" s="34" t="n"/>
      <c r="G543" s="28" t="n"/>
      <c r="H543" s="33">
        <f>IF(OR(E543="",F543=""),"",ROUND(MOD(F543-E543,1)*24-N(G543),2))</f>
        <v/>
      </c>
      <c r="I543" s="33">
        <f>IF(H543="","",ROUND(MAX(0,H543-8),2))</f>
        <v/>
      </c>
      <c r="J543" s="33">
        <f>IF(OR(E543="",F543=""),"",ROUND(IF(MOD(F543,1)&gt;=TIME(22,0,0),(MOD(F543,1)-TIME(22,0,0))*24,IF(MOD(F543,1)&lt;TIME(6,0,0),(MOD(F543,1)+1-TIME(22,0,0))*24,0)),2))</f>
        <v/>
      </c>
      <c r="K543" s="33">
        <f>IF(H543="","",ROUND(IF(L543="휴일근로",MIN(H543,8)*1.5+MAX(0,H543-8)*2,I543*1.5)+N(J543)*0.5,2))</f>
        <v/>
      </c>
      <c r="L543" s="18" t="n"/>
      <c r="M543" s="18" t="n"/>
      <c r="N543" s="22" t="n"/>
    </row>
    <row r="544">
      <c r="A544" s="19" t="n"/>
      <c r="B544" s="25">
        <f>IF(A544="","",CHOOSE(WEEKDAY(A544,2),"월","화","수","목","금","토","일"))</f>
        <v/>
      </c>
      <c r="C544" s="18" t="n"/>
      <c r="D544" s="25">
        <f>IFERROR(IF(C544="","",INDEX(직원명부!$B$5:$B$24,MATCH(C544,직원명부!$A$5:$A$24,0))),"사번 확인")</f>
        <v/>
      </c>
      <c r="E544" s="34" t="n"/>
      <c r="F544" s="34" t="n"/>
      <c r="G544" s="28" t="n"/>
      <c r="H544" s="33">
        <f>IF(OR(E544="",F544=""),"",ROUND(MOD(F544-E544,1)*24-N(G544),2))</f>
        <v/>
      </c>
      <c r="I544" s="33">
        <f>IF(H544="","",ROUND(MAX(0,H544-8),2))</f>
        <v/>
      </c>
      <c r="J544" s="33">
        <f>IF(OR(E544="",F544=""),"",ROUND(IF(MOD(F544,1)&gt;=TIME(22,0,0),(MOD(F544,1)-TIME(22,0,0))*24,IF(MOD(F544,1)&lt;TIME(6,0,0),(MOD(F544,1)+1-TIME(22,0,0))*24,0)),2))</f>
        <v/>
      </c>
      <c r="K544" s="33">
        <f>IF(H544="","",ROUND(IF(L544="휴일근로",MIN(H544,8)*1.5+MAX(0,H544-8)*2,I544*1.5)+N(J544)*0.5,2))</f>
        <v/>
      </c>
      <c r="L544" s="18" t="n"/>
      <c r="M544" s="18" t="n"/>
      <c r="N544" s="22" t="n"/>
    </row>
    <row r="545">
      <c r="A545" s="19" t="n"/>
      <c r="B545" s="25">
        <f>IF(A545="","",CHOOSE(WEEKDAY(A545,2),"월","화","수","목","금","토","일"))</f>
        <v/>
      </c>
      <c r="C545" s="18" t="n"/>
      <c r="D545" s="25">
        <f>IFERROR(IF(C545="","",INDEX(직원명부!$B$5:$B$24,MATCH(C545,직원명부!$A$5:$A$24,0))),"사번 확인")</f>
        <v/>
      </c>
      <c r="E545" s="34" t="n"/>
      <c r="F545" s="34" t="n"/>
      <c r="G545" s="28" t="n"/>
      <c r="H545" s="33">
        <f>IF(OR(E545="",F545=""),"",ROUND(MOD(F545-E545,1)*24-N(G545),2))</f>
        <v/>
      </c>
      <c r="I545" s="33">
        <f>IF(H545="","",ROUND(MAX(0,H545-8),2))</f>
        <v/>
      </c>
      <c r="J545" s="33">
        <f>IF(OR(E545="",F545=""),"",ROUND(IF(MOD(F545,1)&gt;=TIME(22,0,0),(MOD(F545,1)-TIME(22,0,0))*24,IF(MOD(F545,1)&lt;TIME(6,0,0),(MOD(F545,1)+1-TIME(22,0,0))*24,0)),2))</f>
        <v/>
      </c>
      <c r="K545" s="33">
        <f>IF(H545="","",ROUND(IF(L545="휴일근로",MIN(H545,8)*1.5+MAX(0,H545-8)*2,I545*1.5)+N(J545)*0.5,2))</f>
        <v/>
      </c>
      <c r="L545" s="18" t="n"/>
      <c r="M545" s="18" t="n"/>
      <c r="N545" s="22" t="n"/>
    </row>
    <row r="546">
      <c r="A546" s="19" t="n"/>
      <c r="B546" s="25">
        <f>IF(A546="","",CHOOSE(WEEKDAY(A546,2),"월","화","수","목","금","토","일"))</f>
        <v/>
      </c>
      <c r="C546" s="18" t="n"/>
      <c r="D546" s="25">
        <f>IFERROR(IF(C546="","",INDEX(직원명부!$B$5:$B$24,MATCH(C546,직원명부!$A$5:$A$24,0))),"사번 확인")</f>
        <v/>
      </c>
      <c r="E546" s="34" t="n"/>
      <c r="F546" s="34" t="n"/>
      <c r="G546" s="28" t="n"/>
      <c r="H546" s="33">
        <f>IF(OR(E546="",F546=""),"",ROUND(MOD(F546-E546,1)*24-N(G546),2))</f>
        <v/>
      </c>
      <c r="I546" s="33">
        <f>IF(H546="","",ROUND(MAX(0,H546-8),2))</f>
        <v/>
      </c>
      <c r="J546" s="33">
        <f>IF(OR(E546="",F546=""),"",ROUND(IF(MOD(F546,1)&gt;=TIME(22,0,0),(MOD(F546,1)-TIME(22,0,0))*24,IF(MOD(F546,1)&lt;TIME(6,0,0),(MOD(F546,1)+1-TIME(22,0,0))*24,0)),2))</f>
        <v/>
      </c>
      <c r="K546" s="33">
        <f>IF(H546="","",ROUND(IF(L546="휴일근로",MIN(H546,8)*1.5+MAX(0,H546-8)*2,I546*1.5)+N(J546)*0.5,2))</f>
        <v/>
      </c>
      <c r="L546" s="18" t="n"/>
      <c r="M546" s="18" t="n"/>
      <c r="N546" s="22" t="n"/>
    </row>
    <row r="547">
      <c r="A547" s="19" t="n"/>
      <c r="B547" s="25">
        <f>IF(A547="","",CHOOSE(WEEKDAY(A547,2),"월","화","수","목","금","토","일"))</f>
        <v/>
      </c>
      <c r="C547" s="18" t="n"/>
      <c r="D547" s="25">
        <f>IFERROR(IF(C547="","",INDEX(직원명부!$B$5:$B$24,MATCH(C547,직원명부!$A$5:$A$24,0))),"사번 확인")</f>
        <v/>
      </c>
      <c r="E547" s="34" t="n"/>
      <c r="F547" s="34" t="n"/>
      <c r="G547" s="28" t="n"/>
      <c r="H547" s="33">
        <f>IF(OR(E547="",F547=""),"",ROUND(MOD(F547-E547,1)*24-N(G547),2))</f>
        <v/>
      </c>
      <c r="I547" s="33">
        <f>IF(H547="","",ROUND(MAX(0,H547-8),2))</f>
        <v/>
      </c>
      <c r="J547" s="33">
        <f>IF(OR(E547="",F547=""),"",ROUND(IF(MOD(F547,1)&gt;=TIME(22,0,0),(MOD(F547,1)-TIME(22,0,0))*24,IF(MOD(F547,1)&lt;TIME(6,0,0),(MOD(F547,1)+1-TIME(22,0,0))*24,0)),2))</f>
        <v/>
      </c>
      <c r="K547" s="33">
        <f>IF(H547="","",ROUND(IF(L547="휴일근로",MIN(H547,8)*1.5+MAX(0,H547-8)*2,I547*1.5)+N(J547)*0.5,2))</f>
        <v/>
      </c>
      <c r="L547" s="18" t="n"/>
      <c r="M547" s="18" t="n"/>
      <c r="N547" s="22" t="n"/>
    </row>
    <row r="548">
      <c r="A548" s="19" t="n"/>
      <c r="B548" s="25">
        <f>IF(A548="","",CHOOSE(WEEKDAY(A548,2),"월","화","수","목","금","토","일"))</f>
        <v/>
      </c>
      <c r="C548" s="18" t="n"/>
      <c r="D548" s="25">
        <f>IFERROR(IF(C548="","",INDEX(직원명부!$B$5:$B$24,MATCH(C548,직원명부!$A$5:$A$24,0))),"사번 확인")</f>
        <v/>
      </c>
      <c r="E548" s="34" t="n"/>
      <c r="F548" s="34" t="n"/>
      <c r="G548" s="28" t="n"/>
      <c r="H548" s="33">
        <f>IF(OR(E548="",F548=""),"",ROUND(MOD(F548-E548,1)*24-N(G548),2))</f>
        <v/>
      </c>
      <c r="I548" s="33">
        <f>IF(H548="","",ROUND(MAX(0,H548-8),2))</f>
        <v/>
      </c>
      <c r="J548" s="33">
        <f>IF(OR(E548="",F548=""),"",ROUND(IF(MOD(F548,1)&gt;=TIME(22,0,0),(MOD(F548,1)-TIME(22,0,0))*24,IF(MOD(F548,1)&lt;TIME(6,0,0),(MOD(F548,1)+1-TIME(22,0,0))*24,0)),2))</f>
        <v/>
      </c>
      <c r="K548" s="33">
        <f>IF(H548="","",ROUND(IF(L548="휴일근로",MIN(H548,8)*1.5+MAX(0,H548-8)*2,I548*1.5)+N(J548)*0.5,2))</f>
        <v/>
      </c>
      <c r="L548" s="18" t="n"/>
      <c r="M548" s="18" t="n"/>
      <c r="N548" s="22" t="n"/>
    </row>
    <row r="549">
      <c r="A549" s="19" t="n"/>
      <c r="B549" s="25">
        <f>IF(A549="","",CHOOSE(WEEKDAY(A549,2),"월","화","수","목","금","토","일"))</f>
        <v/>
      </c>
      <c r="C549" s="18" t="n"/>
      <c r="D549" s="25">
        <f>IFERROR(IF(C549="","",INDEX(직원명부!$B$5:$B$24,MATCH(C549,직원명부!$A$5:$A$24,0))),"사번 확인")</f>
        <v/>
      </c>
      <c r="E549" s="34" t="n"/>
      <c r="F549" s="34" t="n"/>
      <c r="G549" s="28" t="n"/>
      <c r="H549" s="33">
        <f>IF(OR(E549="",F549=""),"",ROUND(MOD(F549-E549,1)*24-N(G549),2))</f>
        <v/>
      </c>
      <c r="I549" s="33">
        <f>IF(H549="","",ROUND(MAX(0,H549-8),2))</f>
        <v/>
      </c>
      <c r="J549" s="33">
        <f>IF(OR(E549="",F549=""),"",ROUND(IF(MOD(F549,1)&gt;=TIME(22,0,0),(MOD(F549,1)-TIME(22,0,0))*24,IF(MOD(F549,1)&lt;TIME(6,0,0),(MOD(F549,1)+1-TIME(22,0,0))*24,0)),2))</f>
        <v/>
      </c>
      <c r="K549" s="33">
        <f>IF(H549="","",ROUND(IF(L549="휴일근로",MIN(H549,8)*1.5+MAX(0,H549-8)*2,I549*1.5)+N(J549)*0.5,2))</f>
        <v/>
      </c>
      <c r="L549" s="18" t="n"/>
      <c r="M549" s="18" t="n"/>
      <c r="N549" s="22" t="n"/>
    </row>
    <row r="550">
      <c r="A550" s="19" t="n"/>
      <c r="B550" s="25">
        <f>IF(A550="","",CHOOSE(WEEKDAY(A550,2),"월","화","수","목","금","토","일"))</f>
        <v/>
      </c>
      <c r="C550" s="18" t="n"/>
      <c r="D550" s="25">
        <f>IFERROR(IF(C550="","",INDEX(직원명부!$B$5:$B$24,MATCH(C550,직원명부!$A$5:$A$24,0))),"사번 확인")</f>
        <v/>
      </c>
      <c r="E550" s="34" t="n"/>
      <c r="F550" s="34" t="n"/>
      <c r="G550" s="28" t="n"/>
      <c r="H550" s="33">
        <f>IF(OR(E550="",F550=""),"",ROUND(MOD(F550-E550,1)*24-N(G550),2))</f>
        <v/>
      </c>
      <c r="I550" s="33">
        <f>IF(H550="","",ROUND(MAX(0,H550-8),2))</f>
        <v/>
      </c>
      <c r="J550" s="33">
        <f>IF(OR(E550="",F550=""),"",ROUND(IF(MOD(F550,1)&gt;=TIME(22,0,0),(MOD(F550,1)-TIME(22,0,0))*24,IF(MOD(F550,1)&lt;TIME(6,0,0),(MOD(F550,1)+1-TIME(22,0,0))*24,0)),2))</f>
        <v/>
      </c>
      <c r="K550" s="33">
        <f>IF(H550="","",ROUND(IF(L550="휴일근로",MIN(H550,8)*1.5+MAX(0,H550-8)*2,I550*1.5)+N(J550)*0.5,2))</f>
        <v/>
      </c>
      <c r="L550" s="18" t="n"/>
      <c r="M550" s="18" t="n"/>
      <c r="N550" s="22" t="n"/>
    </row>
    <row r="551">
      <c r="A551" s="19" t="n"/>
      <c r="B551" s="25">
        <f>IF(A551="","",CHOOSE(WEEKDAY(A551,2),"월","화","수","목","금","토","일"))</f>
        <v/>
      </c>
      <c r="C551" s="18" t="n"/>
      <c r="D551" s="25">
        <f>IFERROR(IF(C551="","",INDEX(직원명부!$B$5:$B$24,MATCH(C551,직원명부!$A$5:$A$24,0))),"사번 확인")</f>
        <v/>
      </c>
      <c r="E551" s="34" t="n"/>
      <c r="F551" s="34" t="n"/>
      <c r="G551" s="28" t="n"/>
      <c r="H551" s="33">
        <f>IF(OR(E551="",F551=""),"",ROUND(MOD(F551-E551,1)*24-N(G551),2))</f>
        <v/>
      </c>
      <c r="I551" s="33">
        <f>IF(H551="","",ROUND(MAX(0,H551-8),2))</f>
        <v/>
      </c>
      <c r="J551" s="33">
        <f>IF(OR(E551="",F551=""),"",ROUND(IF(MOD(F551,1)&gt;=TIME(22,0,0),(MOD(F551,1)-TIME(22,0,0))*24,IF(MOD(F551,1)&lt;TIME(6,0,0),(MOD(F551,1)+1-TIME(22,0,0))*24,0)),2))</f>
        <v/>
      </c>
      <c r="K551" s="33">
        <f>IF(H551="","",ROUND(IF(L551="휴일근로",MIN(H551,8)*1.5+MAX(0,H551-8)*2,I551*1.5)+N(J551)*0.5,2))</f>
        <v/>
      </c>
      <c r="L551" s="18" t="n"/>
      <c r="M551" s="18" t="n"/>
      <c r="N551" s="22" t="n"/>
    </row>
    <row r="552">
      <c r="A552" s="19" t="n"/>
      <c r="B552" s="25">
        <f>IF(A552="","",CHOOSE(WEEKDAY(A552,2),"월","화","수","목","금","토","일"))</f>
        <v/>
      </c>
      <c r="C552" s="18" t="n"/>
      <c r="D552" s="25">
        <f>IFERROR(IF(C552="","",INDEX(직원명부!$B$5:$B$24,MATCH(C552,직원명부!$A$5:$A$24,0))),"사번 확인")</f>
        <v/>
      </c>
      <c r="E552" s="34" t="n"/>
      <c r="F552" s="34" t="n"/>
      <c r="G552" s="28" t="n"/>
      <c r="H552" s="33">
        <f>IF(OR(E552="",F552=""),"",ROUND(MOD(F552-E552,1)*24-N(G552),2))</f>
        <v/>
      </c>
      <c r="I552" s="33">
        <f>IF(H552="","",ROUND(MAX(0,H552-8),2))</f>
        <v/>
      </c>
      <c r="J552" s="33">
        <f>IF(OR(E552="",F552=""),"",ROUND(IF(MOD(F552,1)&gt;=TIME(22,0,0),(MOD(F552,1)-TIME(22,0,0))*24,IF(MOD(F552,1)&lt;TIME(6,0,0),(MOD(F552,1)+1-TIME(22,0,0))*24,0)),2))</f>
        <v/>
      </c>
      <c r="K552" s="33">
        <f>IF(H552="","",ROUND(IF(L552="휴일근로",MIN(H552,8)*1.5+MAX(0,H552-8)*2,I552*1.5)+N(J552)*0.5,2))</f>
        <v/>
      </c>
      <c r="L552" s="18" t="n"/>
      <c r="M552" s="18" t="n"/>
      <c r="N552" s="22" t="n"/>
    </row>
    <row r="553">
      <c r="A553" s="19" t="n"/>
      <c r="B553" s="25">
        <f>IF(A553="","",CHOOSE(WEEKDAY(A553,2),"월","화","수","목","금","토","일"))</f>
        <v/>
      </c>
      <c r="C553" s="18" t="n"/>
      <c r="D553" s="25">
        <f>IFERROR(IF(C553="","",INDEX(직원명부!$B$5:$B$24,MATCH(C553,직원명부!$A$5:$A$24,0))),"사번 확인")</f>
        <v/>
      </c>
      <c r="E553" s="34" t="n"/>
      <c r="F553" s="34" t="n"/>
      <c r="G553" s="28" t="n"/>
      <c r="H553" s="33">
        <f>IF(OR(E553="",F553=""),"",ROUND(MOD(F553-E553,1)*24-N(G553),2))</f>
        <v/>
      </c>
      <c r="I553" s="33">
        <f>IF(H553="","",ROUND(MAX(0,H553-8),2))</f>
        <v/>
      </c>
      <c r="J553" s="33">
        <f>IF(OR(E553="",F553=""),"",ROUND(IF(MOD(F553,1)&gt;=TIME(22,0,0),(MOD(F553,1)-TIME(22,0,0))*24,IF(MOD(F553,1)&lt;TIME(6,0,0),(MOD(F553,1)+1-TIME(22,0,0))*24,0)),2))</f>
        <v/>
      </c>
      <c r="K553" s="33">
        <f>IF(H553="","",ROUND(IF(L553="휴일근로",MIN(H553,8)*1.5+MAX(0,H553-8)*2,I553*1.5)+N(J553)*0.5,2))</f>
        <v/>
      </c>
      <c r="L553" s="18" t="n"/>
      <c r="M553" s="18" t="n"/>
      <c r="N553" s="22" t="n"/>
    </row>
    <row r="554">
      <c r="A554" s="19" t="n"/>
      <c r="B554" s="25">
        <f>IF(A554="","",CHOOSE(WEEKDAY(A554,2),"월","화","수","목","금","토","일"))</f>
        <v/>
      </c>
      <c r="C554" s="18" t="n"/>
      <c r="D554" s="25">
        <f>IFERROR(IF(C554="","",INDEX(직원명부!$B$5:$B$24,MATCH(C554,직원명부!$A$5:$A$24,0))),"사번 확인")</f>
        <v/>
      </c>
      <c r="E554" s="34" t="n"/>
      <c r="F554" s="34" t="n"/>
      <c r="G554" s="28" t="n"/>
      <c r="H554" s="33">
        <f>IF(OR(E554="",F554=""),"",ROUND(MOD(F554-E554,1)*24-N(G554),2))</f>
        <v/>
      </c>
      <c r="I554" s="33">
        <f>IF(H554="","",ROUND(MAX(0,H554-8),2))</f>
        <v/>
      </c>
      <c r="J554" s="33">
        <f>IF(OR(E554="",F554=""),"",ROUND(IF(MOD(F554,1)&gt;=TIME(22,0,0),(MOD(F554,1)-TIME(22,0,0))*24,IF(MOD(F554,1)&lt;TIME(6,0,0),(MOD(F554,1)+1-TIME(22,0,0))*24,0)),2))</f>
        <v/>
      </c>
      <c r="K554" s="33">
        <f>IF(H554="","",ROUND(IF(L554="휴일근로",MIN(H554,8)*1.5+MAX(0,H554-8)*2,I554*1.5)+N(J554)*0.5,2))</f>
        <v/>
      </c>
      <c r="L554" s="18" t="n"/>
      <c r="M554" s="18" t="n"/>
      <c r="N554" s="22" t="n"/>
    </row>
    <row r="555">
      <c r="A555" s="19" t="n"/>
      <c r="B555" s="25">
        <f>IF(A555="","",CHOOSE(WEEKDAY(A555,2),"월","화","수","목","금","토","일"))</f>
        <v/>
      </c>
      <c r="C555" s="18" t="n"/>
      <c r="D555" s="25">
        <f>IFERROR(IF(C555="","",INDEX(직원명부!$B$5:$B$24,MATCH(C555,직원명부!$A$5:$A$24,0))),"사번 확인")</f>
        <v/>
      </c>
      <c r="E555" s="34" t="n"/>
      <c r="F555" s="34" t="n"/>
      <c r="G555" s="28" t="n"/>
      <c r="H555" s="33">
        <f>IF(OR(E555="",F555=""),"",ROUND(MOD(F555-E555,1)*24-N(G555),2))</f>
        <v/>
      </c>
      <c r="I555" s="33">
        <f>IF(H555="","",ROUND(MAX(0,H555-8),2))</f>
        <v/>
      </c>
      <c r="J555" s="33">
        <f>IF(OR(E555="",F555=""),"",ROUND(IF(MOD(F555,1)&gt;=TIME(22,0,0),(MOD(F555,1)-TIME(22,0,0))*24,IF(MOD(F555,1)&lt;TIME(6,0,0),(MOD(F555,1)+1-TIME(22,0,0))*24,0)),2))</f>
        <v/>
      </c>
      <c r="K555" s="33">
        <f>IF(H555="","",ROUND(IF(L555="휴일근로",MIN(H555,8)*1.5+MAX(0,H555-8)*2,I555*1.5)+N(J555)*0.5,2))</f>
        <v/>
      </c>
      <c r="L555" s="18" t="n"/>
      <c r="M555" s="18" t="n"/>
      <c r="N555" s="22" t="n"/>
    </row>
    <row r="556">
      <c r="A556" s="19" t="n"/>
      <c r="B556" s="25">
        <f>IF(A556="","",CHOOSE(WEEKDAY(A556,2),"월","화","수","목","금","토","일"))</f>
        <v/>
      </c>
      <c r="C556" s="18" t="n"/>
      <c r="D556" s="25">
        <f>IFERROR(IF(C556="","",INDEX(직원명부!$B$5:$B$24,MATCH(C556,직원명부!$A$5:$A$24,0))),"사번 확인")</f>
        <v/>
      </c>
      <c r="E556" s="34" t="n"/>
      <c r="F556" s="34" t="n"/>
      <c r="G556" s="28" t="n"/>
      <c r="H556" s="33">
        <f>IF(OR(E556="",F556=""),"",ROUND(MOD(F556-E556,1)*24-N(G556),2))</f>
        <v/>
      </c>
      <c r="I556" s="33">
        <f>IF(H556="","",ROUND(MAX(0,H556-8),2))</f>
        <v/>
      </c>
      <c r="J556" s="33">
        <f>IF(OR(E556="",F556=""),"",ROUND(IF(MOD(F556,1)&gt;=TIME(22,0,0),(MOD(F556,1)-TIME(22,0,0))*24,IF(MOD(F556,1)&lt;TIME(6,0,0),(MOD(F556,1)+1-TIME(22,0,0))*24,0)),2))</f>
        <v/>
      </c>
      <c r="K556" s="33">
        <f>IF(H556="","",ROUND(IF(L556="휴일근로",MIN(H556,8)*1.5+MAX(0,H556-8)*2,I556*1.5)+N(J556)*0.5,2))</f>
        <v/>
      </c>
      <c r="L556" s="18" t="n"/>
      <c r="M556" s="18" t="n"/>
      <c r="N556" s="22" t="n"/>
    </row>
    <row r="557">
      <c r="A557" s="19" t="n"/>
      <c r="B557" s="25">
        <f>IF(A557="","",CHOOSE(WEEKDAY(A557,2),"월","화","수","목","금","토","일"))</f>
        <v/>
      </c>
      <c r="C557" s="18" t="n"/>
      <c r="D557" s="25">
        <f>IFERROR(IF(C557="","",INDEX(직원명부!$B$5:$B$24,MATCH(C557,직원명부!$A$5:$A$24,0))),"사번 확인")</f>
        <v/>
      </c>
      <c r="E557" s="34" t="n"/>
      <c r="F557" s="34" t="n"/>
      <c r="G557" s="28" t="n"/>
      <c r="H557" s="33">
        <f>IF(OR(E557="",F557=""),"",ROUND(MOD(F557-E557,1)*24-N(G557),2))</f>
        <v/>
      </c>
      <c r="I557" s="33">
        <f>IF(H557="","",ROUND(MAX(0,H557-8),2))</f>
        <v/>
      </c>
      <c r="J557" s="33">
        <f>IF(OR(E557="",F557=""),"",ROUND(IF(MOD(F557,1)&gt;=TIME(22,0,0),(MOD(F557,1)-TIME(22,0,0))*24,IF(MOD(F557,1)&lt;TIME(6,0,0),(MOD(F557,1)+1-TIME(22,0,0))*24,0)),2))</f>
        <v/>
      </c>
      <c r="K557" s="33">
        <f>IF(H557="","",ROUND(IF(L557="휴일근로",MIN(H557,8)*1.5+MAX(0,H557-8)*2,I557*1.5)+N(J557)*0.5,2))</f>
        <v/>
      </c>
      <c r="L557" s="18" t="n"/>
      <c r="M557" s="18" t="n"/>
      <c r="N557" s="22" t="n"/>
    </row>
    <row r="558">
      <c r="A558" s="19" t="n"/>
      <c r="B558" s="25">
        <f>IF(A558="","",CHOOSE(WEEKDAY(A558,2),"월","화","수","목","금","토","일"))</f>
        <v/>
      </c>
      <c r="C558" s="18" t="n"/>
      <c r="D558" s="25">
        <f>IFERROR(IF(C558="","",INDEX(직원명부!$B$5:$B$24,MATCH(C558,직원명부!$A$5:$A$24,0))),"사번 확인")</f>
        <v/>
      </c>
      <c r="E558" s="34" t="n"/>
      <c r="F558" s="34" t="n"/>
      <c r="G558" s="28" t="n"/>
      <c r="H558" s="33">
        <f>IF(OR(E558="",F558=""),"",ROUND(MOD(F558-E558,1)*24-N(G558),2))</f>
        <v/>
      </c>
      <c r="I558" s="33">
        <f>IF(H558="","",ROUND(MAX(0,H558-8),2))</f>
        <v/>
      </c>
      <c r="J558" s="33">
        <f>IF(OR(E558="",F558=""),"",ROUND(IF(MOD(F558,1)&gt;=TIME(22,0,0),(MOD(F558,1)-TIME(22,0,0))*24,IF(MOD(F558,1)&lt;TIME(6,0,0),(MOD(F558,1)+1-TIME(22,0,0))*24,0)),2))</f>
        <v/>
      </c>
      <c r="K558" s="33">
        <f>IF(H558="","",ROUND(IF(L558="휴일근로",MIN(H558,8)*1.5+MAX(0,H558-8)*2,I558*1.5)+N(J558)*0.5,2))</f>
        <v/>
      </c>
      <c r="L558" s="18" t="n"/>
      <c r="M558" s="18" t="n"/>
      <c r="N558" s="22" t="n"/>
    </row>
    <row r="559">
      <c r="A559" s="19" t="n"/>
      <c r="B559" s="25">
        <f>IF(A559="","",CHOOSE(WEEKDAY(A559,2),"월","화","수","목","금","토","일"))</f>
        <v/>
      </c>
      <c r="C559" s="18" t="n"/>
      <c r="D559" s="25">
        <f>IFERROR(IF(C559="","",INDEX(직원명부!$B$5:$B$24,MATCH(C559,직원명부!$A$5:$A$24,0))),"사번 확인")</f>
        <v/>
      </c>
      <c r="E559" s="34" t="n"/>
      <c r="F559" s="34" t="n"/>
      <c r="G559" s="28" t="n"/>
      <c r="H559" s="33">
        <f>IF(OR(E559="",F559=""),"",ROUND(MOD(F559-E559,1)*24-N(G559),2))</f>
        <v/>
      </c>
      <c r="I559" s="33">
        <f>IF(H559="","",ROUND(MAX(0,H559-8),2))</f>
        <v/>
      </c>
      <c r="J559" s="33">
        <f>IF(OR(E559="",F559=""),"",ROUND(IF(MOD(F559,1)&gt;=TIME(22,0,0),(MOD(F559,1)-TIME(22,0,0))*24,IF(MOD(F559,1)&lt;TIME(6,0,0),(MOD(F559,1)+1-TIME(22,0,0))*24,0)),2))</f>
        <v/>
      </c>
      <c r="K559" s="33">
        <f>IF(H559="","",ROUND(IF(L559="휴일근로",MIN(H559,8)*1.5+MAX(0,H559-8)*2,I559*1.5)+N(J559)*0.5,2))</f>
        <v/>
      </c>
      <c r="L559" s="18" t="n"/>
      <c r="M559" s="18" t="n"/>
      <c r="N559" s="22" t="n"/>
    </row>
    <row r="560">
      <c r="A560" s="19" t="n"/>
      <c r="B560" s="25">
        <f>IF(A560="","",CHOOSE(WEEKDAY(A560,2),"월","화","수","목","금","토","일"))</f>
        <v/>
      </c>
      <c r="C560" s="18" t="n"/>
      <c r="D560" s="25">
        <f>IFERROR(IF(C560="","",INDEX(직원명부!$B$5:$B$24,MATCH(C560,직원명부!$A$5:$A$24,0))),"사번 확인")</f>
        <v/>
      </c>
      <c r="E560" s="34" t="n"/>
      <c r="F560" s="34" t="n"/>
      <c r="G560" s="28" t="n"/>
      <c r="H560" s="33">
        <f>IF(OR(E560="",F560=""),"",ROUND(MOD(F560-E560,1)*24-N(G560),2))</f>
        <v/>
      </c>
      <c r="I560" s="33">
        <f>IF(H560="","",ROUND(MAX(0,H560-8),2))</f>
        <v/>
      </c>
      <c r="J560" s="33">
        <f>IF(OR(E560="",F560=""),"",ROUND(IF(MOD(F560,1)&gt;=TIME(22,0,0),(MOD(F560,1)-TIME(22,0,0))*24,IF(MOD(F560,1)&lt;TIME(6,0,0),(MOD(F560,1)+1-TIME(22,0,0))*24,0)),2))</f>
        <v/>
      </c>
      <c r="K560" s="33">
        <f>IF(H560="","",ROUND(IF(L560="휴일근로",MIN(H560,8)*1.5+MAX(0,H560-8)*2,I560*1.5)+N(J560)*0.5,2))</f>
        <v/>
      </c>
      <c r="L560" s="18" t="n"/>
      <c r="M560" s="18" t="n"/>
      <c r="N560" s="22" t="n"/>
    </row>
    <row r="561">
      <c r="A561" s="19" t="n"/>
      <c r="B561" s="25">
        <f>IF(A561="","",CHOOSE(WEEKDAY(A561,2),"월","화","수","목","금","토","일"))</f>
        <v/>
      </c>
      <c r="C561" s="18" t="n"/>
      <c r="D561" s="25">
        <f>IFERROR(IF(C561="","",INDEX(직원명부!$B$5:$B$24,MATCH(C561,직원명부!$A$5:$A$24,0))),"사번 확인")</f>
        <v/>
      </c>
      <c r="E561" s="34" t="n"/>
      <c r="F561" s="34" t="n"/>
      <c r="G561" s="28" t="n"/>
      <c r="H561" s="33">
        <f>IF(OR(E561="",F561=""),"",ROUND(MOD(F561-E561,1)*24-N(G561),2))</f>
        <v/>
      </c>
      <c r="I561" s="33">
        <f>IF(H561="","",ROUND(MAX(0,H561-8),2))</f>
        <v/>
      </c>
      <c r="J561" s="33">
        <f>IF(OR(E561="",F561=""),"",ROUND(IF(MOD(F561,1)&gt;=TIME(22,0,0),(MOD(F561,1)-TIME(22,0,0))*24,IF(MOD(F561,1)&lt;TIME(6,0,0),(MOD(F561,1)+1-TIME(22,0,0))*24,0)),2))</f>
        <v/>
      </c>
      <c r="K561" s="33">
        <f>IF(H561="","",ROUND(IF(L561="휴일근로",MIN(H561,8)*1.5+MAX(0,H561-8)*2,I561*1.5)+N(J561)*0.5,2))</f>
        <v/>
      </c>
      <c r="L561" s="18" t="n"/>
      <c r="M561" s="18" t="n"/>
      <c r="N561" s="22" t="n"/>
    </row>
    <row r="562">
      <c r="A562" s="19" t="n"/>
      <c r="B562" s="25">
        <f>IF(A562="","",CHOOSE(WEEKDAY(A562,2),"월","화","수","목","금","토","일"))</f>
        <v/>
      </c>
      <c r="C562" s="18" t="n"/>
      <c r="D562" s="25">
        <f>IFERROR(IF(C562="","",INDEX(직원명부!$B$5:$B$24,MATCH(C562,직원명부!$A$5:$A$24,0))),"사번 확인")</f>
        <v/>
      </c>
      <c r="E562" s="34" t="n"/>
      <c r="F562" s="34" t="n"/>
      <c r="G562" s="28" t="n"/>
      <c r="H562" s="33">
        <f>IF(OR(E562="",F562=""),"",ROUND(MOD(F562-E562,1)*24-N(G562),2))</f>
        <v/>
      </c>
      <c r="I562" s="33">
        <f>IF(H562="","",ROUND(MAX(0,H562-8),2))</f>
        <v/>
      </c>
      <c r="J562" s="33">
        <f>IF(OR(E562="",F562=""),"",ROUND(IF(MOD(F562,1)&gt;=TIME(22,0,0),(MOD(F562,1)-TIME(22,0,0))*24,IF(MOD(F562,1)&lt;TIME(6,0,0),(MOD(F562,1)+1-TIME(22,0,0))*24,0)),2))</f>
        <v/>
      </c>
      <c r="K562" s="33">
        <f>IF(H562="","",ROUND(IF(L562="휴일근로",MIN(H562,8)*1.5+MAX(0,H562-8)*2,I562*1.5)+N(J562)*0.5,2))</f>
        <v/>
      </c>
      <c r="L562" s="18" t="n"/>
      <c r="M562" s="18" t="n"/>
      <c r="N562" s="22" t="n"/>
    </row>
    <row r="563">
      <c r="A563" s="19" t="n"/>
      <c r="B563" s="25">
        <f>IF(A563="","",CHOOSE(WEEKDAY(A563,2),"월","화","수","목","금","토","일"))</f>
        <v/>
      </c>
      <c r="C563" s="18" t="n"/>
      <c r="D563" s="25">
        <f>IFERROR(IF(C563="","",INDEX(직원명부!$B$5:$B$24,MATCH(C563,직원명부!$A$5:$A$24,0))),"사번 확인")</f>
        <v/>
      </c>
      <c r="E563" s="34" t="n"/>
      <c r="F563" s="34" t="n"/>
      <c r="G563" s="28" t="n"/>
      <c r="H563" s="33">
        <f>IF(OR(E563="",F563=""),"",ROUND(MOD(F563-E563,1)*24-N(G563),2))</f>
        <v/>
      </c>
      <c r="I563" s="33">
        <f>IF(H563="","",ROUND(MAX(0,H563-8),2))</f>
        <v/>
      </c>
      <c r="J563" s="33">
        <f>IF(OR(E563="",F563=""),"",ROUND(IF(MOD(F563,1)&gt;=TIME(22,0,0),(MOD(F563,1)-TIME(22,0,0))*24,IF(MOD(F563,1)&lt;TIME(6,0,0),(MOD(F563,1)+1-TIME(22,0,0))*24,0)),2))</f>
        <v/>
      </c>
      <c r="K563" s="33">
        <f>IF(H563="","",ROUND(IF(L563="휴일근로",MIN(H563,8)*1.5+MAX(0,H563-8)*2,I563*1.5)+N(J563)*0.5,2))</f>
        <v/>
      </c>
      <c r="L563" s="18" t="n"/>
      <c r="M563" s="18" t="n"/>
      <c r="N563" s="22" t="n"/>
    </row>
    <row r="564">
      <c r="A564" s="19" t="n"/>
      <c r="B564" s="25">
        <f>IF(A564="","",CHOOSE(WEEKDAY(A564,2),"월","화","수","목","금","토","일"))</f>
        <v/>
      </c>
      <c r="C564" s="18" t="n"/>
      <c r="D564" s="25">
        <f>IFERROR(IF(C564="","",INDEX(직원명부!$B$5:$B$24,MATCH(C564,직원명부!$A$5:$A$24,0))),"사번 확인")</f>
        <v/>
      </c>
      <c r="E564" s="34" t="n"/>
      <c r="F564" s="34" t="n"/>
      <c r="G564" s="28" t="n"/>
      <c r="H564" s="33">
        <f>IF(OR(E564="",F564=""),"",ROUND(MOD(F564-E564,1)*24-N(G564),2))</f>
        <v/>
      </c>
      <c r="I564" s="33">
        <f>IF(H564="","",ROUND(MAX(0,H564-8),2))</f>
        <v/>
      </c>
      <c r="J564" s="33">
        <f>IF(OR(E564="",F564=""),"",ROUND(IF(MOD(F564,1)&gt;=TIME(22,0,0),(MOD(F564,1)-TIME(22,0,0))*24,IF(MOD(F564,1)&lt;TIME(6,0,0),(MOD(F564,1)+1-TIME(22,0,0))*24,0)),2))</f>
        <v/>
      </c>
      <c r="K564" s="33">
        <f>IF(H564="","",ROUND(IF(L564="휴일근로",MIN(H564,8)*1.5+MAX(0,H564-8)*2,I564*1.5)+N(J564)*0.5,2))</f>
        <v/>
      </c>
      <c r="L564" s="18" t="n"/>
      <c r="M564" s="18" t="n"/>
      <c r="N564" s="22" t="n"/>
    </row>
    <row r="565">
      <c r="A565" s="19" t="n"/>
      <c r="B565" s="25">
        <f>IF(A565="","",CHOOSE(WEEKDAY(A565,2),"월","화","수","목","금","토","일"))</f>
        <v/>
      </c>
      <c r="C565" s="18" t="n"/>
      <c r="D565" s="25">
        <f>IFERROR(IF(C565="","",INDEX(직원명부!$B$5:$B$24,MATCH(C565,직원명부!$A$5:$A$24,0))),"사번 확인")</f>
        <v/>
      </c>
      <c r="E565" s="34" t="n"/>
      <c r="F565" s="34" t="n"/>
      <c r="G565" s="28" t="n"/>
      <c r="H565" s="33">
        <f>IF(OR(E565="",F565=""),"",ROUND(MOD(F565-E565,1)*24-N(G565),2))</f>
        <v/>
      </c>
      <c r="I565" s="33">
        <f>IF(H565="","",ROUND(MAX(0,H565-8),2))</f>
        <v/>
      </c>
      <c r="J565" s="33">
        <f>IF(OR(E565="",F565=""),"",ROUND(IF(MOD(F565,1)&gt;=TIME(22,0,0),(MOD(F565,1)-TIME(22,0,0))*24,IF(MOD(F565,1)&lt;TIME(6,0,0),(MOD(F565,1)+1-TIME(22,0,0))*24,0)),2))</f>
        <v/>
      </c>
      <c r="K565" s="33">
        <f>IF(H565="","",ROUND(IF(L565="휴일근로",MIN(H565,8)*1.5+MAX(0,H565-8)*2,I565*1.5)+N(J565)*0.5,2))</f>
        <v/>
      </c>
      <c r="L565" s="18" t="n"/>
      <c r="M565" s="18" t="n"/>
      <c r="N565" s="22" t="n"/>
    </row>
    <row r="566">
      <c r="A566" s="19" t="n"/>
      <c r="B566" s="25">
        <f>IF(A566="","",CHOOSE(WEEKDAY(A566,2),"월","화","수","목","금","토","일"))</f>
        <v/>
      </c>
      <c r="C566" s="18" t="n"/>
      <c r="D566" s="25">
        <f>IFERROR(IF(C566="","",INDEX(직원명부!$B$5:$B$24,MATCH(C566,직원명부!$A$5:$A$24,0))),"사번 확인")</f>
        <v/>
      </c>
      <c r="E566" s="34" t="n"/>
      <c r="F566" s="34" t="n"/>
      <c r="G566" s="28" t="n"/>
      <c r="H566" s="33">
        <f>IF(OR(E566="",F566=""),"",ROUND(MOD(F566-E566,1)*24-N(G566),2))</f>
        <v/>
      </c>
      <c r="I566" s="33">
        <f>IF(H566="","",ROUND(MAX(0,H566-8),2))</f>
        <v/>
      </c>
      <c r="J566" s="33">
        <f>IF(OR(E566="",F566=""),"",ROUND(IF(MOD(F566,1)&gt;=TIME(22,0,0),(MOD(F566,1)-TIME(22,0,0))*24,IF(MOD(F566,1)&lt;TIME(6,0,0),(MOD(F566,1)+1-TIME(22,0,0))*24,0)),2))</f>
        <v/>
      </c>
      <c r="K566" s="33">
        <f>IF(H566="","",ROUND(IF(L566="휴일근로",MIN(H566,8)*1.5+MAX(0,H566-8)*2,I566*1.5)+N(J566)*0.5,2))</f>
        <v/>
      </c>
      <c r="L566" s="18" t="n"/>
      <c r="M566" s="18" t="n"/>
      <c r="N566" s="22" t="n"/>
    </row>
    <row r="567">
      <c r="A567" s="19" t="n"/>
      <c r="B567" s="25">
        <f>IF(A567="","",CHOOSE(WEEKDAY(A567,2),"월","화","수","목","금","토","일"))</f>
        <v/>
      </c>
      <c r="C567" s="18" t="n"/>
      <c r="D567" s="25">
        <f>IFERROR(IF(C567="","",INDEX(직원명부!$B$5:$B$24,MATCH(C567,직원명부!$A$5:$A$24,0))),"사번 확인")</f>
        <v/>
      </c>
      <c r="E567" s="34" t="n"/>
      <c r="F567" s="34" t="n"/>
      <c r="G567" s="28" t="n"/>
      <c r="H567" s="33">
        <f>IF(OR(E567="",F567=""),"",ROUND(MOD(F567-E567,1)*24-N(G567),2))</f>
        <v/>
      </c>
      <c r="I567" s="33">
        <f>IF(H567="","",ROUND(MAX(0,H567-8),2))</f>
        <v/>
      </c>
      <c r="J567" s="33">
        <f>IF(OR(E567="",F567=""),"",ROUND(IF(MOD(F567,1)&gt;=TIME(22,0,0),(MOD(F567,1)-TIME(22,0,0))*24,IF(MOD(F567,1)&lt;TIME(6,0,0),(MOD(F567,1)+1-TIME(22,0,0))*24,0)),2))</f>
        <v/>
      </c>
      <c r="K567" s="33">
        <f>IF(H567="","",ROUND(IF(L567="휴일근로",MIN(H567,8)*1.5+MAX(0,H567-8)*2,I567*1.5)+N(J567)*0.5,2))</f>
        <v/>
      </c>
      <c r="L567" s="18" t="n"/>
      <c r="M567" s="18" t="n"/>
      <c r="N567" s="22" t="n"/>
    </row>
    <row r="568">
      <c r="A568" s="19" t="n"/>
      <c r="B568" s="25">
        <f>IF(A568="","",CHOOSE(WEEKDAY(A568,2),"월","화","수","목","금","토","일"))</f>
        <v/>
      </c>
      <c r="C568" s="18" t="n"/>
      <c r="D568" s="25">
        <f>IFERROR(IF(C568="","",INDEX(직원명부!$B$5:$B$24,MATCH(C568,직원명부!$A$5:$A$24,0))),"사번 확인")</f>
        <v/>
      </c>
      <c r="E568" s="34" t="n"/>
      <c r="F568" s="34" t="n"/>
      <c r="G568" s="28" t="n"/>
      <c r="H568" s="33">
        <f>IF(OR(E568="",F568=""),"",ROUND(MOD(F568-E568,1)*24-N(G568),2))</f>
        <v/>
      </c>
      <c r="I568" s="33">
        <f>IF(H568="","",ROUND(MAX(0,H568-8),2))</f>
        <v/>
      </c>
      <c r="J568" s="33">
        <f>IF(OR(E568="",F568=""),"",ROUND(IF(MOD(F568,1)&gt;=TIME(22,0,0),(MOD(F568,1)-TIME(22,0,0))*24,IF(MOD(F568,1)&lt;TIME(6,0,0),(MOD(F568,1)+1-TIME(22,0,0))*24,0)),2))</f>
        <v/>
      </c>
      <c r="K568" s="33">
        <f>IF(H568="","",ROUND(IF(L568="휴일근로",MIN(H568,8)*1.5+MAX(0,H568-8)*2,I568*1.5)+N(J568)*0.5,2))</f>
        <v/>
      </c>
      <c r="L568" s="18" t="n"/>
      <c r="M568" s="18" t="n"/>
      <c r="N568" s="22" t="n"/>
    </row>
    <row r="569">
      <c r="A569" s="19" t="n"/>
      <c r="B569" s="25">
        <f>IF(A569="","",CHOOSE(WEEKDAY(A569,2),"월","화","수","목","금","토","일"))</f>
        <v/>
      </c>
      <c r="C569" s="18" t="n"/>
      <c r="D569" s="25">
        <f>IFERROR(IF(C569="","",INDEX(직원명부!$B$5:$B$24,MATCH(C569,직원명부!$A$5:$A$24,0))),"사번 확인")</f>
        <v/>
      </c>
      <c r="E569" s="34" t="n"/>
      <c r="F569" s="34" t="n"/>
      <c r="G569" s="28" t="n"/>
      <c r="H569" s="33">
        <f>IF(OR(E569="",F569=""),"",ROUND(MOD(F569-E569,1)*24-N(G569),2))</f>
        <v/>
      </c>
      <c r="I569" s="33">
        <f>IF(H569="","",ROUND(MAX(0,H569-8),2))</f>
        <v/>
      </c>
      <c r="J569" s="33">
        <f>IF(OR(E569="",F569=""),"",ROUND(IF(MOD(F569,1)&gt;=TIME(22,0,0),(MOD(F569,1)-TIME(22,0,0))*24,IF(MOD(F569,1)&lt;TIME(6,0,0),(MOD(F569,1)+1-TIME(22,0,0))*24,0)),2))</f>
        <v/>
      </c>
      <c r="K569" s="33">
        <f>IF(H569="","",ROUND(IF(L569="휴일근로",MIN(H569,8)*1.5+MAX(0,H569-8)*2,I569*1.5)+N(J569)*0.5,2))</f>
        <v/>
      </c>
      <c r="L569" s="18" t="n"/>
      <c r="M569" s="18" t="n"/>
      <c r="N569" s="22" t="n"/>
    </row>
    <row r="570">
      <c r="A570" s="19" t="n"/>
      <c r="B570" s="25">
        <f>IF(A570="","",CHOOSE(WEEKDAY(A570,2),"월","화","수","목","금","토","일"))</f>
        <v/>
      </c>
      <c r="C570" s="18" t="n"/>
      <c r="D570" s="25">
        <f>IFERROR(IF(C570="","",INDEX(직원명부!$B$5:$B$24,MATCH(C570,직원명부!$A$5:$A$24,0))),"사번 확인")</f>
        <v/>
      </c>
      <c r="E570" s="34" t="n"/>
      <c r="F570" s="34" t="n"/>
      <c r="G570" s="28" t="n"/>
      <c r="H570" s="33">
        <f>IF(OR(E570="",F570=""),"",ROUND(MOD(F570-E570,1)*24-N(G570),2))</f>
        <v/>
      </c>
      <c r="I570" s="33">
        <f>IF(H570="","",ROUND(MAX(0,H570-8),2))</f>
        <v/>
      </c>
      <c r="J570" s="33">
        <f>IF(OR(E570="",F570=""),"",ROUND(IF(MOD(F570,1)&gt;=TIME(22,0,0),(MOD(F570,1)-TIME(22,0,0))*24,IF(MOD(F570,1)&lt;TIME(6,0,0),(MOD(F570,1)+1-TIME(22,0,0))*24,0)),2))</f>
        <v/>
      </c>
      <c r="K570" s="33">
        <f>IF(H570="","",ROUND(IF(L570="휴일근로",MIN(H570,8)*1.5+MAX(0,H570-8)*2,I570*1.5)+N(J570)*0.5,2))</f>
        <v/>
      </c>
      <c r="L570" s="18" t="n"/>
      <c r="M570" s="18" t="n"/>
      <c r="N570" s="22" t="n"/>
    </row>
    <row r="571">
      <c r="A571" s="19" t="n"/>
      <c r="B571" s="25">
        <f>IF(A571="","",CHOOSE(WEEKDAY(A571,2),"월","화","수","목","금","토","일"))</f>
        <v/>
      </c>
      <c r="C571" s="18" t="n"/>
      <c r="D571" s="25">
        <f>IFERROR(IF(C571="","",INDEX(직원명부!$B$5:$B$24,MATCH(C571,직원명부!$A$5:$A$24,0))),"사번 확인")</f>
        <v/>
      </c>
      <c r="E571" s="34" t="n"/>
      <c r="F571" s="34" t="n"/>
      <c r="G571" s="28" t="n"/>
      <c r="H571" s="33">
        <f>IF(OR(E571="",F571=""),"",ROUND(MOD(F571-E571,1)*24-N(G571),2))</f>
        <v/>
      </c>
      <c r="I571" s="33">
        <f>IF(H571="","",ROUND(MAX(0,H571-8),2))</f>
        <v/>
      </c>
      <c r="J571" s="33">
        <f>IF(OR(E571="",F571=""),"",ROUND(IF(MOD(F571,1)&gt;=TIME(22,0,0),(MOD(F571,1)-TIME(22,0,0))*24,IF(MOD(F571,1)&lt;TIME(6,0,0),(MOD(F571,1)+1-TIME(22,0,0))*24,0)),2))</f>
        <v/>
      </c>
      <c r="K571" s="33">
        <f>IF(H571="","",ROUND(IF(L571="휴일근로",MIN(H571,8)*1.5+MAX(0,H571-8)*2,I571*1.5)+N(J571)*0.5,2))</f>
        <v/>
      </c>
      <c r="L571" s="18" t="n"/>
      <c r="M571" s="18" t="n"/>
      <c r="N571" s="22" t="n"/>
    </row>
    <row r="572">
      <c r="A572" s="19" t="n"/>
      <c r="B572" s="25">
        <f>IF(A572="","",CHOOSE(WEEKDAY(A572,2),"월","화","수","목","금","토","일"))</f>
        <v/>
      </c>
      <c r="C572" s="18" t="n"/>
      <c r="D572" s="25">
        <f>IFERROR(IF(C572="","",INDEX(직원명부!$B$5:$B$24,MATCH(C572,직원명부!$A$5:$A$24,0))),"사번 확인")</f>
        <v/>
      </c>
      <c r="E572" s="34" t="n"/>
      <c r="F572" s="34" t="n"/>
      <c r="G572" s="28" t="n"/>
      <c r="H572" s="33">
        <f>IF(OR(E572="",F572=""),"",ROUND(MOD(F572-E572,1)*24-N(G572),2))</f>
        <v/>
      </c>
      <c r="I572" s="33">
        <f>IF(H572="","",ROUND(MAX(0,H572-8),2))</f>
        <v/>
      </c>
      <c r="J572" s="33">
        <f>IF(OR(E572="",F572=""),"",ROUND(IF(MOD(F572,1)&gt;=TIME(22,0,0),(MOD(F572,1)-TIME(22,0,0))*24,IF(MOD(F572,1)&lt;TIME(6,0,0),(MOD(F572,1)+1-TIME(22,0,0))*24,0)),2))</f>
        <v/>
      </c>
      <c r="K572" s="33">
        <f>IF(H572="","",ROUND(IF(L572="휴일근로",MIN(H572,8)*1.5+MAX(0,H572-8)*2,I572*1.5)+N(J572)*0.5,2))</f>
        <v/>
      </c>
      <c r="L572" s="18" t="n"/>
      <c r="M572" s="18" t="n"/>
      <c r="N572" s="22" t="n"/>
    </row>
    <row r="573">
      <c r="A573" s="19" t="n"/>
      <c r="B573" s="25">
        <f>IF(A573="","",CHOOSE(WEEKDAY(A573,2),"월","화","수","목","금","토","일"))</f>
        <v/>
      </c>
      <c r="C573" s="18" t="n"/>
      <c r="D573" s="25">
        <f>IFERROR(IF(C573="","",INDEX(직원명부!$B$5:$B$24,MATCH(C573,직원명부!$A$5:$A$24,0))),"사번 확인")</f>
        <v/>
      </c>
      <c r="E573" s="34" t="n"/>
      <c r="F573" s="34" t="n"/>
      <c r="G573" s="28" t="n"/>
      <c r="H573" s="33">
        <f>IF(OR(E573="",F573=""),"",ROUND(MOD(F573-E573,1)*24-N(G573),2))</f>
        <v/>
      </c>
      <c r="I573" s="33">
        <f>IF(H573="","",ROUND(MAX(0,H573-8),2))</f>
        <v/>
      </c>
      <c r="J573" s="33">
        <f>IF(OR(E573="",F573=""),"",ROUND(IF(MOD(F573,1)&gt;=TIME(22,0,0),(MOD(F573,1)-TIME(22,0,0))*24,IF(MOD(F573,1)&lt;TIME(6,0,0),(MOD(F573,1)+1-TIME(22,0,0))*24,0)),2))</f>
        <v/>
      </c>
      <c r="K573" s="33">
        <f>IF(H573="","",ROUND(IF(L573="휴일근로",MIN(H573,8)*1.5+MAX(0,H573-8)*2,I573*1.5)+N(J573)*0.5,2))</f>
        <v/>
      </c>
      <c r="L573" s="18" t="n"/>
      <c r="M573" s="18" t="n"/>
      <c r="N573" s="22" t="n"/>
    </row>
    <row r="574">
      <c r="A574" s="19" t="n"/>
      <c r="B574" s="25">
        <f>IF(A574="","",CHOOSE(WEEKDAY(A574,2),"월","화","수","목","금","토","일"))</f>
        <v/>
      </c>
      <c r="C574" s="18" t="n"/>
      <c r="D574" s="25">
        <f>IFERROR(IF(C574="","",INDEX(직원명부!$B$5:$B$24,MATCH(C574,직원명부!$A$5:$A$24,0))),"사번 확인")</f>
        <v/>
      </c>
      <c r="E574" s="34" t="n"/>
      <c r="F574" s="34" t="n"/>
      <c r="G574" s="28" t="n"/>
      <c r="H574" s="33">
        <f>IF(OR(E574="",F574=""),"",ROUND(MOD(F574-E574,1)*24-N(G574),2))</f>
        <v/>
      </c>
      <c r="I574" s="33">
        <f>IF(H574="","",ROUND(MAX(0,H574-8),2))</f>
        <v/>
      </c>
      <c r="J574" s="33">
        <f>IF(OR(E574="",F574=""),"",ROUND(IF(MOD(F574,1)&gt;=TIME(22,0,0),(MOD(F574,1)-TIME(22,0,0))*24,IF(MOD(F574,1)&lt;TIME(6,0,0),(MOD(F574,1)+1-TIME(22,0,0))*24,0)),2))</f>
        <v/>
      </c>
      <c r="K574" s="33">
        <f>IF(H574="","",ROUND(IF(L574="휴일근로",MIN(H574,8)*1.5+MAX(0,H574-8)*2,I574*1.5)+N(J574)*0.5,2))</f>
        <v/>
      </c>
      <c r="L574" s="18" t="n"/>
      <c r="M574" s="18" t="n"/>
      <c r="N574" s="22" t="n"/>
    </row>
    <row r="575">
      <c r="A575" s="19" t="n"/>
      <c r="B575" s="25">
        <f>IF(A575="","",CHOOSE(WEEKDAY(A575,2),"월","화","수","목","금","토","일"))</f>
        <v/>
      </c>
      <c r="C575" s="18" t="n"/>
      <c r="D575" s="25">
        <f>IFERROR(IF(C575="","",INDEX(직원명부!$B$5:$B$24,MATCH(C575,직원명부!$A$5:$A$24,0))),"사번 확인")</f>
        <v/>
      </c>
      <c r="E575" s="34" t="n"/>
      <c r="F575" s="34" t="n"/>
      <c r="G575" s="28" t="n"/>
      <c r="H575" s="33">
        <f>IF(OR(E575="",F575=""),"",ROUND(MOD(F575-E575,1)*24-N(G575),2))</f>
        <v/>
      </c>
      <c r="I575" s="33">
        <f>IF(H575="","",ROUND(MAX(0,H575-8),2))</f>
        <v/>
      </c>
      <c r="J575" s="33">
        <f>IF(OR(E575="",F575=""),"",ROUND(IF(MOD(F575,1)&gt;=TIME(22,0,0),(MOD(F575,1)-TIME(22,0,0))*24,IF(MOD(F575,1)&lt;TIME(6,0,0),(MOD(F575,1)+1-TIME(22,0,0))*24,0)),2))</f>
        <v/>
      </c>
      <c r="K575" s="33">
        <f>IF(H575="","",ROUND(IF(L575="휴일근로",MIN(H575,8)*1.5+MAX(0,H575-8)*2,I575*1.5)+N(J575)*0.5,2))</f>
        <v/>
      </c>
      <c r="L575" s="18" t="n"/>
      <c r="M575" s="18" t="n"/>
      <c r="N575" s="22" t="n"/>
    </row>
    <row r="576">
      <c r="A576" s="19" t="n"/>
      <c r="B576" s="25">
        <f>IF(A576="","",CHOOSE(WEEKDAY(A576,2),"월","화","수","목","금","토","일"))</f>
        <v/>
      </c>
      <c r="C576" s="18" t="n"/>
      <c r="D576" s="25">
        <f>IFERROR(IF(C576="","",INDEX(직원명부!$B$5:$B$24,MATCH(C576,직원명부!$A$5:$A$24,0))),"사번 확인")</f>
        <v/>
      </c>
      <c r="E576" s="34" t="n"/>
      <c r="F576" s="34" t="n"/>
      <c r="G576" s="28" t="n"/>
      <c r="H576" s="33">
        <f>IF(OR(E576="",F576=""),"",ROUND(MOD(F576-E576,1)*24-N(G576),2))</f>
        <v/>
      </c>
      <c r="I576" s="33">
        <f>IF(H576="","",ROUND(MAX(0,H576-8),2))</f>
        <v/>
      </c>
      <c r="J576" s="33">
        <f>IF(OR(E576="",F576=""),"",ROUND(IF(MOD(F576,1)&gt;=TIME(22,0,0),(MOD(F576,1)-TIME(22,0,0))*24,IF(MOD(F576,1)&lt;TIME(6,0,0),(MOD(F576,1)+1-TIME(22,0,0))*24,0)),2))</f>
        <v/>
      </c>
      <c r="K576" s="33">
        <f>IF(H576="","",ROUND(IF(L576="휴일근로",MIN(H576,8)*1.5+MAX(0,H576-8)*2,I576*1.5)+N(J576)*0.5,2))</f>
        <v/>
      </c>
      <c r="L576" s="18" t="n"/>
      <c r="M576" s="18" t="n"/>
      <c r="N576" s="22" t="n"/>
    </row>
    <row r="577">
      <c r="A577" s="19" t="n"/>
      <c r="B577" s="25">
        <f>IF(A577="","",CHOOSE(WEEKDAY(A577,2),"월","화","수","목","금","토","일"))</f>
        <v/>
      </c>
      <c r="C577" s="18" t="n"/>
      <c r="D577" s="25">
        <f>IFERROR(IF(C577="","",INDEX(직원명부!$B$5:$B$24,MATCH(C577,직원명부!$A$5:$A$24,0))),"사번 확인")</f>
        <v/>
      </c>
      <c r="E577" s="34" t="n"/>
      <c r="F577" s="34" t="n"/>
      <c r="G577" s="28" t="n"/>
      <c r="H577" s="33">
        <f>IF(OR(E577="",F577=""),"",ROUND(MOD(F577-E577,1)*24-N(G577),2))</f>
        <v/>
      </c>
      <c r="I577" s="33">
        <f>IF(H577="","",ROUND(MAX(0,H577-8),2))</f>
        <v/>
      </c>
      <c r="J577" s="33">
        <f>IF(OR(E577="",F577=""),"",ROUND(IF(MOD(F577,1)&gt;=TIME(22,0,0),(MOD(F577,1)-TIME(22,0,0))*24,IF(MOD(F577,1)&lt;TIME(6,0,0),(MOD(F577,1)+1-TIME(22,0,0))*24,0)),2))</f>
        <v/>
      </c>
      <c r="K577" s="33">
        <f>IF(H577="","",ROUND(IF(L577="휴일근로",MIN(H577,8)*1.5+MAX(0,H577-8)*2,I577*1.5)+N(J577)*0.5,2))</f>
        <v/>
      </c>
      <c r="L577" s="18" t="n"/>
      <c r="M577" s="18" t="n"/>
      <c r="N577" s="22" t="n"/>
    </row>
    <row r="578">
      <c r="A578" s="19" t="n"/>
      <c r="B578" s="25">
        <f>IF(A578="","",CHOOSE(WEEKDAY(A578,2),"월","화","수","목","금","토","일"))</f>
        <v/>
      </c>
      <c r="C578" s="18" t="n"/>
      <c r="D578" s="25">
        <f>IFERROR(IF(C578="","",INDEX(직원명부!$B$5:$B$24,MATCH(C578,직원명부!$A$5:$A$24,0))),"사번 확인")</f>
        <v/>
      </c>
      <c r="E578" s="34" t="n"/>
      <c r="F578" s="34" t="n"/>
      <c r="G578" s="28" t="n"/>
      <c r="H578" s="33">
        <f>IF(OR(E578="",F578=""),"",ROUND(MOD(F578-E578,1)*24-N(G578),2))</f>
        <v/>
      </c>
      <c r="I578" s="33">
        <f>IF(H578="","",ROUND(MAX(0,H578-8),2))</f>
        <v/>
      </c>
      <c r="J578" s="33">
        <f>IF(OR(E578="",F578=""),"",ROUND(IF(MOD(F578,1)&gt;=TIME(22,0,0),(MOD(F578,1)-TIME(22,0,0))*24,IF(MOD(F578,1)&lt;TIME(6,0,0),(MOD(F578,1)+1-TIME(22,0,0))*24,0)),2))</f>
        <v/>
      </c>
      <c r="K578" s="33">
        <f>IF(H578="","",ROUND(IF(L578="휴일근로",MIN(H578,8)*1.5+MAX(0,H578-8)*2,I578*1.5)+N(J578)*0.5,2))</f>
        <v/>
      </c>
      <c r="L578" s="18" t="n"/>
      <c r="M578" s="18" t="n"/>
      <c r="N578" s="22" t="n"/>
    </row>
    <row r="579">
      <c r="A579" s="19" t="n"/>
      <c r="B579" s="25">
        <f>IF(A579="","",CHOOSE(WEEKDAY(A579,2),"월","화","수","목","금","토","일"))</f>
        <v/>
      </c>
      <c r="C579" s="18" t="n"/>
      <c r="D579" s="25">
        <f>IFERROR(IF(C579="","",INDEX(직원명부!$B$5:$B$24,MATCH(C579,직원명부!$A$5:$A$24,0))),"사번 확인")</f>
        <v/>
      </c>
      <c r="E579" s="34" t="n"/>
      <c r="F579" s="34" t="n"/>
      <c r="G579" s="28" t="n"/>
      <c r="H579" s="33">
        <f>IF(OR(E579="",F579=""),"",ROUND(MOD(F579-E579,1)*24-N(G579),2))</f>
        <v/>
      </c>
      <c r="I579" s="33">
        <f>IF(H579="","",ROUND(MAX(0,H579-8),2))</f>
        <v/>
      </c>
      <c r="J579" s="33">
        <f>IF(OR(E579="",F579=""),"",ROUND(IF(MOD(F579,1)&gt;=TIME(22,0,0),(MOD(F579,1)-TIME(22,0,0))*24,IF(MOD(F579,1)&lt;TIME(6,0,0),(MOD(F579,1)+1-TIME(22,0,0))*24,0)),2))</f>
        <v/>
      </c>
      <c r="K579" s="33">
        <f>IF(H579="","",ROUND(IF(L579="휴일근로",MIN(H579,8)*1.5+MAX(0,H579-8)*2,I579*1.5)+N(J579)*0.5,2))</f>
        <v/>
      </c>
      <c r="L579" s="18" t="n"/>
      <c r="M579" s="18" t="n"/>
      <c r="N579" s="22" t="n"/>
    </row>
    <row r="580">
      <c r="A580" s="19" t="n"/>
      <c r="B580" s="25">
        <f>IF(A580="","",CHOOSE(WEEKDAY(A580,2),"월","화","수","목","금","토","일"))</f>
        <v/>
      </c>
      <c r="C580" s="18" t="n"/>
      <c r="D580" s="25">
        <f>IFERROR(IF(C580="","",INDEX(직원명부!$B$5:$B$24,MATCH(C580,직원명부!$A$5:$A$24,0))),"사번 확인")</f>
        <v/>
      </c>
      <c r="E580" s="34" t="n"/>
      <c r="F580" s="34" t="n"/>
      <c r="G580" s="28" t="n"/>
      <c r="H580" s="33">
        <f>IF(OR(E580="",F580=""),"",ROUND(MOD(F580-E580,1)*24-N(G580),2))</f>
        <v/>
      </c>
      <c r="I580" s="33">
        <f>IF(H580="","",ROUND(MAX(0,H580-8),2))</f>
        <v/>
      </c>
      <c r="J580" s="33">
        <f>IF(OR(E580="",F580=""),"",ROUND(IF(MOD(F580,1)&gt;=TIME(22,0,0),(MOD(F580,1)-TIME(22,0,0))*24,IF(MOD(F580,1)&lt;TIME(6,0,0),(MOD(F580,1)+1-TIME(22,0,0))*24,0)),2))</f>
        <v/>
      </c>
      <c r="K580" s="33">
        <f>IF(H580="","",ROUND(IF(L580="휴일근로",MIN(H580,8)*1.5+MAX(0,H580-8)*2,I580*1.5)+N(J580)*0.5,2))</f>
        <v/>
      </c>
      <c r="L580" s="18" t="n"/>
      <c r="M580" s="18" t="n"/>
      <c r="N580" s="22" t="n"/>
    </row>
    <row r="581">
      <c r="A581" s="19" t="n"/>
      <c r="B581" s="25">
        <f>IF(A581="","",CHOOSE(WEEKDAY(A581,2),"월","화","수","목","금","토","일"))</f>
        <v/>
      </c>
      <c r="C581" s="18" t="n"/>
      <c r="D581" s="25">
        <f>IFERROR(IF(C581="","",INDEX(직원명부!$B$5:$B$24,MATCH(C581,직원명부!$A$5:$A$24,0))),"사번 확인")</f>
        <v/>
      </c>
      <c r="E581" s="34" t="n"/>
      <c r="F581" s="34" t="n"/>
      <c r="G581" s="28" t="n"/>
      <c r="H581" s="33">
        <f>IF(OR(E581="",F581=""),"",ROUND(MOD(F581-E581,1)*24-N(G581),2))</f>
        <v/>
      </c>
      <c r="I581" s="33">
        <f>IF(H581="","",ROUND(MAX(0,H581-8),2))</f>
        <v/>
      </c>
      <c r="J581" s="33">
        <f>IF(OR(E581="",F581=""),"",ROUND(IF(MOD(F581,1)&gt;=TIME(22,0,0),(MOD(F581,1)-TIME(22,0,0))*24,IF(MOD(F581,1)&lt;TIME(6,0,0),(MOD(F581,1)+1-TIME(22,0,0))*24,0)),2))</f>
        <v/>
      </c>
      <c r="K581" s="33">
        <f>IF(H581="","",ROUND(IF(L581="휴일근로",MIN(H581,8)*1.5+MAX(0,H581-8)*2,I581*1.5)+N(J581)*0.5,2))</f>
        <v/>
      </c>
      <c r="L581" s="18" t="n"/>
      <c r="M581" s="18" t="n"/>
      <c r="N581" s="22" t="n"/>
    </row>
    <row r="582">
      <c r="A582" s="19" t="n"/>
      <c r="B582" s="25">
        <f>IF(A582="","",CHOOSE(WEEKDAY(A582,2),"월","화","수","목","금","토","일"))</f>
        <v/>
      </c>
      <c r="C582" s="18" t="n"/>
      <c r="D582" s="25">
        <f>IFERROR(IF(C582="","",INDEX(직원명부!$B$5:$B$24,MATCH(C582,직원명부!$A$5:$A$24,0))),"사번 확인")</f>
        <v/>
      </c>
      <c r="E582" s="34" t="n"/>
      <c r="F582" s="34" t="n"/>
      <c r="G582" s="28" t="n"/>
      <c r="H582" s="33">
        <f>IF(OR(E582="",F582=""),"",ROUND(MOD(F582-E582,1)*24-N(G582),2))</f>
        <v/>
      </c>
      <c r="I582" s="33">
        <f>IF(H582="","",ROUND(MAX(0,H582-8),2))</f>
        <v/>
      </c>
      <c r="J582" s="33">
        <f>IF(OR(E582="",F582=""),"",ROUND(IF(MOD(F582,1)&gt;=TIME(22,0,0),(MOD(F582,1)-TIME(22,0,0))*24,IF(MOD(F582,1)&lt;TIME(6,0,0),(MOD(F582,1)+1-TIME(22,0,0))*24,0)),2))</f>
        <v/>
      </c>
      <c r="K582" s="33">
        <f>IF(H582="","",ROUND(IF(L582="휴일근로",MIN(H582,8)*1.5+MAX(0,H582-8)*2,I582*1.5)+N(J582)*0.5,2))</f>
        <v/>
      </c>
      <c r="L582" s="18" t="n"/>
      <c r="M582" s="18" t="n"/>
      <c r="N582" s="22" t="n"/>
    </row>
    <row r="583">
      <c r="A583" s="19" t="n"/>
      <c r="B583" s="25">
        <f>IF(A583="","",CHOOSE(WEEKDAY(A583,2),"월","화","수","목","금","토","일"))</f>
        <v/>
      </c>
      <c r="C583" s="18" t="n"/>
      <c r="D583" s="25">
        <f>IFERROR(IF(C583="","",INDEX(직원명부!$B$5:$B$24,MATCH(C583,직원명부!$A$5:$A$24,0))),"사번 확인")</f>
        <v/>
      </c>
      <c r="E583" s="34" t="n"/>
      <c r="F583" s="34" t="n"/>
      <c r="G583" s="28" t="n"/>
      <c r="H583" s="33">
        <f>IF(OR(E583="",F583=""),"",ROUND(MOD(F583-E583,1)*24-N(G583),2))</f>
        <v/>
      </c>
      <c r="I583" s="33">
        <f>IF(H583="","",ROUND(MAX(0,H583-8),2))</f>
        <v/>
      </c>
      <c r="J583" s="33">
        <f>IF(OR(E583="",F583=""),"",ROUND(IF(MOD(F583,1)&gt;=TIME(22,0,0),(MOD(F583,1)-TIME(22,0,0))*24,IF(MOD(F583,1)&lt;TIME(6,0,0),(MOD(F583,1)+1-TIME(22,0,0))*24,0)),2))</f>
        <v/>
      </c>
      <c r="K583" s="33">
        <f>IF(H583="","",ROUND(IF(L583="휴일근로",MIN(H583,8)*1.5+MAX(0,H583-8)*2,I583*1.5)+N(J583)*0.5,2))</f>
        <v/>
      </c>
      <c r="L583" s="18" t="n"/>
      <c r="M583" s="18" t="n"/>
      <c r="N583" s="22" t="n"/>
    </row>
    <row r="584">
      <c r="A584" s="19" t="n"/>
      <c r="B584" s="25">
        <f>IF(A584="","",CHOOSE(WEEKDAY(A584,2),"월","화","수","목","금","토","일"))</f>
        <v/>
      </c>
      <c r="C584" s="18" t="n"/>
      <c r="D584" s="25">
        <f>IFERROR(IF(C584="","",INDEX(직원명부!$B$5:$B$24,MATCH(C584,직원명부!$A$5:$A$24,0))),"사번 확인")</f>
        <v/>
      </c>
      <c r="E584" s="34" t="n"/>
      <c r="F584" s="34" t="n"/>
      <c r="G584" s="28" t="n"/>
      <c r="H584" s="33">
        <f>IF(OR(E584="",F584=""),"",ROUND(MOD(F584-E584,1)*24-N(G584),2))</f>
        <v/>
      </c>
      <c r="I584" s="33">
        <f>IF(H584="","",ROUND(MAX(0,H584-8),2))</f>
        <v/>
      </c>
      <c r="J584" s="33">
        <f>IF(OR(E584="",F584=""),"",ROUND(IF(MOD(F584,1)&gt;=TIME(22,0,0),(MOD(F584,1)-TIME(22,0,0))*24,IF(MOD(F584,1)&lt;TIME(6,0,0),(MOD(F584,1)+1-TIME(22,0,0))*24,0)),2))</f>
        <v/>
      </c>
      <c r="K584" s="33">
        <f>IF(H584="","",ROUND(IF(L584="휴일근로",MIN(H584,8)*1.5+MAX(0,H584-8)*2,I584*1.5)+N(J584)*0.5,2))</f>
        <v/>
      </c>
      <c r="L584" s="18" t="n"/>
      <c r="M584" s="18" t="n"/>
      <c r="N584" s="22" t="n"/>
    </row>
    <row r="585">
      <c r="A585" s="19" t="n"/>
      <c r="B585" s="25">
        <f>IF(A585="","",CHOOSE(WEEKDAY(A585,2),"월","화","수","목","금","토","일"))</f>
        <v/>
      </c>
      <c r="C585" s="18" t="n"/>
      <c r="D585" s="25">
        <f>IFERROR(IF(C585="","",INDEX(직원명부!$B$5:$B$24,MATCH(C585,직원명부!$A$5:$A$24,0))),"사번 확인")</f>
        <v/>
      </c>
      <c r="E585" s="34" t="n"/>
      <c r="F585" s="34" t="n"/>
      <c r="G585" s="28" t="n"/>
      <c r="H585" s="33">
        <f>IF(OR(E585="",F585=""),"",ROUND(MOD(F585-E585,1)*24-N(G585),2))</f>
        <v/>
      </c>
      <c r="I585" s="33">
        <f>IF(H585="","",ROUND(MAX(0,H585-8),2))</f>
        <v/>
      </c>
      <c r="J585" s="33">
        <f>IF(OR(E585="",F585=""),"",ROUND(IF(MOD(F585,1)&gt;=TIME(22,0,0),(MOD(F585,1)-TIME(22,0,0))*24,IF(MOD(F585,1)&lt;TIME(6,0,0),(MOD(F585,1)+1-TIME(22,0,0))*24,0)),2))</f>
        <v/>
      </c>
      <c r="K585" s="33">
        <f>IF(H585="","",ROUND(IF(L585="휴일근로",MIN(H585,8)*1.5+MAX(0,H585-8)*2,I585*1.5)+N(J585)*0.5,2))</f>
        <v/>
      </c>
      <c r="L585" s="18" t="n"/>
      <c r="M585" s="18" t="n"/>
      <c r="N585" s="22" t="n"/>
    </row>
    <row r="586">
      <c r="A586" s="19" t="n"/>
      <c r="B586" s="25">
        <f>IF(A586="","",CHOOSE(WEEKDAY(A586,2),"월","화","수","목","금","토","일"))</f>
        <v/>
      </c>
      <c r="C586" s="18" t="n"/>
      <c r="D586" s="25">
        <f>IFERROR(IF(C586="","",INDEX(직원명부!$B$5:$B$24,MATCH(C586,직원명부!$A$5:$A$24,0))),"사번 확인")</f>
        <v/>
      </c>
      <c r="E586" s="34" t="n"/>
      <c r="F586" s="34" t="n"/>
      <c r="G586" s="28" t="n"/>
      <c r="H586" s="33">
        <f>IF(OR(E586="",F586=""),"",ROUND(MOD(F586-E586,1)*24-N(G586),2))</f>
        <v/>
      </c>
      <c r="I586" s="33">
        <f>IF(H586="","",ROUND(MAX(0,H586-8),2))</f>
        <v/>
      </c>
      <c r="J586" s="33">
        <f>IF(OR(E586="",F586=""),"",ROUND(IF(MOD(F586,1)&gt;=TIME(22,0,0),(MOD(F586,1)-TIME(22,0,0))*24,IF(MOD(F586,1)&lt;TIME(6,0,0),(MOD(F586,1)+1-TIME(22,0,0))*24,0)),2))</f>
        <v/>
      </c>
      <c r="K586" s="33">
        <f>IF(H586="","",ROUND(IF(L586="휴일근로",MIN(H586,8)*1.5+MAX(0,H586-8)*2,I586*1.5)+N(J586)*0.5,2))</f>
        <v/>
      </c>
      <c r="L586" s="18" t="n"/>
      <c r="M586" s="18" t="n"/>
      <c r="N586" s="22" t="n"/>
    </row>
    <row r="587">
      <c r="A587" s="19" t="n"/>
      <c r="B587" s="25">
        <f>IF(A587="","",CHOOSE(WEEKDAY(A587,2),"월","화","수","목","금","토","일"))</f>
        <v/>
      </c>
      <c r="C587" s="18" t="n"/>
      <c r="D587" s="25">
        <f>IFERROR(IF(C587="","",INDEX(직원명부!$B$5:$B$24,MATCH(C587,직원명부!$A$5:$A$24,0))),"사번 확인")</f>
        <v/>
      </c>
      <c r="E587" s="34" t="n"/>
      <c r="F587" s="34" t="n"/>
      <c r="G587" s="28" t="n"/>
      <c r="H587" s="33">
        <f>IF(OR(E587="",F587=""),"",ROUND(MOD(F587-E587,1)*24-N(G587),2))</f>
        <v/>
      </c>
      <c r="I587" s="33">
        <f>IF(H587="","",ROUND(MAX(0,H587-8),2))</f>
        <v/>
      </c>
      <c r="J587" s="33">
        <f>IF(OR(E587="",F587=""),"",ROUND(IF(MOD(F587,1)&gt;=TIME(22,0,0),(MOD(F587,1)-TIME(22,0,0))*24,IF(MOD(F587,1)&lt;TIME(6,0,0),(MOD(F587,1)+1-TIME(22,0,0))*24,0)),2))</f>
        <v/>
      </c>
      <c r="K587" s="33">
        <f>IF(H587="","",ROUND(IF(L587="휴일근로",MIN(H587,8)*1.5+MAX(0,H587-8)*2,I587*1.5)+N(J587)*0.5,2))</f>
        <v/>
      </c>
      <c r="L587" s="18" t="n"/>
      <c r="M587" s="18" t="n"/>
      <c r="N587" s="22" t="n"/>
    </row>
    <row r="588">
      <c r="A588" s="19" t="n"/>
      <c r="B588" s="25">
        <f>IF(A588="","",CHOOSE(WEEKDAY(A588,2),"월","화","수","목","금","토","일"))</f>
        <v/>
      </c>
      <c r="C588" s="18" t="n"/>
      <c r="D588" s="25">
        <f>IFERROR(IF(C588="","",INDEX(직원명부!$B$5:$B$24,MATCH(C588,직원명부!$A$5:$A$24,0))),"사번 확인")</f>
        <v/>
      </c>
      <c r="E588" s="34" t="n"/>
      <c r="F588" s="34" t="n"/>
      <c r="G588" s="28" t="n"/>
      <c r="H588" s="33">
        <f>IF(OR(E588="",F588=""),"",ROUND(MOD(F588-E588,1)*24-N(G588),2))</f>
        <v/>
      </c>
      <c r="I588" s="33">
        <f>IF(H588="","",ROUND(MAX(0,H588-8),2))</f>
        <v/>
      </c>
      <c r="J588" s="33">
        <f>IF(OR(E588="",F588=""),"",ROUND(IF(MOD(F588,1)&gt;=TIME(22,0,0),(MOD(F588,1)-TIME(22,0,0))*24,IF(MOD(F588,1)&lt;TIME(6,0,0),(MOD(F588,1)+1-TIME(22,0,0))*24,0)),2))</f>
        <v/>
      </c>
      <c r="K588" s="33">
        <f>IF(H588="","",ROUND(IF(L588="휴일근로",MIN(H588,8)*1.5+MAX(0,H588-8)*2,I588*1.5)+N(J588)*0.5,2))</f>
        <v/>
      </c>
      <c r="L588" s="18" t="n"/>
      <c r="M588" s="18" t="n"/>
      <c r="N588" s="22" t="n"/>
    </row>
    <row r="589">
      <c r="A589" s="19" t="n"/>
      <c r="B589" s="25">
        <f>IF(A589="","",CHOOSE(WEEKDAY(A589,2),"월","화","수","목","금","토","일"))</f>
        <v/>
      </c>
      <c r="C589" s="18" t="n"/>
      <c r="D589" s="25">
        <f>IFERROR(IF(C589="","",INDEX(직원명부!$B$5:$B$24,MATCH(C589,직원명부!$A$5:$A$24,0))),"사번 확인")</f>
        <v/>
      </c>
      <c r="E589" s="34" t="n"/>
      <c r="F589" s="34" t="n"/>
      <c r="G589" s="28" t="n"/>
      <c r="H589" s="33">
        <f>IF(OR(E589="",F589=""),"",ROUND(MOD(F589-E589,1)*24-N(G589),2))</f>
        <v/>
      </c>
      <c r="I589" s="33">
        <f>IF(H589="","",ROUND(MAX(0,H589-8),2))</f>
        <v/>
      </c>
      <c r="J589" s="33">
        <f>IF(OR(E589="",F589=""),"",ROUND(IF(MOD(F589,1)&gt;=TIME(22,0,0),(MOD(F589,1)-TIME(22,0,0))*24,IF(MOD(F589,1)&lt;TIME(6,0,0),(MOD(F589,1)+1-TIME(22,0,0))*24,0)),2))</f>
        <v/>
      </c>
      <c r="K589" s="33">
        <f>IF(H589="","",ROUND(IF(L589="휴일근로",MIN(H589,8)*1.5+MAX(0,H589-8)*2,I589*1.5)+N(J589)*0.5,2))</f>
        <v/>
      </c>
      <c r="L589" s="18" t="n"/>
      <c r="M589" s="18" t="n"/>
      <c r="N589" s="22" t="n"/>
    </row>
    <row r="590">
      <c r="A590" s="19" t="n"/>
      <c r="B590" s="25">
        <f>IF(A590="","",CHOOSE(WEEKDAY(A590,2),"월","화","수","목","금","토","일"))</f>
        <v/>
      </c>
      <c r="C590" s="18" t="n"/>
      <c r="D590" s="25">
        <f>IFERROR(IF(C590="","",INDEX(직원명부!$B$5:$B$24,MATCH(C590,직원명부!$A$5:$A$24,0))),"사번 확인")</f>
        <v/>
      </c>
      <c r="E590" s="34" t="n"/>
      <c r="F590" s="34" t="n"/>
      <c r="G590" s="28" t="n"/>
      <c r="H590" s="33">
        <f>IF(OR(E590="",F590=""),"",ROUND(MOD(F590-E590,1)*24-N(G590),2))</f>
        <v/>
      </c>
      <c r="I590" s="33">
        <f>IF(H590="","",ROUND(MAX(0,H590-8),2))</f>
        <v/>
      </c>
      <c r="J590" s="33">
        <f>IF(OR(E590="",F590=""),"",ROUND(IF(MOD(F590,1)&gt;=TIME(22,0,0),(MOD(F590,1)-TIME(22,0,0))*24,IF(MOD(F590,1)&lt;TIME(6,0,0),(MOD(F590,1)+1-TIME(22,0,0))*24,0)),2))</f>
        <v/>
      </c>
      <c r="K590" s="33">
        <f>IF(H590="","",ROUND(IF(L590="휴일근로",MIN(H590,8)*1.5+MAX(0,H590-8)*2,I590*1.5)+N(J590)*0.5,2))</f>
        <v/>
      </c>
      <c r="L590" s="18" t="n"/>
      <c r="M590" s="18" t="n"/>
      <c r="N590" s="22" t="n"/>
    </row>
    <row r="591">
      <c r="A591" s="19" t="n"/>
      <c r="B591" s="25">
        <f>IF(A591="","",CHOOSE(WEEKDAY(A591,2),"월","화","수","목","금","토","일"))</f>
        <v/>
      </c>
      <c r="C591" s="18" t="n"/>
      <c r="D591" s="25">
        <f>IFERROR(IF(C591="","",INDEX(직원명부!$B$5:$B$24,MATCH(C591,직원명부!$A$5:$A$24,0))),"사번 확인")</f>
        <v/>
      </c>
      <c r="E591" s="34" t="n"/>
      <c r="F591" s="34" t="n"/>
      <c r="G591" s="28" t="n"/>
      <c r="H591" s="33">
        <f>IF(OR(E591="",F591=""),"",ROUND(MOD(F591-E591,1)*24-N(G591),2))</f>
        <v/>
      </c>
      <c r="I591" s="33">
        <f>IF(H591="","",ROUND(MAX(0,H591-8),2))</f>
        <v/>
      </c>
      <c r="J591" s="33">
        <f>IF(OR(E591="",F591=""),"",ROUND(IF(MOD(F591,1)&gt;=TIME(22,0,0),(MOD(F591,1)-TIME(22,0,0))*24,IF(MOD(F591,1)&lt;TIME(6,0,0),(MOD(F591,1)+1-TIME(22,0,0))*24,0)),2))</f>
        <v/>
      </c>
      <c r="K591" s="33">
        <f>IF(H591="","",ROUND(IF(L591="휴일근로",MIN(H591,8)*1.5+MAX(0,H591-8)*2,I591*1.5)+N(J591)*0.5,2))</f>
        <v/>
      </c>
      <c r="L591" s="18" t="n"/>
      <c r="M591" s="18" t="n"/>
      <c r="N591" s="22" t="n"/>
    </row>
    <row r="592">
      <c r="A592" s="19" t="n"/>
      <c r="B592" s="25">
        <f>IF(A592="","",CHOOSE(WEEKDAY(A592,2),"월","화","수","목","금","토","일"))</f>
        <v/>
      </c>
      <c r="C592" s="18" t="n"/>
      <c r="D592" s="25">
        <f>IFERROR(IF(C592="","",INDEX(직원명부!$B$5:$B$24,MATCH(C592,직원명부!$A$5:$A$24,0))),"사번 확인")</f>
        <v/>
      </c>
      <c r="E592" s="34" t="n"/>
      <c r="F592" s="34" t="n"/>
      <c r="G592" s="28" t="n"/>
      <c r="H592" s="33">
        <f>IF(OR(E592="",F592=""),"",ROUND(MOD(F592-E592,1)*24-N(G592),2))</f>
        <v/>
      </c>
      <c r="I592" s="33">
        <f>IF(H592="","",ROUND(MAX(0,H592-8),2))</f>
        <v/>
      </c>
      <c r="J592" s="33">
        <f>IF(OR(E592="",F592=""),"",ROUND(IF(MOD(F592,1)&gt;=TIME(22,0,0),(MOD(F592,1)-TIME(22,0,0))*24,IF(MOD(F592,1)&lt;TIME(6,0,0),(MOD(F592,1)+1-TIME(22,0,0))*24,0)),2))</f>
        <v/>
      </c>
      <c r="K592" s="33">
        <f>IF(H592="","",ROUND(IF(L592="휴일근로",MIN(H592,8)*1.5+MAX(0,H592-8)*2,I592*1.5)+N(J592)*0.5,2))</f>
        <v/>
      </c>
      <c r="L592" s="18" t="n"/>
      <c r="M592" s="18" t="n"/>
      <c r="N592" s="22" t="n"/>
    </row>
    <row r="593">
      <c r="A593" s="19" t="n"/>
      <c r="B593" s="25">
        <f>IF(A593="","",CHOOSE(WEEKDAY(A593,2),"월","화","수","목","금","토","일"))</f>
        <v/>
      </c>
      <c r="C593" s="18" t="n"/>
      <c r="D593" s="25">
        <f>IFERROR(IF(C593="","",INDEX(직원명부!$B$5:$B$24,MATCH(C593,직원명부!$A$5:$A$24,0))),"사번 확인")</f>
        <v/>
      </c>
      <c r="E593" s="34" t="n"/>
      <c r="F593" s="34" t="n"/>
      <c r="G593" s="28" t="n"/>
      <c r="H593" s="33">
        <f>IF(OR(E593="",F593=""),"",ROUND(MOD(F593-E593,1)*24-N(G593),2))</f>
        <v/>
      </c>
      <c r="I593" s="33">
        <f>IF(H593="","",ROUND(MAX(0,H593-8),2))</f>
        <v/>
      </c>
      <c r="J593" s="33">
        <f>IF(OR(E593="",F593=""),"",ROUND(IF(MOD(F593,1)&gt;=TIME(22,0,0),(MOD(F593,1)-TIME(22,0,0))*24,IF(MOD(F593,1)&lt;TIME(6,0,0),(MOD(F593,1)+1-TIME(22,0,0))*24,0)),2))</f>
        <v/>
      </c>
      <c r="K593" s="33">
        <f>IF(H593="","",ROUND(IF(L593="휴일근로",MIN(H593,8)*1.5+MAX(0,H593-8)*2,I593*1.5)+N(J593)*0.5,2))</f>
        <v/>
      </c>
      <c r="L593" s="18" t="n"/>
      <c r="M593" s="18" t="n"/>
      <c r="N593" s="22" t="n"/>
    </row>
    <row r="594">
      <c r="A594" s="19" t="n"/>
      <c r="B594" s="25">
        <f>IF(A594="","",CHOOSE(WEEKDAY(A594,2),"월","화","수","목","금","토","일"))</f>
        <v/>
      </c>
      <c r="C594" s="18" t="n"/>
      <c r="D594" s="25">
        <f>IFERROR(IF(C594="","",INDEX(직원명부!$B$5:$B$24,MATCH(C594,직원명부!$A$5:$A$24,0))),"사번 확인")</f>
        <v/>
      </c>
      <c r="E594" s="34" t="n"/>
      <c r="F594" s="34" t="n"/>
      <c r="G594" s="28" t="n"/>
      <c r="H594" s="33">
        <f>IF(OR(E594="",F594=""),"",ROUND(MOD(F594-E594,1)*24-N(G594),2))</f>
        <v/>
      </c>
      <c r="I594" s="33">
        <f>IF(H594="","",ROUND(MAX(0,H594-8),2))</f>
        <v/>
      </c>
      <c r="J594" s="33">
        <f>IF(OR(E594="",F594=""),"",ROUND(IF(MOD(F594,1)&gt;=TIME(22,0,0),(MOD(F594,1)-TIME(22,0,0))*24,IF(MOD(F594,1)&lt;TIME(6,0,0),(MOD(F594,1)+1-TIME(22,0,0))*24,0)),2))</f>
        <v/>
      </c>
      <c r="K594" s="33">
        <f>IF(H594="","",ROUND(IF(L594="휴일근로",MIN(H594,8)*1.5+MAX(0,H594-8)*2,I594*1.5)+N(J594)*0.5,2))</f>
        <v/>
      </c>
      <c r="L594" s="18" t="n"/>
      <c r="M594" s="18" t="n"/>
      <c r="N594" s="22" t="n"/>
    </row>
    <row r="595">
      <c r="A595" s="19" t="n"/>
      <c r="B595" s="25">
        <f>IF(A595="","",CHOOSE(WEEKDAY(A595,2),"월","화","수","목","금","토","일"))</f>
        <v/>
      </c>
      <c r="C595" s="18" t="n"/>
      <c r="D595" s="25">
        <f>IFERROR(IF(C595="","",INDEX(직원명부!$B$5:$B$24,MATCH(C595,직원명부!$A$5:$A$24,0))),"사번 확인")</f>
        <v/>
      </c>
      <c r="E595" s="34" t="n"/>
      <c r="F595" s="34" t="n"/>
      <c r="G595" s="28" t="n"/>
      <c r="H595" s="33">
        <f>IF(OR(E595="",F595=""),"",ROUND(MOD(F595-E595,1)*24-N(G595),2))</f>
        <v/>
      </c>
      <c r="I595" s="33">
        <f>IF(H595="","",ROUND(MAX(0,H595-8),2))</f>
        <v/>
      </c>
      <c r="J595" s="33">
        <f>IF(OR(E595="",F595=""),"",ROUND(IF(MOD(F595,1)&gt;=TIME(22,0,0),(MOD(F595,1)-TIME(22,0,0))*24,IF(MOD(F595,1)&lt;TIME(6,0,0),(MOD(F595,1)+1-TIME(22,0,0))*24,0)),2))</f>
        <v/>
      </c>
      <c r="K595" s="33">
        <f>IF(H595="","",ROUND(IF(L595="휴일근로",MIN(H595,8)*1.5+MAX(0,H595-8)*2,I595*1.5)+N(J595)*0.5,2))</f>
        <v/>
      </c>
      <c r="L595" s="18" t="n"/>
      <c r="M595" s="18" t="n"/>
      <c r="N595" s="22" t="n"/>
    </row>
    <row r="596">
      <c r="A596" s="19" t="n"/>
      <c r="B596" s="25">
        <f>IF(A596="","",CHOOSE(WEEKDAY(A596,2),"월","화","수","목","금","토","일"))</f>
        <v/>
      </c>
      <c r="C596" s="18" t="n"/>
      <c r="D596" s="25">
        <f>IFERROR(IF(C596="","",INDEX(직원명부!$B$5:$B$24,MATCH(C596,직원명부!$A$5:$A$24,0))),"사번 확인")</f>
        <v/>
      </c>
      <c r="E596" s="34" t="n"/>
      <c r="F596" s="34" t="n"/>
      <c r="G596" s="28" t="n"/>
      <c r="H596" s="33">
        <f>IF(OR(E596="",F596=""),"",ROUND(MOD(F596-E596,1)*24-N(G596),2))</f>
        <v/>
      </c>
      <c r="I596" s="33">
        <f>IF(H596="","",ROUND(MAX(0,H596-8),2))</f>
        <v/>
      </c>
      <c r="J596" s="33">
        <f>IF(OR(E596="",F596=""),"",ROUND(IF(MOD(F596,1)&gt;=TIME(22,0,0),(MOD(F596,1)-TIME(22,0,0))*24,IF(MOD(F596,1)&lt;TIME(6,0,0),(MOD(F596,1)+1-TIME(22,0,0))*24,0)),2))</f>
        <v/>
      </c>
      <c r="K596" s="33">
        <f>IF(H596="","",ROUND(IF(L596="휴일근로",MIN(H596,8)*1.5+MAX(0,H596-8)*2,I596*1.5)+N(J596)*0.5,2))</f>
        <v/>
      </c>
      <c r="L596" s="18" t="n"/>
      <c r="M596" s="18" t="n"/>
      <c r="N596" s="22" t="n"/>
    </row>
    <row r="597">
      <c r="A597" s="19" t="n"/>
      <c r="B597" s="25">
        <f>IF(A597="","",CHOOSE(WEEKDAY(A597,2),"월","화","수","목","금","토","일"))</f>
        <v/>
      </c>
      <c r="C597" s="18" t="n"/>
      <c r="D597" s="25">
        <f>IFERROR(IF(C597="","",INDEX(직원명부!$B$5:$B$24,MATCH(C597,직원명부!$A$5:$A$24,0))),"사번 확인")</f>
        <v/>
      </c>
      <c r="E597" s="34" t="n"/>
      <c r="F597" s="34" t="n"/>
      <c r="G597" s="28" t="n"/>
      <c r="H597" s="33">
        <f>IF(OR(E597="",F597=""),"",ROUND(MOD(F597-E597,1)*24-N(G597),2))</f>
        <v/>
      </c>
      <c r="I597" s="33">
        <f>IF(H597="","",ROUND(MAX(0,H597-8),2))</f>
        <v/>
      </c>
      <c r="J597" s="33">
        <f>IF(OR(E597="",F597=""),"",ROUND(IF(MOD(F597,1)&gt;=TIME(22,0,0),(MOD(F597,1)-TIME(22,0,0))*24,IF(MOD(F597,1)&lt;TIME(6,0,0),(MOD(F597,1)+1-TIME(22,0,0))*24,0)),2))</f>
        <v/>
      </c>
      <c r="K597" s="33">
        <f>IF(H597="","",ROUND(IF(L597="휴일근로",MIN(H597,8)*1.5+MAX(0,H597-8)*2,I597*1.5)+N(J597)*0.5,2))</f>
        <v/>
      </c>
      <c r="L597" s="18" t="n"/>
      <c r="M597" s="18" t="n"/>
      <c r="N597" s="22" t="n"/>
    </row>
    <row r="598">
      <c r="A598" s="19" t="n"/>
      <c r="B598" s="25">
        <f>IF(A598="","",CHOOSE(WEEKDAY(A598,2),"월","화","수","목","금","토","일"))</f>
        <v/>
      </c>
      <c r="C598" s="18" t="n"/>
      <c r="D598" s="25">
        <f>IFERROR(IF(C598="","",INDEX(직원명부!$B$5:$B$24,MATCH(C598,직원명부!$A$5:$A$24,0))),"사번 확인")</f>
        <v/>
      </c>
      <c r="E598" s="34" t="n"/>
      <c r="F598" s="34" t="n"/>
      <c r="G598" s="28" t="n"/>
      <c r="H598" s="33">
        <f>IF(OR(E598="",F598=""),"",ROUND(MOD(F598-E598,1)*24-N(G598),2))</f>
        <v/>
      </c>
      <c r="I598" s="33">
        <f>IF(H598="","",ROUND(MAX(0,H598-8),2))</f>
        <v/>
      </c>
      <c r="J598" s="33">
        <f>IF(OR(E598="",F598=""),"",ROUND(IF(MOD(F598,1)&gt;=TIME(22,0,0),(MOD(F598,1)-TIME(22,0,0))*24,IF(MOD(F598,1)&lt;TIME(6,0,0),(MOD(F598,1)+1-TIME(22,0,0))*24,0)),2))</f>
        <v/>
      </c>
      <c r="K598" s="33">
        <f>IF(H598="","",ROUND(IF(L598="휴일근로",MIN(H598,8)*1.5+MAX(0,H598-8)*2,I598*1.5)+N(J598)*0.5,2))</f>
        <v/>
      </c>
      <c r="L598" s="18" t="n"/>
      <c r="M598" s="18" t="n"/>
      <c r="N598" s="22" t="n"/>
    </row>
    <row r="599">
      <c r="A599" s="19" t="n"/>
      <c r="B599" s="25">
        <f>IF(A599="","",CHOOSE(WEEKDAY(A599,2),"월","화","수","목","금","토","일"))</f>
        <v/>
      </c>
      <c r="C599" s="18" t="n"/>
      <c r="D599" s="25">
        <f>IFERROR(IF(C599="","",INDEX(직원명부!$B$5:$B$24,MATCH(C599,직원명부!$A$5:$A$24,0))),"사번 확인")</f>
        <v/>
      </c>
      <c r="E599" s="34" t="n"/>
      <c r="F599" s="34" t="n"/>
      <c r="G599" s="28" t="n"/>
      <c r="H599" s="33">
        <f>IF(OR(E599="",F599=""),"",ROUND(MOD(F599-E599,1)*24-N(G599),2))</f>
        <v/>
      </c>
      <c r="I599" s="33">
        <f>IF(H599="","",ROUND(MAX(0,H599-8),2))</f>
        <v/>
      </c>
      <c r="J599" s="33">
        <f>IF(OR(E599="",F599=""),"",ROUND(IF(MOD(F599,1)&gt;=TIME(22,0,0),(MOD(F599,1)-TIME(22,0,0))*24,IF(MOD(F599,1)&lt;TIME(6,0,0),(MOD(F599,1)+1-TIME(22,0,0))*24,0)),2))</f>
        <v/>
      </c>
      <c r="K599" s="33">
        <f>IF(H599="","",ROUND(IF(L599="휴일근로",MIN(H599,8)*1.5+MAX(0,H599-8)*2,I599*1.5)+N(J599)*0.5,2))</f>
        <v/>
      </c>
      <c r="L599" s="18" t="n"/>
      <c r="M599" s="18" t="n"/>
      <c r="N599" s="22" t="n"/>
    </row>
    <row r="600">
      <c r="A600" s="19" t="n"/>
      <c r="B600" s="25">
        <f>IF(A600="","",CHOOSE(WEEKDAY(A600,2),"월","화","수","목","금","토","일"))</f>
        <v/>
      </c>
      <c r="C600" s="18" t="n"/>
      <c r="D600" s="25">
        <f>IFERROR(IF(C600="","",INDEX(직원명부!$B$5:$B$24,MATCH(C600,직원명부!$A$5:$A$24,0))),"사번 확인")</f>
        <v/>
      </c>
      <c r="E600" s="34" t="n"/>
      <c r="F600" s="34" t="n"/>
      <c r="G600" s="28" t="n"/>
      <c r="H600" s="33">
        <f>IF(OR(E600="",F600=""),"",ROUND(MOD(F600-E600,1)*24-N(G600),2))</f>
        <v/>
      </c>
      <c r="I600" s="33">
        <f>IF(H600="","",ROUND(MAX(0,H600-8),2))</f>
        <v/>
      </c>
      <c r="J600" s="33">
        <f>IF(OR(E600="",F600=""),"",ROUND(IF(MOD(F600,1)&gt;=TIME(22,0,0),(MOD(F600,1)-TIME(22,0,0))*24,IF(MOD(F600,1)&lt;TIME(6,0,0),(MOD(F600,1)+1-TIME(22,0,0))*24,0)),2))</f>
        <v/>
      </c>
      <c r="K600" s="33">
        <f>IF(H600="","",ROUND(IF(L600="휴일근로",MIN(H600,8)*1.5+MAX(0,H600-8)*2,I600*1.5)+N(J600)*0.5,2))</f>
        <v/>
      </c>
      <c r="L600" s="18" t="n"/>
      <c r="M600" s="18" t="n"/>
      <c r="N600" s="22" t="n"/>
    </row>
    <row r="601">
      <c r="A601" s="19" t="n"/>
      <c r="B601" s="25">
        <f>IF(A601="","",CHOOSE(WEEKDAY(A601,2),"월","화","수","목","금","토","일"))</f>
        <v/>
      </c>
      <c r="C601" s="18" t="n"/>
      <c r="D601" s="25">
        <f>IFERROR(IF(C601="","",INDEX(직원명부!$B$5:$B$24,MATCH(C601,직원명부!$A$5:$A$24,0))),"사번 확인")</f>
        <v/>
      </c>
      <c r="E601" s="34" t="n"/>
      <c r="F601" s="34" t="n"/>
      <c r="G601" s="28" t="n"/>
      <c r="H601" s="33">
        <f>IF(OR(E601="",F601=""),"",ROUND(MOD(F601-E601,1)*24-N(G601),2))</f>
        <v/>
      </c>
      <c r="I601" s="33">
        <f>IF(H601="","",ROUND(MAX(0,H601-8),2))</f>
        <v/>
      </c>
      <c r="J601" s="33">
        <f>IF(OR(E601="",F601=""),"",ROUND(IF(MOD(F601,1)&gt;=TIME(22,0,0),(MOD(F601,1)-TIME(22,0,0))*24,IF(MOD(F601,1)&lt;TIME(6,0,0),(MOD(F601,1)+1-TIME(22,0,0))*24,0)),2))</f>
        <v/>
      </c>
      <c r="K601" s="33">
        <f>IF(H601="","",ROUND(IF(L601="휴일근로",MIN(H601,8)*1.5+MAX(0,H601-8)*2,I601*1.5)+N(J601)*0.5,2))</f>
        <v/>
      </c>
      <c r="L601" s="18" t="n"/>
      <c r="M601" s="18" t="n"/>
      <c r="N601" s="22" t="n"/>
    </row>
    <row r="602">
      <c r="A602" s="19" t="n"/>
      <c r="B602" s="25">
        <f>IF(A602="","",CHOOSE(WEEKDAY(A602,2),"월","화","수","목","금","토","일"))</f>
        <v/>
      </c>
      <c r="C602" s="18" t="n"/>
      <c r="D602" s="25">
        <f>IFERROR(IF(C602="","",INDEX(직원명부!$B$5:$B$24,MATCH(C602,직원명부!$A$5:$A$24,0))),"사번 확인")</f>
        <v/>
      </c>
      <c r="E602" s="34" t="n"/>
      <c r="F602" s="34" t="n"/>
      <c r="G602" s="28" t="n"/>
      <c r="H602" s="33">
        <f>IF(OR(E602="",F602=""),"",ROUND(MOD(F602-E602,1)*24-N(G602),2))</f>
        <v/>
      </c>
      <c r="I602" s="33">
        <f>IF(H602="","",ROUND(MAX(0,H602-8),2))</f>
        <v/>
      </c>
      <c r="J602" s="33">
        <f>IF(OR(E602="",F602=""),"",ROUND(IF(MOD(F602,1)&gt;=TIME(22,0,0),(MOD(F602,1)-TIME(22,0,0))*24,IF(MOD(F602,1)&lt;TIME(6,0,0),(MOD(F602,1)+1-TIME(22,0,0))*24,0)),2))</f>
        <v/>
      </c>
      <c r="K602" s="33">
        <f>IF(H602="","",ROUND(IF(L602="휴일근로",MIN(H602,8)*1.5+MAX(0,H602-8)*2,I602*1.5)+N(J602)*0.5,2))</f>
        <v/>
      </c>
      <c r="L602" s="18" t="n"/>
      <c r="M602" s="18" t="n"/>
      <c r="N602" s="22" t="n"/>
    </row>
    <row r="603">
      <c r="A603" s="19" t="n"/>
      <c r="B603" s="25">
        <f>IF(A603="","",CHOOSE(WEEKDAY(A603,2),"월","화","수","목","금","토","일"))</f>
        <v/>
      </c>
      <c r="C603" s="18" t="n"/>
      <c r="D603" s="25">
        <f>IFERROR(IF(C603="","",INDEX(직원명부!$B$5:$B$24,MATCH(C603,직원명부!$A$5:$A$24,0))),"사번 확인")</f>
        <v/>
      </c>
      <c r="E603" s="34" t="n"/>
      <c r="F603" s="34" t="n"/>
      <c r="G603" s="28" t="n"/>
      <c r="H603" s="33">
        <f>IF(OR(E603="",F603=""),"",ROUND(MOD(F603-E603,1)*24-N(G603),2))</f>
        <v/>
      </c>
      <c r="I603" s="33">
        <f>IF(H603="","",ROUND(MAX(0,H603-8),2))</f>
        <v/>
      </c>
      <c r="J603" s="33">
        <f>IF(OR(E603="",F603=""),"",ROUND(IF(MOD(F603,1)&gt;=TIME(22,0,0),(MOD(F603,1)-TIME(22,0,0))*24,IF(MOD(F603,1)&lt;TIME(6,0,0),(MOD(F603,1)+1-TIME(22,0,0))*24,0)),2))</f>
        <v/>
      </c>
      <c r="K603" s="33">
        <f>IF(H603="","",ROUND(IF(L603="휴일근로",MIN(H603,8)*1.5+MAX(0,H603-8)*2,I603*1.5)+N(J603)*0.5,2))</f>
        <v/>
      </c>
      <c r="L603" s="18" t="n"/>
      <c r="M603" s="18" t="n"/>
      <c r="N603" s="22" t="n"/>
    </row>
    <row r="604">
      <c r="A604" s="19" t="n"/>
      <c r="B604" s="25">
        <f>IF(A604="","",CHOOSE(WEEKDAY(A604,2),"월","화","수","목","금","토","일"))</f>
        <v/>
      </c>
      <c r="C604" s="18" t="n"/>
      <c r="D604" s="25">
        <f>IFERROR(IF(C604="","",INDEX(직원명부!$B$5:$B$24,MATCH(C604,직원명부!$A$5:$A$24,0))),"사번 확인")</f>
        <v/>
      </c>
      <c r="E604" s="34" t="n"/>
      <c r="F604" s="34" t="n"/>
      <c r="G604" s="28" t="n"/>
      <c r="H604" s="33">
        <f>IF(OR(E604="",F604=""),"",ROUND(MOD(F604-E604,1)*24-N(G604),2))</f>
        <v/>
      </c>
      <c r="I604" s="33">
        <f>IF(H604="","",ROUND(MAX(0,H604-8),2))</f>
        <v/>
      </c>
      <c r="J604" s="33">
        <f>IF(OR(E604="",F604=""),"",ROUND(IF(MOD(F604,1)&gt;=TIME(22,0,0),(MOD(F604,1)-TIME(22,0,0))*24,IF(MOD(F604,1)&lt;TIME(6,0,0),(MOD(F604,1)+1-TIME(22,0,0))*24,0)),2))</f>
        <v/>
      </c>
      <c r="K604" s="33">
        <f>IF(H604="","",ROUND(IF(L604="휴일근로",MIN(H604,8)*1.5+MAX(0,H604-8)*2,I604*1.5)+N(J604)*0.5,2))</f>
        <v/>
      </c>
      <c r="L604" s="18" t="n"/>
      <c r="M604" s="18" t="n"/>
      <c r="N604" s="22" t="n"/>
    </row>
    <row r="605">
      <c r="A605" s="19" t="n"/>
      <c r="B605" s="25">
        <f>IF(A605="","",CHOOSE(WEEKDAY(A605,2),"월","화","수","목","금","토","일"))</f>
        <v/>
      </c>
      <c r="C605" s="18" t="n"/>
      <c r="D605" s="25">
        <f>IFERROR(IF(C605="","",INDEX(직원명부!$B$5:$B$24,MATCH(C605,직원명부!$A$5:$A$24,0))),"사번 확인")</f>
        <v/>
      </c>
      <c r="E605" s="34" t="n"/>
      <c r="F605" s="34" t="n"/>
      <c r="G605" s="28" t="n"/>
      <c r="H605" s="33">
        <f>IF(OR(E605="",F605=""),"",ROUND(MOD(F605-E605,1)*24-N(G605),2))</f>
        <v/>
      </c>
      <c r="I605" s="33">
        <f>IF(H605="","",ROUND(MAX(0,H605-8),2))</f>
        <v/>
      </c>
      <c r="J605" s="33">
        <f>IF(OR(E605="",F605=""),"",ROUND(IF(MOD(F605,1)&gt;=TIME(22,0,0),(MOD(F605,1)-TIME(22,0,0))*24,IF(MOD(F605,1)&lt;TIME(6,0,0),(MOD(F605,1)+1-TIME(22,0,0))*24,0)),2))</f>
        <v/>
      </c>
      <c r="K605" s="33">
        <f>IF(H605="","",ROUND(IF(L605="휴일근로",MIN(H605,8)*1.5+MAX(0,H605-8)*2,I605*1.5)+N(J605)*0.5,2))</f>
        <v/>
      </c>
      <c r="L605" s="18" t="n"/>
      <c r="M605" s="18" t="n"/>
      <c r="N605" s="22" t="n"/>
    </row>
    <row r="606">
      <c r="A606" s="19" t="n"/>
      <c r="B606" s="25">
        <f>IF(A606="","",CHOOSE(WEEKDAY(A606,2),"월","화","수","목","금","토","일"))</f>
        <v/>
      </c>
      <c r="C606" s="18" t="n"/>
      <c r="D606" s="25">
        <f>IFERROR(IF(C606="","",INDEX(직원명부!$B$5:$B$24,MATCH(C606,직원명부!$A$5:$A$24,0))),"사번 확인")</f>
        <v/>
      </c>
      <c r="E606" s="34" t="n"/>
      <c r="F606" s="34" t="n"/>
      <c r="G606" s="28" t="n"/>
      <c r="H606" s="33">
        <f>IF(OR(E606="",F606=""),"",ROUND(MOD(F606-E606,1)*24-N(G606),2))</f>
        <v/>
      </c>
      <c r="I606" s="33">
        <f>IF(H606="","",ROUND(MAX(0,H606-8),2))</f>
        <v/>
      </c>
      <c r="J606" s="33">
        <f>IF(OR(E606="",F606=""),"",ROUND(IF(MOD(F606,1)&gt;=TIME(22,0,0),(MOD(F606,1)-TIME(22,0,0))*24,IF(MOD(F606,1)&lt;TIME(6,0,0),(MOD(F606,1)+1-TIME(22,0,0))*24,0)),2))</f>
        <v/>
      </c>
      <c r="K606" s="33">
        <f>IF(H606="","",ROUND(IF(L606="휴일근로",MIN(H606,8)*1.5+MAX(0,H606-8)*2,I606*1.5)+N(J606)*0.5,2))</f>
        <v/>
      </c>
      <c r="L606" s="18" t="n"/>
      <c r="M606" s="18" t="n"/>
      <c r="N606" s="22" t="n"/>
    </row>
    <row r="607">
      <c r="A607" s="19" t="n"/>
      <c r="B607" s="25">
        <f>IF(A607="","",CHOOSE(WEEKDAY(A607,2),"월","화","수","목","금","토","일"))</f>
        <v/>
      </c>
      <c r="C607" s="18" t="n"/>
      <c r="D607" s="25">
        <f>IFERROR(IF(C607="","",INDEX(직원명부!$B$5:$B$24,MATCH(C607,직원명부!$A$5:$A$24,0))),"사번 확인")</f>
        <v/>
      </c>
      <c r="E607" s="34" t="n"/>
      <c r="F607" s="34" t="n"/>
      <c r="G607" s="28" t="n"/>
      <c r="H607" s="33">
        <f>IF(OR(E607="",F607=""),"",ROUND(MOD(F607-E607,1)*24-N(G607),2))</f>
        <v/>
      </c>
      <c r="I607" s="33">
        <f>IF(H607="","",ROUND(MAX(0,H607-8),2))</f>
        <v/>
      </c>
      <c r="J607" s="33">
        <f>IF(OR(E607="",F607=""),"",ROUND(IF(MOD(F607,1)&gt;=TIME(22,0,0),(MOD(F607,1)-TIME(22,0,0))*24,IF(MOD(F607,1)&lt;TIME(6,0,0),(MOD(F607,1)+1-TIME(22,0,0))*24,0)),2))</f>
        <v/>
      </c>
      <c r="K607" s="33">
        <f>IF(H607="","",ROUND(IF(L607="휴일근로",MIN(H607,8)*1.5+MAX(0,H607-8)*2,I607*1.5)+N(J607)*0.5,2))</f>
        <v/>
      </c>
      <c r="L607" s="18" t="n"/>
      <c r="M607" s="18" t="n"/>
      <c r="N607" s="22" t="n"/>
    </row>
    <row r="608">
      <c r="A608" s="19" t="n"/>
      <c r="B608" s="25">
        <f>IF(A608="","",CHOOSE(WEEKDAY(A608,2),"월","화","수","목","금","토","일"))</f>
        <v/>
      </c>
      <c r="C608" s="18" t="n"/>
      <c r="D608" s="25">
        <f>IFERROR(IF(C608="","",INDEX(직원명부!$B$5:$B$24,MATCH(C608,직원명부!$A$5:$A$24,0))),"사번 확인")</f>
        <v/>
      </c>
      <c r="E608" s="34" t="n"/>
      <c r="F608" s="34" t="n"/>
      <c r="G608" s="28" t="n"/>
      <c r="H608" s="33">
        <f>IF(OR(E608="",F608=""),"",ROUND(MOD(F608-E608,1)*24-N(G608),2))</f>
        <v/>
      </c>
      <c r="I608" s="33">
        <f>IF(H608="","",ROUND(MAX(0,H608-8),2))</f>
        <v/>
      </c>
      <c r="J608" s="33">
        <f>IF(OR(E608="",F608=""),"",ROUND(IF(MOD(F608,1)&gt;=TIME(22,0,0),(MOD(F608,1)-TIME(22,0,0))*24,IF(MOD(F608,1)&lt;TIME(6,0,0),(MOD(F608,1)+1-TIME(22,0,0))*24,0)),2))</f>
        <v/>
      </c>
      <c r="K608" s="33">
        <f>IF(H608="","",ROUND(IF(L608="휴일근로",MIN(H608,8)*1.5+MAX(0,H608-8)*2,I608*1.5)+N(J608)*0.5,2))</f>
        <v/>
      </c>
      <c r="L608" s="18" t="n"/>
      <c r="M608" s="18" t="n"/>
      <c r="N608" s="22" t="n"/>
    </row>
    <row r="609">
      <c r="A609" s="19" t="n"/>
      <c r="B609" s="25">
        <f>IF(A609="","",CHOOSE(WEEKDAY(A609,2),"월","화","수","목","금","토","일"))</f>
        <v/>
      </c>
      <c r="C609" s="18" t="n"/>
      <c r="D609" s="25">
        <f>IFERROR(IF(C609="","",INDEX(직원명부!$B$5:$B$24,MATCH(C609,직원명부!$A$5:$A$24,0))),"사번 확인")</f>
        <v/>
      </c>
      <c r="E609" s="34" t="n"/>
      <c r="F609" s="34" t="n"/>
      <c r="G609" s="28" t="n"/>
      <c r="H609" s="33">
        <f>IF(OR(E609="",F609=""),"",ROUND(MOD(F609-E609,1)*24-N(G609),2))</f>
        <v/>
      </c>
      <c r="I609" s="33">
        <f>IF(H609="","",ROUND(MAX(0,H609-8),2))</f>
        <v/>
      </c>
      <c r="J609" s="33">
        <f>IF(OR(E609="",F609=""),"",ROUND(IF(MOD(F609,1)&gt;=TIME(22,0,0),(MOD(F609,1)-TIME(22,0,0))*24,IF(MOD(F609,1)&lt;TIME(6,0,0),(MOD(F609,1)+1-TIME(22,0,0))*24,0)),2))</f>
        <v/>
      </c>
      <c r="K609" s="33">
        <f>IF(H609="","",ROUND(IF(L609="휴일근로",MIN(H609,8)*1.5+MAX(0,H609-8)*2,I609*1.5)+N(J609)*0.5,2))</f>
        <v/>
      </c>
      <c r="L609" s="18" t="n"/>
      <c r="M609" s="18" t="n"/>
      <c r="N609" s="22" t="n"/>
    </row>
    <row r="610">
      <c r="A610" s="19" t="n"/>
      <c r="B610" s="25">
        <f>IF(A610="","",CHOOSE(WEEKDAY(A610,2),"월","화","수","목","금","토","일"))</f>
        <v/>
      </c>
      <c r="C610" s="18" t="n"/>
      <c r="D610" s="25">
        <f>IFERROR(IF(C610="","",INDEX(직원명부!$B$5:$B$24,MATCH(C610,직원명부!$A$5:$A$24,0))),"사번 확인")</f>
        <v/>
      </c>
      <c r="E610" s="34" t="n"/>
      <c r="F610" s="34" t="n"/>
      <c r="G610" s="28" t="n"/>
      <c r="H610" s="33">
        <f>IF(OR(E610="",F610=""),"",ROUND(MOD(F610-E610,1)*24-N(G610),2))</f>
        <v/>
      </c>
      <c r="I610" s="33">
        <f>IF(H610="","",ROUND(MAX(0,H610-8),2))</f>
        <v/>
      </c>
      <c r="J610" s="33">
        <f>IF(OR(E610="",F610=""),"",ROUND(IF(MOD(F610,1)&gt;=TIME(22,0,0),(MOD(F610,1)-TIME(22,0,0))*24,IF(MOD(F610,1)&lt;TIME(6,0,0),(MOD(F610,1)+1-TIME(22,0,0))*24,0)),2))</f>
        <v/>
      </c>
      <c r="K610" s="33">
        <f>IF(H610="","",ROUND(IF(L610="휴일근로",MIN(H610,8)*1.5+MAX(0,H610-8)*2,I610*1.5)+N(J610)*0.5,2))</f>
        <v/>
      </c>
      <c r="L610" s="18" t="n"/>
      <c r="M610" s="18" t="n"/>
      <c r="N610" s="22" t="n"/>
    </row>
    <row r="611">
      <c r="A611" s="19" t="n"/>
      <c r="B611" s="25">
        <f>IF(A611="","",CHOOSE(WEEKDAY(A611,2),"월","화","수","목","금","토","일"))</f>
        <v/>
      </c>
      <c r="C611" s="18" t="n"/>
      <c r="D611" s="25">
        <f>IFERROR(IF(C611="","",INDEX(직원명부!$B$5:$B$24,MATCH(C611,직원명부!$A$5:$A$24,0))),"사번 확인")</f>
        <v/>
      </c>
      <c r="E611" s="34" t="n"/>
      <c r="F611" s="34" t="n"/>
      <c r="G611" s="28" t="n"/>
      <c r="H611" s="33">
        <f>IF(OR(E611="",F611=""),"",ROUND(MOD(F611-E611,1)*24-N(G611),2))</f>
        <v/>
      </c>
      <c r="I611" s="33">
        <f>IF(H611="","",ROUND(MAX(0,H611-8),2))</f>
        <v/>
      </c>
      <c r="J611" s="33">
        <f>IF(OR(E611="",F611=""),"",ROUND(IF(MOD(F611,1)&gt;=TIME(22,0,0),(MOD(F611,1)-TIME(22,0,0))*24,IF(MOD(F611,1)&lt;TIME(6,0,0),(MOD(F611,1)+1-TIME(22,0,0))*24,0)),2))</f>
        <v/>
      </c>
      <c r="K611" s="33">
        <f>IF(H611="","",ROUND(IF(L611="휴일근로",MIN(H611,8)*1.5+MAX(0,H611-8)*2,I611*1.5)+N(J611)*0.5,2))</f>
        <v/>
      </c>
      <c r="L611" s="18" t="n"/>
      <c r="M611" s="18" t="n"/>
      <c r="N611" s="22" t="n"/>
    </row>
    <row r="612">
      <c r="A612" s="19" t="n"/>
      <c r="B612" s="25">
        <f>IF(A612="","",CHOOSE(WEEKDAY(A612,2),"월","화","수","목","금","토","일"))</f>
        <v/>
      </c>
      <c r="C612" s="18" t="n"/>
      <c r="D612" s="25">
        <f>IFERROR(IF(C612="","",INDEX(직원명부!$B$5:$B$24,MATCH(C612,직원명부!$A$5:$A$24,0))),"사번 확인")</f>
        <v/>
      </c>
      <c r="E612" s="34" t="n"/>
      <c r="F612" s="34" t="n"/>
      <c r="G612" s="28" t="n"/>
      <c r="H612" s="33">
        <f>IF(OR(E612="",F612=""),"",ROUND(MOD(F612-E612,1)*24-N(G612),2))</f>
        <v/>
      </c>
      <c r="I612" s="33">
        <f>IF(H612="","",ROUND(MAX(0,H612-8),2))</f>
        <v/>
      </c>
      <c r="J612" s="33">
        <f>IF(OR(E612="",F612=""),"",ROUND(IF(MOD(F612,1)&gt;=TIME(22,0,0),(MOD(F612,1)-TIME(22,0,0))*24,IF(MOD(F612,1)&lt;TIME(6,0,0),(MOD(F612,1)+1-TIME(22,0,0))*24,0)),2))</f>
        <v/>
      </c>
      <c r="K612" s="33">
        <f>IF(H612="","",ROUND(IF(L612="휴일근로",MIN(H612,8)*1.5+MAX(0,H612-8)*2,I612*1.5)+N(J612)*0.5,2))</f>
        <v/>
      </c>
      <c r="L612" s="18" t="n"/>
      <c r="M612" s="18" t="n"/>
      <c r="N612" s="22" t="n"/>
    </row>
    <row r="613">
      <c r="A613" s="19" t="n"/>
      <c r="B613" s="25">
        <f>IF(A613="","",CHOOSE(WEEKDAY(A613,2),"월","화","수","목","금","토","일"))</f>
        <v/>
      </c>
      <c r="C613" s="18" t="n"/>
      <c r="D613" s="25">
        <f>IFERROR(IF(C613="","",INDEX(직원명부!$B$5:$B$24,MATCH(C613,직원명부!$A$5:$A$24,0))),"사번 확인")</f>
        <v/>
      </c>
      <c r="E613" s="34" t="n"/>
      <c r="F613" s="34" t="n"/>
      <c r="G613" s="28" t="n"/>
      <c r="H613" s="33">
        <f>IF(OR(E613="",F613=""),"",ROUND(MOD(F613-E613,1)*24-N(G613),2))</f>
        <v/>
      </c>
      <c r="I613" s="33">
        <f>IF(H613="","",ROUND(MAX(0,H613-8),2))</f>
        <v/>
      </c>
      <c r="J613" s="33">
        <f>IF(OR(E613="",F613=""),"",ROUND(IF(MOD(F613,1)&gt;=TIME(22,0,0),(MOD(F613,1)-TIME(22,0,0))*24,IF(MOD(F613,1)&lt;TIME(6,0,0),(MOD(F613,1)+1-TIME(22,0,0))*24,0)),2))</f>
        <v/>
      </c>
      <c r="K613" s="33">
        <f>IF(H613="","",ROUND(IF(L613="휴일근로",MIN(H613,8)*1.5+MAX(0,H613-8)*2,I613*1.5)+N(J613)*0.5,2))</f>
        <v/>
      </c>
      <c r="L613" s="18" t="n"/>
      <c r="M613" s="18" t="n"/>
      <c r="N613" s="22" t="n"/>
    </row>
    <row r="614">
      <c r="A614" s="19" t="n"/>
      <c r="B614" s="25">
        <f>IF(A614="","",CHOOSE(WEEKDAY(A614,2),"월","화","수","목","금","토","일"))</f>
        <v/>
      </c>
      <c r="C614" s="18" t="n"/>
      <c r="D614" s="25">
        <f>IFERROR(IF(C614="","",INDEX(직원명부!$B$5:$B$24,MATCH(C614,직원명부!$A$5:$A$24,0))),"사번 확인")</f>
        <v/>
      </c>
      <c r="E614" s="34" t="n"/>
      <c r="F614" s="34" t="n"/>
      <c r="G614" s="28" t="n"/>
      <c r="H614" s="33">
        <f>IF(OR(E614="",F614=""),"",ROUND(MOD(F614-E614,1)*24-N(G614),2))</f>
        <v/>
      </c>
      <c r="I614" s="33">
        <f>IF(H614="","",ROUND(MAX(0,H614-8),2))</f>
        <v/>
      </c>
      <c r="J614" s="33">
        <f>IF(OR(E614="",F614=""),"",ROUND(IF(MOD(F614,1)&gt;=TIME(22,0,0),(MOD(F614,1)-TIME(22,0,0))*24,IF(MOD(F614,1)&lt;TIME(6,0,0),(MOD(F614,1)+1-TIME(22,0,0))*24,0)),2))</f>
        <v/>
      </c>
      <c r="K614" s="33">
        <f>IF(H614="","",ROUND(IF(L614="휴일근로",MIN(H614,8)*1.5+MAX(0,H614-8)*2,I614*1.5)+N(J614)*0.5,2))</f>
        <v/>
      </c>
      <c r="L614" s="18" t="n"/>
      <c r="M614" s="18" t="n"/>
      <c r="N614" s="22" t="n"/>
    </row>
    <row r="615">
      <c r="A615" s="19" t="n"/>
      <c r="B615" s="25">
        <f>IF(A615="","",CHOOSE(WEEKDAY(A615,2),"월","화","수","목","금","토","일"))</f>
        <v/>
      </c>
      <c r="C615" s="18" t="n"/>
      <c r="D615" s="25">
        <f>IFERROR(IF(C615="","",INDEX(직원명부!$B$5:$B$24,MATCH(C615,직원명부!$A$5:$A$24,0))),"사번 확인")</f>
        <v/>
      </c>
      <c r="E615" s="34" t="n"/>
      <c r="F615" s="34" t="n"/>
      <c r="G615" s="28" t="n"/>
      <c r="H615" s="33">
        <f>IF(OR(E615="",F615=""),"",ROUND(MOD(F615-E615,1)*24-N(G615),2))</f>
        <v/>
      </c>
      <c r="I615" s="33">
        <f>IF(H615="","",ROUND(MAX(0,H615-8),2))</f>
        <v/>
      </c>
      <c r="J615" s="33">
        <f>IF(OR(E615="",F615=""),"",ROUND(IF(MOD(F615,1)&gt;=TIME(22,0,0),(MOD(F615,1)-TIME(22,0,0))*24,IF(MOD(F615,1)&lt;TIME(6,0,0),(MOD(F615,1)+1-TIME(22,0,0))*24,0)),2))</f>
        <v/>
      </c>
      <c r="K615" s="33">
        <f>IF(H615="","",ROUND(IF(L615="휴일근로",MIN(H615,8)*1.5+MAX(0,H615-8)*2,I615*1.5)+N(J615)*0.5,2))</f>
        <v/>
      </c>
      <c r="L615" s="18" t="n"/>
      <c r="M615" s="18" t="n"/>
      <c r="N615" s="22" t="n"/>
    </row>
    <row r="616">
      <c r="A616" s="19" t="n"/>
      <c r="B616" s="25">
        <f>IF(A616="","",CHOOSE(WEEKDAY(A616,2),"월","화","수","목","금","토","일"))</f>
        <v/>
      </c>
      <c r="C616" s="18" t="n"/>
      <c r="D616" s="25">
        <f>IFERROR(IF(C616="","",INDEX(직원명부!$B$5:$B$24,MATCH(C616,직원명부!$A$5:$A$24,0))),"사번 확인")</f>
        <v/>
      </c>
      <c r="E616" s="34" t="n"/>
      <c r="F616" s="34" t="n"/>
      <c r="G616" s="28" t="n"/>
      <c r="H616" s="33">
        <f>IF(OR(E616="",F616=""),"",ROUND(MOD(F616-E616,1)*24-N(G616),2))</f>
        <v/>
      </c>
      <c r="I616" s="33">
        <f>IF(H616="","",ROUND(MAX(0,H616-8),2))</f>
        <v/>
      </c>
      <c r="J616" s="33">
        <f>IF(OR(E616="",F616=""),"",ROUND(IF(MOD(F616,1)&gt;=TIME(22,0,0),(MOD(F616,1)-TIME(22,0,0))*24,IF(MOD(F616,1)&lt;TIME(6,0,0),(MOD(F616,1)+1-TIME(22,0,0))*24,0)),2))</f>
        <v/>
      </c>
      <c r="K616" s="33">
        <f>IF(H616="","",ROUND(IF(L616="휴일근로",MIN(H616,8)*1.5+MAX(0,H616-8)*2,I616*1.5)+N(J616)*0.5,2))</f>
        <v/>
      </c>
      <c r="L616" s="18" t="n"/>
      <c r="M616" s="18" t="n"/>
      <c r="N616" s="22" t="n"/>
    </row>
    <row r="617">
      <c r="A617" s="19" t="n"/>
      <c r="B617" s="25">
        <f>IF(A617="","",CHOOSE(WEEKDAY(A617,2),"월","화","수","목","금","토","일"))</f>
        <v/>
      </c>
      <c r="C617" s="18" t="n"/>
      <c r="D617" s="25">
        <f>IFERROR(IF(C617="","",INDEX(직원명부!$B$5:$B$24,MATCH(C617,직원명부!$A$5:$A$24,0))),"사번 확인")</f>
        <v/>
      </c>
      <c r="E617" s="34" t="n"/>
      <c r="F617" s="34" t="n"/>
      <c r="G617" s="28" t="n"/>
      <c r="H617" s="33">
        <f>IF(OR(E617="",F617=""),"",ROUND(MOD(F617-E617,1)*24-N(G617),2))</f>
        <v/>
      </c>
      <c r="I617" s="33">
        <f>IF(H617="","",ROUND(MAX(0,H617-8),2))</f>
        <v/>
      </c>
      <c r="J617" s="33">
        <f>IF(OR(E617="",F617=""),"",ROUND(IF(MOD(F617,1)&gt;=TIME(22,0,0),(MOD(F617,1)-TIME(22,0,0))*24,IF(MOD(F617,1)&lt;TIME(6,0,0),(MOD(F617,1)+1-TIME(22,0,0))*24,0)),2))</f>
        <v/>
      </c>
      <c r="K617" s="33">
        <f>IF(H617="","",ROUND(IF(L617="휴일근로",MIN(H617,8)*1.5+MAX(0,H617-8)*2,I617*1.5)+N(J617)*0.5,2))</f>
        <v/>
      </c>
      <c r="L617" s="18" t="n"/>
      <c r="M617" s="18" t="n"/>
      <c r="N617" s="22" t="n"/>
    </row>
    <row r="618">
      <c r="A618" s="19" t="n"/>
      <c r="B618" s="25">
        <f>IF(A618="","",CHOOSE(WEEKDAY(A618,2),"월","화","수","목","금","토","일"))</f>
        <v/>
      </c>
      <c r="C618" s="18" t="n"/>
      <c r="D618" s="25">
        <f>IFERROR(IF(C618="","",INDEX(직원명부!$B$5:$B$24,MATCH(C618,직원명부!$A$5:$A$24,0))),"사번 확인")</f>
        <v/>
      </c>
      <c r="E618" s="34" t="n"/>
      <c r="F618" s="34" t="n"/>
      <c r="G618" s="28" t="n"/>
      <c r="H618" s="33">
        <f>IF(OR(E618="",F618=""),"",ROUND(MOD(F618-E618,1)*24-N(G618),2))</f>
        <v/>
      </c>
      <c r="I618" s="33">
        <f>IF(H618="","",ROUND(MAX(0,H618-8),2))</f>
        <v/>
      </c>
      <c r="J618" s="33">
        <f>IF(OR(E618="",F618=""),"",ROUND(IF(MOD(F618,1)&gt;=TIME(22,0,0),(MOD(F618,1)-TIME(22,0,0))*24,IF(MOD(F618,1)&lt;TIME(6,0,0),(MOD(F618,1)+1-TIME(22,0,0))*24,0)),2))</f>
        <v/>
      </c>
      <c r="K618" s="33">
        <f>IF(H618="","",ROUND(IF(L618="휴일근로",MIN(H618,8)*1.5+MAX(0,H618-8)*2,I618*1.5)+N(J618)*0.5,2))</f>
        <v/>
      </c>
      <c r="L618" s="18" t="n"/>
      <c r="M618" s="18" t="n"/>
      <c r="N618" s="22" t="n"/>
    </row>
    <row r="619">
      <c r="A619" s="19" t="n"/>
      <c r="B619" s="25">
        <f>IF(A619="","",CHOOSE(WEEKDAY(A619,2),"월","화","수","목","금","토","일"))</f>
        <v/>
      </c>
      <c r="C619" s="18" t="n"/>
      <c r="D619" s="25">
        <f>IFERROR(IF(C619="","",INDEX(직원명부!$B$5:$B$24,MATCH(C619,직원명부!$A$5:$A$24,0))),"사번 확인")</f>
        <v/>
      </c>
      <c r="E619" s="34" t="n"/>
      <c r="F619" s="34" t="n"/>
      <c r="G619" s="28" t="n"/>
      <c r="H619" s="33">
        <f>IF(OR(E619="",F619=""),"",ROUND(MOD(F619-E619,1)*24-N(G619),2))</f>
        <v/>
      </c>
      <c r="I619" s="33">
        <f>IF(H619="","",ROUND(MAX(0,H619-8),2))</f>
        <v/>
      </c>
      <c r="J619" s="33">
        <f>IF(OR(E619="",F619=""),"",ROUND(IF(MOD(F619,1)&gt;=TIME(22,0,0),(MOD(F619,1)-TIME(22,0,0))*24,IF(MOD(F619,1)&lt;TIME(6,0,0),(MOD(F619,1)+1-TIME(22,0,0))*24,0)),2))</f>
        <v/>
      </c>
      <c r="K619" s="33">
        <f>IF(H619="","",ROUND(IF(L619="휴일근로",MIN(H619,8)*1.5+MAX(0,H619-8)*2,I619*1.5)+N(J619)*0.5,2))</f>
        <v/>
      </c>
      <c r="L619" s="18" t="n"/>
      <c r="M619" s="18" t="n"/>
      <c r="N619" s="22" t="n"/>
    </row>
    <row r="620">
      <c r="A620" s="19" t="n"/>
      <c r="B620" s="25">
        <f>IF(A620="","",CHOOSE(WEEKDAY(A620,2),"월","화","수","목","금","토","일"))</f>
        <v/>
      </c>
      <c r="C620" s="18" t="n"/>
      <c r="D620" s="25">
        <f>IFERROR(IF(C620="","",INDEX(직원명부!$B$5:$B$24,MATCH(C620,직원명부!$A$5:$A$24,0))),"사번 확인")</f>
        <v/>
      </c>
      <c r="E620" s="34" t="n"/>
      <c r="F620" s="34" t="n"/>
      <c r="G620" s="28" t="n"/>
      <c r="H620" s="33">
        <f>IF(OR(E620="",F620=""),"",ROUND(MOD(F620-E620,1)*24-N(G620),2))</f>
        <v/>
      </c>
      <c r="I620" s="33">
        <f>IF(H620="","",ROUND(MAX(0,H620-8),2))</f>
        <v/>
      </c>
      <c r="J620" s="33">
        <f>IF(OR(E620="",F620=""),"",ROUND(IF(MOD(F620,1)&gt;=TIME(22,0,0),(MOD(F620,1)-TIME(22,0,0))*24,IF(MOD(F620,1)&lt;TIME(6,0,0),(MOD(F620,1)+1-TIME(22,0,0))*24,0)),2))</f>
        <v/>
      </c>
      <c r="K620" s="33">
        <f>IF(H620="","",ROUND(IF(L620="휴일근로",MIN(H620,8)*1.5+MAX(0,H620-8)*2,I620*1.5)+N(J620)*0.5,2))</f>
        <v/>
      </c>
      <c r="L620" s="18" t="n"/>
      <c r="M620" s="18" t="n"/>
      <c r="N620" s="22" t="n"/>
    </row>
    <row r="621">
      <c r="A621" s="19" t="n"/>
      <c r="B621" s="25">
        <f>IF(A621="","",CHOOSE(WEEKDAY(A621,2),"월","화","수","목","금","토","일"))</f>
        <v/>
      </c>
      <c r="C621" s="18" t="n"/>
      <c r="D621" s="25">
        <f>IFERROR(IF(C621="","",INDEX(직원명부!$B$5:$B$24,MATCH(C621,직원명부!$A$5:$A$24,0))),"사번 확인")</f>
        <v/>
      </c>
      <c r="E621" s="34" t="n"/>
      <c r="F621" s="34" t="n"/>
      <c r="G621" s="28" t="n"/>
      <c r="H621" s="33">
        <f>IF(OR(E621="",F621=""),"",ROUND(MOD(F621-E621,1)*24-N(G621),2))</f>
        <v/>
      </c>
      <c r="I621" s="33">
        <f>IF(H621="","",ROUND(MAX(0,H621-8),2))</f>
        <v/>
      </c>
      <c r="J621" s="33">
        <f>IF(OR(E621="",F621=""),"",ROUND(IF(MOD(F621,1)&gt;=TIME(22,0,0),(MOD(F621,1)-TIME(22,0,0))*24,IF(MOD(F621,1)&lt;TIME(6,0,0),(MOD(F621,1)+1-TIME(22,0,0))*24,0)),2))</f>
        <v/>
      </c>
      <c r="K621" s="33">
        <f>IF(H621="","",ROUND(IF(L621="휴일근로",MIN(H621,8)*1.5+MAX(0,H621-8)*2,I621*1.5)+N(J621)*0.5,2))</f>
        <v/>
      </c>
      <c r="L621" s="18" t="n"/>
      <c r="M621" s="18" t="n"/>
      <c r="N621" s="22" t="n"/>
    </row>
    <row r="622">
      <c r="A622" s="19" t="n"/>
      <c r="B622" s="25">
        <f>IF(A622="","",CHOOSE(WEEKDAY(A622,2),"월","화","수","목","금","토","일"))</f>
        <v/>
      </c>
      <c r="C622" s="18" t="n"/>
      <c r="D622" s="25">
        <f>IFERROR(IF(C622="","",INDEX(직원명부!$B$5:$B$24,MATCH(C622,직원명부!$A$5:$A$24,0))),"사번 확인")</f>
        <v/>
      </c>
      <c r="E622" s="34" t="n"/>
      <c r="F622" s="34" t="n"/>
      <c r="G622" s="28" t="n"/>
      <c r="H622" s="33">
        <f>IF(OR(E622="",F622=""),"",ROUND(MOD(F622-E622,1)*24-N(G622),2))</f>
        <v/>
      </c>
      <c r="I622" s="33">
        <f>IF(H622="","",ROUND(MAX(0,H622-8),2))</f>
        <v/>
      </c>
      <c r="J622" s="33">
        <f>IF(OR(E622="",F622=""),"",ROUND(IF(MOD(F622,1)&gt;=TIME(22,0,0),(MOD(F622,1)-TIME(22,0,0))*24,IF(MOD(F622,1)&lt;TIME(6,0,0),(MOD(F622,1)+1-TIME(22,0,0))*24,0)),2))</f>
        <v/>
      </c>
      <c r="K622" s="33">
        <f>IF(H622="","",ROUND(IF(L622="휴일근로",MIN(H622,8)*1.5+MAX(0,H622-8)*2,I622*1.5)+N(J622)*0.5,2))</f>
        <v/>
      </c>
      <c r="L622" s="18" t="n"/>
      <c r="M622" s="18" t="n"/>
      <c r="N622" s="22" t="n"/>
    </row>
    <row r="623">
      <c r="A623" s="19" t="n"/>
      <c r="B623" s="25">
        <f>IF(A623="","",CHOOSE(WEEKDAY(A623,2),"월","화","수","목","금","토","일"))</f>
        <v/>
      </c>
      <c r="C623" s="18" t="n"/>
      <c r="D623" s="25">
        <f>IFERROR(IF(C623="","",INDEX(직원명부!$B$5:$B$24,MATCH(C623,직원명부!$A$5:$A$24,0))),"사번 확인")</f>
        <v/>
      </c>
      <c r="E623" s="34" t="n"/>
      <c r="F623" s="34" t="n"/>
      <c r="G623" s="28" t="n"/>
      <c r="H623" s="33">
        <f>IF(OR(E623="",F623=""),"",ROUND(MOD(F623-E623,1)*24-N(G623),2))</f>
        <v/>
      </c>
      <c r="I623" s="33">
        <f>IF(H623="","",ROUND(MAX(0,H623-8),2))</f>
        <v/>
      </c>
      <c r="J623" s="33">
        <f>IF(OR(E623="",F623=""),"",ROUND(IF(MOD(F623,1)&gt;=TIME(22,0,0),(MOD(F623,1)-TIME(22,0,0))*24,IF(MOD(F623,1)&lt;TIME(6,0,0),(MOD(F623,1)+1-TIME(22,0,0))*24,0)),2))</f>
        <v/>
      </c>
      <c r="K623" s="33">
        <f>IF(H623="","",ROUND(IF(L623="휴일근로",MIN(H623,8)*1.5+MAX(0,H623-8)*2,I623*1.5)+N(J623)*0.5,2))</f>
        <v/>
      </c>
      <c r="L623" s="18" t="n"/>
      <c r="M623" s="18" t="n"/>
      <c r="N623" s="22" t="n"/>
    </row>
    <row r="624">
      <c r="A624" s="19" t="n"/>
      <c r="B624" s="25">
        <f>IF(A624="","",CHOOSE(WEEKDAY(A624,2),"월","화","수","목","금","토","일"))</f>
        <v/>
      </c>
      <c r="C624" s="18" t="n"/>
      <c r="D624" s="25">
        <f>IFERROR(IF(C624="","",INDEX(직원명부!$B$5:$B$24,MATCH(C624,직원명부!$A$5:$A$24,0))),"사번 확인")</f>
        <v/>
      </c>
      <c r="E624" s="34" t="n"/>
      <c r="F624" s="34" t="n"/>
      <c r="G624" s="28" t="n"/>
      <c r="H624" s="33">
        <f>IF(OR(E624="",F624=""),"",ROUND(MOD(F624-E624,1)*24-N(G624),2))</f>
        <v/>
      </c>
      <c r="I624" s="33">
        <f>IF(H624="","",ROUND(MAX(0,H624-8),2))</f>
        <v/>
      </c>
      <c r="J624" s="33">
        <f>IF(OR(E624="",F624=""),"",ROUND(IF(MOD(F624,1)&gt;=TIME(22,0,0),(MOD(F624,1)-TIME(22,0,0))*24,IF(MOD(F624,1)&lt;TIME(6,0,0),(MOD(F624,1)+1-TIME(22,0,0))*24,0)),2))</f>
        <v/>
      </c>
      <c r="K624" s="33">
        <f>IF(H624="","",ROUND(IF(L624="휴일근로",MIN(H624,8)*1.5+MAX(0,H624-8)*2,I624*1.5)+N(J624)*0.5,2))</f>
        <v/>
      </c>
      <c r="L624" s="18" t="n"/>
      <c r="M624" s="18" t="n"/>
      <c r="N624" s="22" t="n"/>
    </row>
    <row r="625">
      <c r="A625" s="19" t="n"/>
      <c r="B625" s="25">
        <f>IF(A625="","",CHOOSE(WEEKDAY(A625,2),"월","화","수","목","금","토","일"))</f>
        <v/>
      </c>
      <c r="C625" s="18" t="n"/>
      <c r="D625" s="25">
        <f>IFERROR(IF(C625="","",INDEX(직원명부!$B$5:$B$24,MATCH(C625,직원명부!$A$5:$A$24,0))),"사번 확인")</f>
        <v/>
      </c>
      <c r="E625" s="34" t="n"/>
      <c r="F625" s="34" t="n"/>
      <c r="G625" s="28" t="n"/>
      <c r="H625" s="33">
        <f>IF(OR(E625="",F625=""),"",ROUND(MOD(F625-E625,1)*24-N(G625),2))</f>
        <v/>
      </c>
      <c r="I625" s="33">
        <f>IF(H625="","",ROUND(MAX(0,H625-8),2))</f>
        <v/>
      </c>
      <c r="J625" s="33">
        <f>IF(OR(E625="",F625=""),"",ROUND(IF(MOD(F625,1)&gt;=TIME(22,0,0),(MOD(F625,1)-TIME(22,0,0))*24,IF(MOD(F625,1)&lt;TIME(6,0,0),(MOD(F625,1)+1-TIME(22,0,0))*24,0)),2))</f>
        <v/>
      </c>
      <c r="K625" s="33">
        <f>IF(H625="","",ROUND(IF(L625="휴일근로",MIN(H625,8)*1.5+MAX(0,H625-8)*2,I625*1.5)+N(J625)*0.5,2))</f>
        <v/>
      </c>
      <c r="L625" s="18" t="n"/>
      <c r="M625" s="18" t="n"/>
      <c r="N625" s="22" t="n"/>
    </row>
    <row r="626">
      <c r="A626" s="19" t="n"/>
      <c r="B626" s="25">
        <f>IF(A626="","",CHOOSE(WEEKDAY(A626,2),"월","화","수","목","금","토","일"))</f>
        <v/>
      </c>
      <c r="C626" s="18" t="n"/>
      <c r="D626" s="25">
        <f>IFERROR(IF(C626="","",INDEX(직원명부!$B$5:$B$24,MATCH(C626,직원명부!$A$5:$A$24,0))),"사번 확인")</f>
        <v/>
      </c>
      <c r="E626" s="34" t="n"/>
      <c r="F626" s="34" t="n"/>
      <c r="G626" s="28" t="n"/>
      <c r="H626" s="33">
        <f>IF(OR(E626="",F626=""),"",ROUND(MOD(F626-E626,1)*24-N(G626),2))</f>
        <v/>
      </c>
      <c r="I626" s="33">
        <f>IF(H626="","",ROUND(MAX(0,H626-8),2))</f>
        <v/>
      </c>
      <c r="J626" s="33">
        <f>IF(OR(E626="",F626=""),"",ROUND(IF(MOD(F626,1)&gt;=TIME(22,0,0),(MOD(F626,1)-TIME(22,0,0))*24,IF(MOD(F626,1)&lt;TIME(6,0,0),(MOD(F626,1)+1-TIME(22,0,0))*24,0)),2))</f>
        <v/>
      </c>
      <c r="K626" s="33">
        <f>IF(H626="","",ROUND(IF(L626="휴일근로",MIN(H626,8)*1.5+MAX(0,H626-8)*2,I626*1.5)+N(J626)*0.5,2))</f>
        <v/>
      </c>
      <c r="L626" s="18" t="n"/>
      <c r="M626" s="18" t="n"/>
      <c r="N626" s="22" t="n"/>
    </row>
    <row r="627">
      <c r="A627" s="19" t="n"/>
      <c r="B627" s="25">
        <f>IF(A627="","",CHOOSE(WEEKDAY(A627,2),"월","화","수","목","금","토","일"))</f>
        <v/>
      </c>
      <c r="C627" s="18" t="n"/>
      <c r="D627" s="25">
        <f>IFERROR(IF(C627="","",INDEX(직원명부!$B$5:$B$24,MATCH(C627,직원명부!$A$5:$A$24,0))),"사번 확인")</f>
        <v/>
      </c>
      <c r="E627" s="34" t="n"/>
      <c r="F627" s="34" t="n"/>
      <c r="G627" s="28" t="n"/>
      <c r="H627" s="33">
        <f>IF(OR(E627="",F627=""),"",ROUND(MOD(F627-E627,1)*24-N(G627),2))</f>
        <v/>
      </c>
      <c r="I627" s="33">
        <f>IF(H627="","",ROUND(MAX(0,H627-8),2))</f>
        <v/>
      </c>
      <c r="J627" s="33">
        <f>IF(OR(E627="",F627=""),"",ROUND(IF(MOD(F627,1)&gt;=TIME(22,0,0),(MOD(F627,1)-TIME(22,0,0))*24,IF(MOD(F627,1)&lt;TIME(6,0,0),(MOD(F627,1)+1-TIME(22,0,0))*24,0)),2))</f>
        <v/>
      </c>
      <c r="K627" s="33">
        <f>IF(H627="","",ROUND(IF(L627="휴일근로",MIN(H627,8)*1.5+MAX(0,H627-8)*2,I627*1.5)+N(J627)*0.5,2))</f>
        <v/>
      </c>
      <c r="L627" s="18" t="n"/>
      <c r="M627" s="18" t="n"/>
      <c r="N627" s="22" t="n"/>
    </row>
    <row r="628">
      <c r="A628" s="19" t="n"/>
      <c r="B628" s="25">
        <f>IF(A628="","",CHOOSE(WEEKDAY(A628,2),"월","화","수","목","금","토","일"))</f>
        <v/>
      </c>
      <c r="C628" s="18" t="n"/>
      <c r="D628" s="25">
        <f>IFERROR(IF(C628="","",INDEX(직원명부!$B$5:$B$24,MATCH(C628,직원명부!$A$5:$A$24,0))),"사번 확인")</f>
        <v/>
      </c>
      <c r="E628" s="34" t="n"/>
      <c r="F628" s="34" t="n"/>
      <c r="G628" s="28" t="n"/>
      <c r="H628" s="33">
        <f>IF(OR(E628="",F628=""),"",ROUND(MOD(F628-E628,1)*24-N(G628),2))</f>
        <v/>
      </c>
      <c r="I628" s="33">
        <f>IF(H628="","",ROUND(MAX(0,H628-8),2))</f>
        <v/>
      </c>
      <c r="J628" s="33">
        <f>IF(OR(E628="",F628=""),"",ROUND(IF(MOD(F628,1)&gt;=TIME(22,0,0),(MOD(F628,1)-TIME(22,0,0))*24,IF(MOD(F628,1)&lt;TIME(6,0,0),(MOD(F628,1)+1-TIME(22,0,0))*24,0)),2))</f>
        <v/>
      </c>
      <c r="K628" s="33">
        <f>IF(H628="","",ROUND(IF(L628="휴일근로",MIN(H628,8)*1.5+MAX(0,H628-8)*2,I628*1.5)+N(J628)*0.5,2))</f>
        <v/>
      </c>
      <c r="L628" s="18" t="n"/>
      <c r="M628" s="18" t="n"/>
      <c r="N628" s="22" t="n"/>
    </row>
    <row r="629">
      <c r="A629" s="19" t="n"/>
      <c r="B629" s="25">
        <f>IF(A629="","",CHOOSE(WEEKDAY(A629,2),"월","화","수","목","금","토","일"))</f>
        <v/>
      </c>
      <c r="C629" s="18" t="n"/>
      <c r="D629" s="25">
        <f>IFERROR(IF(C629="","",INDEX(직원명부!$B$5:$B$24,MATCH(C629,직원명부!$A$5:$A$24,0))),"사번 확인")</f>
        <v/>
      </c>
      <c r="E629" s="34" t="n"/>
      <c r="F629" s="34" t="n"/>
      <c r="G629" s="28" t="n"/>
      <c r="H629" s="33">
        <f>IF(OR(E629="",F629=""),"",ROUND(MOD(F629-E629,1)*24-N(G629),2))</f>
        <v/>
      </c>
      <c r="I629" s="33">
        <f>IF(H629="","",ROUND(MAX(0,H629-8),2))</f>
        <v/>
      </c>
      <c r="J629" s="33">
        <f>IF(OR(E629="",F629=""),"",ROUND(IF(MOD(F629,1)&gt;=TIME(22,0,0),(MOD(F629,1)-TIME(22,0,0))*24,IF(MOD(F629,1)&lt;TIME(6,0,0),(MOD(F629,1)+1-TIME(22,0,0))*24,0)),2))</f>
        <v/>
      </c>
      <c r="K629" s="33">
        <f>IF(H629="","",ROUND(IF(L629="휴일근로",MIN(H629,8)*1.5+MAX(0,H629-8)*2,I629*1.5)+N(J629)*0.5,2))</f>
        <v/>
      </c>
      <c r="L629" s="18" t="n"/>
      <c r="M629" s="18" t="n"/>
      <c r="N629" s="22" t="n"/>
    </row>
    <row r="630">
      <c r="A630" s="19" t="n"/>
      <c r="B630" s="25">
        <f>IF(A630="","",CHOOSE(WEEKDAY(A630,2),"월","화","수","목","금","토","일"))</f>
        <v/>
      </c>
      <c r="C630" s="18" t="n"/>
      <c r="D630" s="25">
        <f>IFERROR(IF(C630="","",INDEX(직원명부!$B$5:$B$24,MATCH(C630,직원명부!$A$5:$A$24,0))),"사번 확인")</f>
        <v/>
      </c>
      <c r="E630" s="34" t="n"/>
      <c r="F630" s="34" t="n"/>
      <c r="G630" s="28" t="n"/>
      <c r="H630" s="33">
        <f>IF(OR(E630="",F630=""),"",ROUND(MOD(F630-E630,1)*24-N(G630),2))</f>
        <v/>
      </c>
      <c r="I630" s="33">
        <f>IF(H630="","",ROUND(MAX(0,H630-8),2))</f>
        <v/>
      </c>
      <c r="J630" s="33">
        <f>IF(OR(E630="",F630=""),"",ROUND(IF(MOD(F630,1)&gt;=TIME(22,0,0),(MOD(F630,1)-TIME(22,0,0))*24,IF(MOD(F630,1)&lt;TIME(6,0,0),(MOD(F630,1)+1-TIME(22,0,0))*24,0)),2))</f>
        <v/>
      </c>
      <c r="K630" s="33">
        <f>IF(H630="","",ROUND(IF(L630="휴일근로",MIN(H630,8)*1.5+MAX(0,H630-8)*2,I630*1.5)+N(J630)*0.5,2))</f>
        <v/>
      </c>
      <c r="L630" s="18" t="n"/>
      <c r="M630" s="18" t="n"/>
      <c r="N630" s="22" t="n"/>
    </row>
    <row r="631">
      <c r="A631" s="19" t="n"/>
      <c r="B631" s="25">
        <f>IF(A631="","",CHOOSE(WEEKDAY(A631,2),"월","화","수","목","금","토","일"))</f>
        <v/>
      </c>
      <c r="C631" s="18" t="n"/>
      <c r="D631" s="25">
        <f>IFERROR(IF(C631="","",INDEX(직원명부!$B$5:$B$24,MATCH(C631,직원명부!$A$5:$A$24,0))),"사번 확인")</f>
        <v/>
      </c>
      <c r="E631" s="34" t="n"/>
      <c r="F631" s="34" t="n"/>
      <c r="G631" s="28" t="n"/>
      <c r="H631" s="33">
        <f>IF(OR(E631="",F631=""),"",ROUND(MOD(F631-E631,1)*24-N(G631),2))</f>
        <v/>
      </c>
      <c r="I631" s="33">
        <f>IF(H631="","",ROUND(MAX(0,H631-8),2))</f>
        <v/>
      </c>
      <c r="J631" s="33">
        <f>IF(OR(E631="",F631=""),"",ROUND(IF(MOD(F631,1)&gt;=TIME(22,0,0),(MOD(F631,1)-TIME(22,0,0))*24,IF(MOD(F631,1)&lt;TIME(6,0,0),(MOD(F631,1)+1-TIME(22,0,0))*24,0)),2))</f>
        <v/>
      </c>
      <c r="K631" s="33">
        <f>IF(H631="","",ROUND(IF(L631="휴일근로",MIN(H631,8)*1.5+MAX(0,H631-8)*2,I631*1.5)+N(J631)*0.5,2))</f>
        <v/>
      </c>
      <c r="L631" s="18" t="n"/>
      <c r="M631" s="18" t="n"/>
      <c r="N631" s="22" t="n"/>
    </row>
    <row r="632">
      <c r="A632" s="19" t="n"/>
      <c r="B632" s="25">
        <f>IF(A632="","",CHOOSE(WEEKDAY(A632,2),"월","화","수","목","금","토","일"))</f>
        <v/>
      </c>
      <c r="C632" s="18" t="n"/>
      <c r="D632" s="25">
        <f>IFERROR(IF(C632="","",INDEX(직원명부!$B$5:$B$24,MATCH(C632,직원명부!$A$5:$A$24,0))),"사번 확인")</f>
        <v/>
      </c>
      <c r="E632" s="34" t="n"/>
      <c r="F632" s="34" t="n"/>
      <c r="G632" s="28" t="n"/>
      <c r="H632" s="33">
        <f>IF(OR(E632="",F632=""),"",ROUND(MOD(F632-E632,1)*24-N(G632),2))</f>
        <v/>
      </c>
      <c r="I632" s="33">
        <f>IF(H632="","",ROUND(MAX(0,H632-8),2))</f>
        <v/>
      </c>
      <c r="J632" s="33">
        <f>IF(OR(E632="",F632=""),"",ROUND(IF(MOD(F632,1)&gt;=TIME(22,0,0),(MOD(F632,1)-TIME(22,0,0))*24,IF(MOD(F632,1)&lt;TIME(6,0,0),(MOD(F632,1)+1-TIME(22,0,0))*24,0)),2))</f>
        <v/>
      </c>
      <c r="K632" s="33">
        <f>IF(H632="","",ROUND(IF(L632="휴일근로",MIN(H632,8)*1.5+MAX(0,H632-8)*2,I632*1.5)+N(J632)*0.5,2))</f>
        <v/>
      </c>
      <c r="L632" s="18" t="n"/>
      <c r="M632" s="18" t="n"/>
      <c r="N632" s="22" t="n"/>
    </row>
    <row r="633">
      <c r="A633" s="19" t="n"/>
      <c r="B633" s="25">
        <f>IF(A633="","",CHOOSE(WEEKDAY(A633,2),"월","화","수","목","금","토","일"))</f>
        <v/>
      </c>
      <c r="C633" s="18" t="n"/>
      <c r="D633" s="25">
        <f>IFERROR(IF(C633="","",INDEX(직원명부!$B$5:$B$24,MATCH(C633,직원명부!$A$5:$A$24,0))),"사번 확인")</f>
        <v/>
      </c>
      <c r="E633" s="34" t="n"/>
      <c r="F633" s="34" t="n"/>
      <c r="G633" s="28" t="n"/>
      <c r="H633" s="33">
        <f>IF(OR(E633="",F633=""),"",ROUND(MOD(F633-E633,1)*24-N(G633),2))</f>
        <v/>
      </c>
      <c r="I633" s="33">
        <f>IF(H633="","",ROUND(MAX(0,H633-8),2))</f>
        <v/>
      </c>
      <c r="J633" s="33">
        <f>IF(OR(E633="",F633=""),"",ROUND(IF(MOD(F633,1)&gt;=TIME(22,0,0),(MOD(F633,1)-TIME(22,0,0))*24,IF(MOD(F633,1)&lt;TIME(6,0,0),(MOD(F633,1)+1-TIME(22,0,0))*24,0)),2))</f>
        <v/>
      </c>
      <c r="K633" s="33">
        <f>IF(H633="","",ROUND(IF(L633="휴일근로",MIN(H633,8)*1.5+MAX(0,H633-8)*2,I633*1.5)+N(J633)*0.5,2))</f>
        <v/>
      </c>
      <c r="L633" s="18" t="n"/>
      <c r="M633" s="18" t="n"/>
      <c r="N633" s="22" t="n"/>
    </row>
    <row r="634">
      <c r="A634" s="19" t="n"/>
      <c r="B634" s="25">
        <f>IF(A634="","",CHOOSE(WEEKDAY(A634,2),"월","화","수","목","금","토","일"))</f>
        <v/>
      </c>
      <c r="C634" s="18" t="n"/>
      <c r="D634" s="25">
        <f>IFERROR(IF(C634="","",INDEX(직원명부!$B$5:$B$24,MATCH(C634,직원명부!$A$5:$A$24,0))),"사번 확인")</f>
        <v/>
      </c>
      <c r="E634" s="34" t="n"/>
      <c r="F634" s="34" t="n"/>
      <c r="G634" s="28" t="n"/>
      <c r="H634" s="33">
        <f>IF(OR(E634="",F634=""),"",ROUND(MOD(F634-E634,1)*24-N(G634),2))</f>
        <v/>
      </c>
      <c r="I634" s="33">
        <f>IF(H634="","",ROUND(MAX(0,H634-8),2))</f>
        <v/>
      </c>
      <c r="J634" s="33">
        <f>IF(OR(E634="",F634=""),"",ROUND(IF(MOD(F634,1)&gt;=TIME(22,0,0),(MOD(F634,1)-TIME(22,0,0))*24,IF(MOD(F634,1)&lt;TIME(6,0,0),(MOD(F634,1)+1-TIME(22,0,0))*24,0)),2))</f>
        <v/>
      </c>
      <c r="K634" s="33">
        <f>IF(H634="","",ROUND(IF(L634="휴일근로",MIN(H634,8)*1.5+MAX(0,H634-8)*2,I634*1.5)+N(J634)*0.5,2))</f>
        <v/>
      </c>
      <c r="L634" s="18" t="n"/>
      <c r="M634" s="18" t="n"/>
      <c r="N634" s="22" t="n"/>
    </row>
    <row r="635">
      <c r="A635" s="19" t="n"/>
      <c r="B635" s="25">
        <f>IF(A635="","",CHOOSE(WEEKDAY(A635,2),"월","화","수","목","금","토","일"))</f>
        <v/>
      </c>
      <c r="C635" s="18" t="n"/>
      <c r="D635" s="25">
        <f>IFERROR(IF(C635="","",INDEX(직원명부!$B$5:$B$24,MATCH(C635,직원명부!$A$5:$A$24,0))),"사번 확인")</f>
        <v/>
      </c>
      <c r="E635" s="34" t="n"/>
      <c r="F635" s="34" t="n"/>
      <c r="G635" s="28" t="n"/>
      <c r="H635" s="33">
        <f>IF(OR(E635="",F635=""),"",ROUND(MOD(F635-E635,1)*24-N(G635),2))</f>
        <v/>
      </c>
      <c r="I635" s="33">
        <f>IF(H635="","",ROUND(MAX(0,H635-8),2))</f>
        <v/>
      </c>
      <c r="J635" s="33">
        <f>IF(OR(E635="",F635=""),"",ROUND(IF(MOD(F635,1)&gt;=TIME(22,0,0),(MOD(F635,1)-TIME(22,0,0))*24,IF(MOD(F635,1)&lt;TIME(6,0,0),(MOD(F635,1)+1-TIME(22,0,0))*24,0)),2))</f>
        <v/>
      </c>
      <c r="K635" s="33">
        <f>IF(H635="","",ROUND(IF(L635="휴일근로",MIN(H635,8)*1.5+MAX(0,H635-8)*2,I635*1.5)+N(J635)*0.5,2))</f>
        <v/>
      </c>
      <c r="L635" s="18" t="n"/>
      <c r="M635" s="18" t="n"/>
      <c r="N635" s="22" t="n"/>
    </row>
    <row r="636">
      <c r="A636" s="19" t="n"/>
      <c r="B636" s="25">
        <f>IF(A636="","",CHOOSE(WEEKDAY(A636,2),"월","화","수","목","금","토","일"))</f>
        <v/>
      </c>
      <c r="C636" s="18" t="n"/>
      <c r="D636" s="25">
        <f>IFERROR(IF(C636="","",INDEX(직원명부!$B$5:$B$24,MATCH(C636,직원명부!$A$5:$A$24,0))),"사번 확인")</f>
        <v/>
      </c>
      <c r="E636" s="34" t="n"/>
      <c r="F636" s="34" t="n"/>
      <c r="G636" s="28" t="n"/>
      <c r="H636" s="33">
        <f>IF(OR(E636="",F636=""),"",ROUND(MOD(F636-E636,1)*24-N(G636),2))</f>
        <v/>
      </c>
      <c r="I636" s="33">
        <f>IF(H636="","",ROUND(MAX(0,H636-8),2))</f>
        <v/>
      </c>
      <c r="J636" s="33">
        <f>IF(OR(E636="",F636=""),"",ROUND(IF(MOD(F636,1)&gt;=TIME(22,0,0),(MOD(F636,1)-TIME(22,0,0))*24,IF(MOD(F636,1)&lt;TIME(6,0,0),(MOD(F636,1)+1-TIME(22,0,0))*24,0)),2))</f>
        <v/>
      </c>
      <c r="K636" s="33">
        <f>IF(H636="","",ROUND(IF(L636="휴일근로",MIN(H636,8)*1.5+MAX(0,H636-8)*2,I636*1.5)+N(J636)*0.5,2))</f>
        <v/>
      </c>
      <c r="L636" s="18" t="n"/>
      <c r="M636" s="18" t="n"/>
      <c r="N636" s="22" t="n"/>
    </row>
    <row r="637">
      <c r="A637" s="19" t="n"/>
      <c r="B637" s="25">
        <f>IF(A637="","",CHOOSE(WEEKDAY(A637,2),"월","화","수","목","금","토","일"))</f>
        <v/>
      </c>
      <c r="C637" s="18" t="n"/>
      <c r="D637" s="25">
        <f>IFERROR(IF(C637="","",INDEX(직원명부!$B$5:$B$24,MATCH(C637,직원명부!$A$5:$A$24,0))),"사번 확인")</f>
        <v/>
      </c>
      <c r="E637" s="34" t="n"/>
      <c r="F637" s="34" t="n"/>
      <c r="G637" s="28" t="n"/>
      <c r="H637" s="33">
        <f>IF(OR(E637="",F637=""),"",ROUND(MOD(F637-E637,1)*24-N(G637),2))</f>
        <v/>
      </c>
      <c r="I637" s="33">
        <f>IF(H637="","",ROUND(MAX(0,H637-8),2))</f>
        <v/>
      </c>
      <c r="J637" s="33">
        <f>IF(OR(E637="",F637=""),"",ROUND(IF(MOD(F637,1)&gt;=TIME(22,0,0),(MOD(F637,1)-TIME(22,0,0))*24,IF(MOD(F637,1)&lt;TIME(6,0,0),(MOD(F637,1)+1-TIME(22,0,0))*24,0)),2))</f>
        <v/>
      </c>
      <c r="K637" s="33">
        <f>IF(H637="","",ROUND(IF(L637="휴일근로",MIN(H637,8)*1.5+MAX(0,H637-8)*2,I637*1.5)+N(J637)*0.5,2))</f>
        <v/>
      </c>
      <c r="L637" s="18" t="n"/>
      <c r="M637" s="18" t="n"/>
      <c r="N637" s="22" t="n"/>
    </row>
    <row r="638">
      <c r="A638" s="19" t="n"/>
      <c r="B638" s="25">
        <f>IF(A638="","",CHOOSE(WEEKDAY(A638,2),"월","화","수","목","금","토","일"))</f>
        <v/>
      </c>
      <c r="C638" s="18" t="n"/>
      <c r="D638" s="25">
        <f>IFERROR(IF(C638="","",INDEX(직원명부!$B$5:$B$24,MATCH(C638,직원명부!$A$5:$A$24,0))),"사번 확인")</f>
        <v/>
      </c>
      <c r="E638" s="34" t="n"/>
      <c r="F638" s="34" t="n"/>
      <c r="G638" s="28" t="n"/>
      <c r="H638" s="33">
        <f>IF(OR(E638="",F638=""),"",ROUND(MOD(F638-E638,1)*24-N(G638),2))</f>
        <v/>
      </c>
      <c r="I638" s="33">
        <f>IF(H638="","",ROUND(MAX(0,H638-8),2))</f>
        <v/>
      </c>
      <c r="J638" s="33">
        <f>IF(OR(E638="",F638=""),"",ROUND(IF(MOD(F638,1)&gt;=TIME(22,0,0),(MOD(F638,1)-TIME(22,0,0))*24,IF(MOD(F638,1)&lt;TIME(6,0,0),(MOD(F638,1)+1-TIME(22,0,0))*24,0)),2))</f>
        <v/>
      </c>
      <c r="K638" s="33">
        <f>IF(H638="","",ROUND(IF(L638="휴일근로",MIN(H638,8)*1.5+MAX(0,H638-8)*2,I638*1.5)+N(J638)*0.5,2))</f>
        <v/>
      </c>
      <c r="L638" s="18" t="n"/>
      <c r="M638" s="18" t="n"/>
      <c r="N638" s="22" t="n"/>
    </row>
    <row r="639">
      <c r="A639" s="19" t="n"/>
      <c r="B639" s="25">
        <f>IF(A639="","",CHOOSE(WEEKDAY(A639,2),"월","화","수","목","금","토","일"))</f>
        <v/>
      </c>
      <c r="C639" s="18" t="n"/>
      <c r="D639" s="25">
        <f>IFERROR(IF(C639="","",INDEX(직원명부!$B$5:$B$24,MATCH(C639,직원명부!$A$5:$A$24,0))),"사번 확인")</f>
        <v/>
      </c>
      <c r="E639" s="34" t="n"/>
      <c r="F639" s="34" t="n"/>
      <c r="G639" s="28" t="n"/>
      <c r="H639" s="33">
        <f>IF(OR(E639="",F639=""),"",ROUND(MOD(F639-E639,1)*24-N(G639),2))</f>
        <v/>
      </c>
      <c r="I639" s="33">
        <f>IF(H639="","",ROUND(MAX(0,H639-8),2))</f>
        <v/>
      </c>
      <c r="J639" s="33">
        <f>IF(OR(E639="",F639=""),"",ROUND(IF(MOD(F639,1)&gt;=TIME(22,0,0),(MOD(F639,1)-TIME(22,0,0))*24,IF(MOD(F639,1)&lt;TIME(6,0,0),(MOD(F639,1)+1-TIME(22,0,0))*24,0)),2))</f>
        <v/>
      </c>
      <c r="K639" s="33">
        <f>IF(H639="","",ROUND(IF(L639="휴일근로",MIN(H639,8)*1.5+MAX(0,H639-8)*2,I639*1.5)+N(J639)*0.5,2))</f>
        <v/>
      </c>
      <c r="L639" s="18" t="n"/>
      <c r="M639" s="18" t="n"/>
      <c r="N639" s="22" t="n"/>
    </row>
    <row r="640">
      <c r="A640" s="19" t="n"/>
      <c r="B640" s="25">
        <f>IF(A640="","",CHOOSE(WEEKDAY(A640,2),"월","화","수","목","금","토","일"))</f>
        <v/>
      </c>
      <c r="C640" s="18" t="n"/>
      <c r="D640" s="25">
        <f>IFERROR(IF(C640="","",INDEX(직원명부!$B$5:$B$24,MATCH(C640,직원명부!$A$5:$A$24,0))),"사번 확인")</f>
        <v/>
      </c>
      <c r="E640" s="34" t="n"/>
      <c r="F640" s="34" t="n"/>
      <c r="G640" s="28" t="n"/>
      <c r="H640" s="33">
        <f>IF(OR(E640="",F640=""),"",ROUND(MOD(F640-E640,1)*24-N(G640),2))</f>
        <v/>
      </c>
      <c r="I640" s="33">
        <f>IF(H640="","",ROUND(MAX(0,H640-8),2))</f>
        <v/>
      </c>
      <c r="J640" s="33">
        <f>IF(OR(E640="",F640=""),"",ROUND(IF(MOD(F640,1)&gt;=TIME(22,0,0),(MOD(F640,1)-TIME(22,0,0))*24,IF(MOD(F640,1)&lt;TIME(6,0,0),(MOD(F640,1)+1-TIME(22,0,0))*24,0)),2))</f>
        <v/>
      </c>
      <c r="K640" s="33">
        <f>IF(H640="","",ROUND(IF(L640="휴일근로",MIN(H640,8)*1.5+MAX(0,H640-8)*2,I640*1.5)+N(J640)*0.5,2))</f>
        <v/>
      </c>
      <c r="L640" s="18" t="n"/>
      <c r="M640" s="18" t="n"/>
      <c r="N640" s="22" t="n"/>
    </row>
    <row r="641">
      <c r="A641" s="19" t="n"/>
      <c r="B641" s="25">
        <f>IF(A641="","",CHOOSE(WEEKDAY(A641,2),"월","화","수","목","금","토","일"))</f>
        <v/>
      </c>
      <c r="C641" s="18" t="n"/>
      <c r="D641" s="25">
        <f>IFERROR(IF(C641="","",INDEX(직원명부!$B$5:$B$24,MATCH(C641,직원명부!$A$5:$A$24,0))),"사번 확인")</f>
        <v/>
      </c>
      <c r="E641" s="34" t="n"/>
      <c r="F641" s="34" t="n"/>
      <c r="G641" s="28" t="n"/>
      <c r="H641" s="33">
        <f>IF(OR(E641="",F641=""),"",ROUND(MOD(F641-E641,1)*24-N(G641),2))</f>
        <v/>
      </c>
      <c r="I641" s="33">
        <f>IF(H641="","",ROUND(MAX(0,H641-8),2))</f>
        <v/>
      </c>
      <c r="J641" s="33">
        <f>IF(OR(E641="",F641=""),"",ROUND(IF(MOD(F641,1)&gt;=TIME(22,0,0),(MOD(F641,1)-TIME(22,0,0))*24,IF(MOD(F641,1)&lt;TIME(6,0,0),(MOD(F641,1)+1-TIME(22,0,0))*24,0)),2))</f>
        <v/>
      </c>
      <c r="K641" s="33">
        <f>IF(H641="","",ROUND(IF(L641="휴일근로",MIN(H641,8)*1.5+MAX(0,H641-8)*2,I641*1.5)+N(J641)*0.5,2))</f>
        <v/>
      </c>
      <c r="L641" s="18" t="n"/>
      <c r="M641" s="18" t="n"/>
      <c r="N641" s="22" t="n"/>
    </row>
    <row r="642">
      <c r="A642" s="19" t="n"/>
      <c r="B642" s="25">
        <f>IF(A642="","",CHOOSE(WEEKDAY(A642,2),"월","화","수","목","금","토","일"))</f>
        <v/>
      </c>
      <c r="C642" s="18" t="n"/>
      <c r="D642" s="25">
        <f>IFERROR(IF(C642="","",INDEX(직원명부!$B$5:$B$24,MATCH(C642,직원명부!$A$5:$A$24,0))),"사번 확인")</f>
        <v/>
      </c>
      <c r="E642" s="34" t="n"/>
      <c r="F642" s="34" t="n"/>
      <c r="G642" s="28" t="n"/>
      <c r="H642" s="33">
        <f>IF(OR(E642="",F642=""),"",ROUND(MOD(F642-E642,1)*24-N(G642),2))</f>
        <v/>
      </c>
      <c r="I642" s="33">
        <f>IF(H642="","",ROUND(MAX(0,H642-8),2))</f>
        <v/>
      </c>
      <c r="J642" s="33">
        <f>IF(OR(E642="",F642=""),"",ROUND(IF(MOD(F642,1)&gt;=TIME(22,0,0),(MOD(F642,1)-TIME(22,0,0))*24,IF(MOD(F642,1)&lt;TIME(6,0,0),(MOD(F642,1)+1-TIME(22,0,0))*24,0)),2))</f>
        <v/>
      </c>
      <c r="K642" s="33">
        <f>IF(H642="","",ROUND(IF(L642="휴일근로",MIN(H642,8)*1.5+MAX(0,H642-8)*2,I642*1.5)+N(J642)*0.5,2))</f>
        <v/>
      </c>
      <c r="L642" s="18" t="n"/>
      <c r="M642" s="18" t="n"/>
      <c r="N642" s="22" t="n"/>
    </row>
    <row r="643">
      <c r="A643" s="19" t="n"/>
      <c r="B643" s="25">
        <f>IF(A643="","",CHOOSE(WEEKDAY(A643,2),"월","화","수","목","금","토","일"))</f>
        <v/>
      </c>
      <c r="C643" s="18" t="n"/>
      <c r="D643" s="25">
        <f>IFERROR(IF(C643="","",INDEX(직원명부!$B$5:$B$24,MATCH(C643,직원명부!$A$5:$A$24,0))),"사번 확인")</f>
        <v/>
      </c>
      <c r="E643" s="34" t="n"/>
      <c r="F643" s="34" t="n"/>
      <c r="G643" s="28" t="n"/>
      <c r="H643" s="33">
        <f>IF(OR(E643="",F643=""),"",ROUND(MOD(F643-E643,1)*24-N(G643),2))</f>
        <v/>
      </c>
      <c r="I643" s="33">
        <f>IF(H643="","",ROUND(MAX(0,H643-8),2))</f>
        <v/>
      </c>
      <c r="J643" s="33">
        <f>IF(OR(E643="",F643=""),"",ROUND(IF(MOD(F643,1)&gt;=TIME(22,0,0),(MOD(F643,1)-TIME(22,0,0))*24,IF(MOD(F643,1)&lt;TIME(6,0,0),(MOD(F643,1)+1-TIME(22,0,0))*24,0)),2))</f>
        <v/>
      </c>
      <c r="K643" s="33">
        <f>IF(H643="","",ROUND(IF(L643="휴일근로",MIN(H643,8)*1.5+MAX(0,H643-8)*2,I643*1.5)+N(J643)*0.5,2))</f>
        <v/>
      </c>
      <c r="L643" s="18" t="n"/>
      <c r="M643" s="18" t="n"/>
      <c r="N643" s="22" t="n"/>
    </row>
    <row r="644">
      <c r="A644" s="19" t="n"/>
      <c r="B644" s="25">
        <f>IF(A644="","",CHOOSE(WEEKDAY(A644,2),"월","화","수","목","금","토","일"))</f>
        <v/>
      </c>
      <c r="C644" s="18" t="n"/>
      <c r="D644" s="25">
        <f>IFERROR(IF(C644="","",INDEX(직원명부!$B$5:$B$24,MATCH(C644,직원명부!$A$5:$A$24,0))),"사번 확인")</f>
        <v/>
      </c>
      <c r="E644" s="34" t="n"/>
      <c r="F644" s="34" t="n"/>
      <c r="G644" s="28" t="n"/>
      <c r="H644" s="33">
        <f>IF(OR(E644="",F644=""),"",ROUND(MOD(F644-E644,1)*24-N(G644),2))</f>
        <v/>
      </c>
      <c r="I644" s="33">
        <f>IF(H644="","",ROUND(MAX(0,H644-8),2))</f>
        <v/>
      </c>
      <c r="J644" s="33">
        <f>IF(OR(E644="",F644=""),"",ROUND(IF(MOD(F644,1)&gt;=TIME(22,0,0),(MOD(F644,1)-TIME(22,0,0))*24,IF(MOD(F644,1)&lt;TIME(6,0,0),(MOD(F644,1)+1-TIME(22,0,0))*24,0)),2))</f>
        <v/>
      </c>
      <c r="K644" s="33">
        <f>IF(H644="","",ROUND(IF(L644="휴일근로",MIN(H644,8)*1.5+MAX(0,H644-8)*2,I644*1.5)+N(J644)*0.5,2))</f>
        <v/>
      </c>
      <c r="L644" s="18" t="n"/>
      <c r="M644" s="18" t="n"/>
      <c r="N644" s="22" t="n"/>
    </row>
    <row r="645">
      <c r="A645" s="19" t="n"/>
      <c r="B645" s="25">
        <f>IF(A645="","",CHOOSE(WEEKDAY(A645,2),"월","화","수","목","금","토","일"))</f>
        <v/>
      </c>
      <c r="C645" s="18" t="n"/>
      <c r="D645" s="25">
        <f>IFERROR(IF(C645="","",INDEX(직원명부!$B$5:$B$24,MATCH(C645,직원명부!$A$5:$A$24,0))),"사번 확인")</f>
        <v/>
      </c>
      <c r="E645" s="34" t="n"/>
      <c r="F645" s="34" t="n"/>
      <c r="G645" s="28" t="n"/>
      <c r="H645" s="33">
        <f>IF(OR(E645="",F645=""),"",ROUND(MOD(F645-E645,1)*24-N(G645),2))</f>
        <v/>
      </c>
      <c r="I645" s="33">
        <f>IF(H645="","",ROUND(MAX(0,H645-8),2))</f>
        <v/>
      </c>
      <c r="J645" s="33">
        <f>IF(OR(E645="",F645=""),"",ROUND(IF(MOD(F645,1)&gt;=TIME(22,0,0),(MOD(F645,1)-TIME(22,0,0))*24,IF(MOD(F645,1)&lt;TIME(6,0,0),(MOD(F645,1)+1-TIME(22,0,0))*24,0)),2))</f>
        <v/>
      </c>
      <c r="K645" s="33">
        <f>IF(H645="","",ROUND(IF(L645="휴일근로",MIN(H645,8)*1.5+MAX(0,H645-8)*2,I645*1.5)+N(J645)*0.5,2))</f>
        <v/>
      </c>
      <c r="L645" s="18" t="n"/>
      <c r="M645" s="18" t="n"/>
      <c r="N645" s="22" t="n"/>
    </row>
    <row r="646">
      <c r="A646" s="19" t="n"/>
      <c r="B646" s="25">
        <f>IF(A646="","",CHOOSE(WEEKDAY(A646,2),"월","화","수","목","금","토","일"))</f>
        <v/>
      </c>
      <c r="C646" s="18" t="n"/>
      <c r="D646" s="25">
        <f>IFERROR(IF(C646="","",INDEX(직원명부!$B$5:$B$24,MATCH(C646,직원명부!$A$5:$A$24,0))),"사번 확인")</f>
        <v/>
      </c>
      <c r="E646" s="34" t="n"/>
      <c r="F646" s="34" t="n"/>
      <c r="G646" s="28" t="n"/>
      <c r="H646" s="33">
        <f>IF(OR(E646="",F646=""),"",ROUND(MOD(F646-E646,1)*24-N(G646),2))</f>
        <v/>
      </c>
      <c r="I646" s="33">
        <f>IF(H646="","",ROUND(MAX(0,H646-8),2))</f>
        <v/>
      </c>
      <c r="J646" s="33">
        <f>IF(OR(E646="",F646=""),"",ROUND(IF(MOD(F646,1)&gt;=TIME(22,0,0),(MOD(F646,1)-TIME(22,0,0))*24,IF(MOD(F646,1)&lt;TIME(6,0,0),(MOD(F646,1)+1-TIME(22,0,0))*24,0)),2))</f>
        <v/>
      </c>
      <c r="K646" s="33">
        <f>IF(H646="","",ROUND(IF(L646="휴일근로",MIN(H646,8)*1.5+MAX(0,H646-8)*2,I646*1.5)+N(J646)*0.5,2))</f>
        <v/>
      </c>
      <c r="L646" s="18" t="n"/>
      <c r="M646" s="18" t="n"/>
      <c r="N646" s="22" t="n"/>
    </row>
    <row r="647">
      <c r="A647" s="19" t="n"/>
      <c r="B647" s="25">
        <f>IF(A647="","",CHOOSE(WEEKDAY(A647,2),"월","화","수","목","금","토","일"))</f>
        <v/>
      </c>
      <c r="C647" s="18" t="n"/>
      <c r="D647" s="25">
        <f>IFERROR(IF(C647="","",INDEX(직원명부!$B$5:$B$24,MATCH(C647,직원명부!$A$5:$A$24,0))),"사번 확인")</f>
        <v/>
      </c>
      <c r="E647" s="34" t="n"/>
      <c r="F647" s="34" t="n"/>
      <c r="G647" s="28" t="n"/>
      <c r="H647" s="33">
        <f>IF(OR(E647="",F647=""),"",ROUND(MOD(F647-E647,1)*24-N(G647),2))</f>
        <v/>
      </c>
      <c r="I647" s="33">
        <f>IF(H647="","",ROUND(MAX(0,H647-8),2))</f>
        <v/>
      </c>
      <c r="J647" s="33">
        <f>IF(OR(E647="",F647=""),"",ROUND(IF(MOD(F647,1)&gt;=TIME(22,0,0),(MOD(F647,1)-TIME(22,0,0))*24,IF(MOD(F647,1)&lt;TIME(6,0,0),(MOD(F647,1)+1-TIME(22,0,0))*24,0)),2))</f>
        <v/>
      </c>
      <c r="K647" s="33">
        <f>IF(H647="","",ROUND(IF(L647="휴일근로",MIN(H647,8)*1.5+MAX(0,H647-8)*2,I647*1.5)+N(J647)*0.5,2))</f>
        <v/>
      </c>
      <c r="L647" s="18" t="n"/>
      <c r="M647" s="18" t="n"/>
      <c r="N647" s="22" t="n"/>
    </row>
    <row r="648">
      <c r="A648" s="19" t="n"/>
      <c r="B648" s="25">
        <f>IF(A648="","",CHOOSE(WEEKDAY(A648,2),"월","화","수","목","금","토","일"))</f>
        <v/>
      </c>
      <c r="C648" s="18" t="n"/>
      <c r="D648" s="25">
        <f>IFERROR(IF(C648="","",INDEX(직원명부!$B$5:$B$24,MATCH(C648,직원명부!$A$5:$A$24,0))),"사번 확인")</f>
        <v/>
      </c>
      <c r="E648" s="34" t="n"/>
      <c r="F648" s="34" t="n"/>
      <c r="G648" s="28" t="n"/>
      <c r="H648" s="33">
        <f>IF(OR(E648="",F648=""),"",ROUND(MOD(F648-E648,1)*24-N(G648),2))</f>
        <v/>
      </c>
      <c r="I648" s="33">
        <f>IF(H648="","",ROUND(MAX(0,H648-8),2))</f>
        <v/>
      </c>
      <c r="J648" s="33">
        <f>IF(OR(E648="",F648=""),"",ROUND(IF(MOD(F648,1)&gt;=TIME(22,0,0),(MOD(F648,1)-TIME(22,0,0))*24,IF(MOD(F648,1)&lt;TIME(6,0,0),(MOD(F648,1)+1-TIME(22,0,0))*24,0)),2))</f>
        <v/>
      </c>
      <c r="K648" s="33">
        <f>IF(H648="","",ROUND(IF(L648="휴일근로",MIN(H648,8)*1.5+MAX(0,H648-8)*2,I648*1.5)+N(J648)*0.5,2))</f>
        <v/>
      </c>
      <c r="L648" s="18" t="n"/>
      <c r="M648" s="18" t="n"/>
      <c r="N648" s="22" t="n"/>
    </row>
    <row r="649">
      <c r="A649" s="19" t="n"/>
      <c r="B649" s="25">
        <f>IF(A649="","",CHOOSE(WEEKDAY(A649,2),"월","화","수","목","금","토","일"))</f>
        <v/>
      </c>
      <c r="C649" s="18" t="n"/>
      <c r="D649" s="25">
        <f>IFERROR(IF(C649="","",INDEX(직원명부!$B$5:$B$24,MATCH(C649,직원명부!$A$5:$A$24,0))),"사번 확인")</f>
        <v/>
      </c>
      <c r="E649" s="34" t="n"/>
      <c r="F649" s="34" t="n"/>
      <c r="G649" s="28" t="n"/>
      <c r="H649" s="33">
        <f>IF(OR(E649="",F649=""),"",ROUND(MOD(F649-E649,1)*24-N(G649),2))</f>
        <v/>
      </c>
      <c r="I649" s="33">
        <f>IF(H649="","",ROUND(MAX(0,H649-8),2))</f>
        <v/>
      </c>
      <c r="J649" s="33">
        <f>IF(OR(E649="",F649=""),"",ROUND(IF(MOD(F649,1)&gt;=TIME(22,0,0),(MOD(F649,1)-TIME(22,0,0))*24,IF(MOD(F649,1)&lt;TIME(6,0,0),(MOD(F649,1)+1-TIME(22,0,0))*24,0)),2))</f>
        <v/>
      </c>
      <c r="K649" s="33">
        <f>IF(H649="","",ROUND(IF(L649="휴일근로",MIN(H649,8)*1.5+MAX(0,H649-8)*2,I649*1.5)+N(J649)*0.5,2))</f>
        <v/>
      </c>
      <c r="L649" s="18" t="n"/>
      <c r="M649" s="18" t="n"/>
      <c r="N649" s="22" t="n"/>
    </row>
    <row r="650">
      <c r="A650" s="19" t="n"/>
      <c r="B650" s="25">
        <f>IF(A650="","",CHOOSE(WEEKDAY(A650,2),"월","화","수","목","금","토","일"))</f>
        <v/>
      </c>
      <c r="C650" s="18" t="n"/>
      <c r="D650" s="25">
        <f>IFERROR(IF(C650="","",INDEX(직원명부!$B$5:$B$24,MATCH(C650,직원명부!$A$5:$A$24,0))),"사번 확인")</f>
        <v/>
      </c>
      <c r="E650" s="34" t="n"/>
      <c r="F650" s="34" t="n"/>
      <c r="G650" s="28" t="n"/>
      <c r="H650" s="33">
        <f>IF(OR(E650="",F650=""),"",ROUND(MOD(F650-E650,1)*24-N(G650),2))</f>
        <v/>
      </c>
      <c r="I650" s="33">
        <f>IF(H650="","",ROUND(MAX(0,H650-8),2))</f>
        <v/>
      </c>
      <c r="J650" s="33">
        <f>IF(OR(E650="",F650=""),"",ROUND(IF(MOD(F650,1)&gt;=TIME(22,0,0),(MOD(F650,1)-TIME(22,0,0))*24,IF(MOD(F650,1)&lt;TIME(6,0,0),(MOD(F650,1)+1-TIME(22,0,0))*24,0)),2))</f>
        <v/>
      </c>
      <c r="K650" s="33">
        <f>IF(H650="","",ROUND(IF(L650="휴일근로",MIN(H650,8)*1.5+MAX(0,H650-8)*2,I650*1.5)+N(J650)*0.5,2))</f>
        <v/>
      </c>
      <c r="L650" s="18" t="n"/>
      <c r="M650" s="18" t="n"/>
      <c r="N650" s="22" t="n"/>
    </row>
    <row r="651">
      <c r="A651" s="19" t="n"/>
      <c r="B651" s="25">
        <f>IF(A651="","",CHOOSE(WEEKDAY(A651,2),"월","화","수","목","금","토","일"))</f>
        <v/>
      </c>
      <c r="C651" s="18" t="n"/>
      <c r="D651" s="25">
        <f>IFERROR(IF(C651="","",INDEX(직원명부!$B$5:$B$24,MATCH(C651,직원명부!$A$5:$A$24,0))),"사번 확인")</f>
        <v/>
      </c>
      <c r="E651" s="34" t="n"/>
      <c r="F651" s="34" t="n"/>
      <c r="G651" s="28" t="n"/>
      <c r="H651" s="33">
        <f>IF(OR(E651="",F651=""),"",ROUND(MOD(F651-E651,1)*24-N(G651),2))</f>
        <v/>
      </c>
      <c r="I651" s="33">
        <f>IF(H651="","",ROUND(MAX(0,H651-8),2))</f>
        <v/>
      </c>
      <c r="J651" s="33">
        <f>IF(OR(E651="",F651=""),"",ROUND(IF(MOD(F651,1)&gt;=TIME(22,0,0),(MOD(F651,1)-TIME(22,0,0))*24,IF(MOD(F651,1)&lt;TIME(6,0,0),(MOD(F651,1)+1-TIME(22,0,0))*24,0)),2))</f>
        <v/>
      </c>
      <c r="K651" s="33">
        <f>IF(H651="","",ROUND(IF(L651="휴일근로",MIN(H651,8)*1.5+MAX(0,H651-8)*2,I651*1.5)+N(J651)*0.5,2))</f>
        <v/>
      </c>
      <c r="L651" s="18" t="n"/>
      <c r="M651" s="18" t="n"/>
      <c r="N651" s="22" t="n"/>
    </row>
    <row r="652">
      <c r="A652" s="19" t="n"/>
      <c r="B652" s="25">
        <f>IF(A652="","",CHOOSE(WEEKDAY(A652,2),"월","화","수","목","금","토","일"))</f>
        <v/>
      </c>
      <c r="C652" s="18" t="n"/>
      <c r="D652" s="25">
        <f>IFERROR(IF(C652="","",INDEX(직원명부!$B$5:$B$24,MATCH(C652,직원명부!$A$5:$A$24,0))),"사번 확인")</f>
        <v/>
      </c>
      <c r="E652" s="34" t="n"/>
      <c r="F652" s="34" t="n"/>
      <c r="G652" s="28" t="n"/>
      <c r="H652" s="33">
        <f>IF(OR(E652="",F652=""),"",ROUND(MOD(F652-E652,1)*24-N(G652),2))</f>
        <v/>
      </c>
      <c r="I652" s="33">
        <f>IF(H652="","",ROUND(MAX(0,H652-8),2))</f>
        <v/>
      </c>
      <c r="J652" s="33">
        <f>IF(OR(E652="",F652=""),"",ROUND(IF(MOD(F652,1)&gt;=TIME(22,0,0),(MOD(F652,1)-TIME(22,0,0))*24,IF(MOD(F652,1)&lt;TIME(6,0,0),(MOD(F652,1)+1-TIME(22,0,0))*24,0)),2))</f>
        <v/>
      </c>
      <c r="K652" s="33">
        <f>IF(H652="","",ROUND(IF(L652="휴일근로",MIN(H652,8)*1.5+MAX(0,H652-8)*2,I652*1.5)+N(J652)*0.5,2))</f>
        <v/>
      </c>
      <c r="L652" s="18" t="n"/>
      <c r="M652" s="18" t="n"/>
      <c r="N652" s="22" t="n"/>
    </row>
    <row r="653">
      <c r="A653" s="19" t="n"/>
      <c r="B653" s="25">
        <f>IF(A653="","",CHOOSE(WEEKDAY(A653,2),"월","화","수","목","금","토","일"))</f>
        <v/>
      </c>
      <c r="C653" s="18" t="n"/>
      <c r="D653" s="25">
        <f>IFERROR(IF(C653="","",INDEX(직원명부!$B$5:$B$24,MATCH(C653,직원명부!$A$5:$A$24,0))),"사번 확인")</f>
        <v/>
      </c>
      <c r="E653" s="34" t="n"/>
      <c r="F653" s="34" t="n"/>
      <c r="G653" s="28" t="n"/>
      <c r="H653" s="33">
        <f>IF(OR(E653="",F653=""),"",ROUND(MOD(F653-E653,1)*24-N(G653),2))</f>
        <v/>
      </c>
      <c r="I653" s="33">
        <f>IF(H653="","",ROUND(MAX(0,H653-8),2))</f>
        <v/>
      </c>
      <c r="J653" s="33">
        <f>IF(OR(E653="",F653=""),"",ROUND(IF(MOD(F653,1)&gt;=TIME(22,0,0),(MOD(F653,1)-TIME(22,0,0))*24,IF(MOD(F653,1)&lt;TIME(6,0,0),(MOD(F653,1)+1-TIME(22,0,0))*24,0)),2))</f>
        <v/>
      </c>
      <c r="K653" s="33">
        <f>IF(H653="","",ROUND(IF(L653="휴일근로",MIN(H653,8)*1.5+MAX(0,H653-8)*2,I653*1.5)+N(J653)*0.5,2))</f>
        <v/>
      </c>
      <c r="L653" s="18" t="n"/>
      <c r="M653" s="18" t="n"/>
      <c r="N653" s="22" t="n"/>
    </row>
    <row r="654">
      <c r="A654" s="19" t="n"/>
      <c r="B654" s="25">
        <f>IF(A654="","",CHOOSE(WEEKDAY(A654,2),"월","화","수","목","금","토","일"))</f>
        <v/>
      </c>
      <c r="C654" s="18" t="n"/>
      <c r="D654" s="25">
        <f>IFERROR(IF(C654="","",INDEX(직원명부!$B$5:$B$24,MATCH(C654,직원명부!$A$5:$A$24,0))),"사번 확인")</f>
        <v/>
      </c>
      <c r="E654" s="34" t="n"/>
      <c r="F654" s="34" t="n"/>
      <c r="G654" s="28" t="n"/>
      <c r="H654" s="33">
        <f>IF(OR(E654="",F654=""),"",ROUND(MOD(F654-E654,1)*24-N(G654),2))</f>
        <v/>
      </c>
      <c r="I654" s="33">
        <f>IF(H654="","",ROUND(MAX(0,H654-8),2))</f>
        <v/>
      </c>
      <c r="J654" s="33">
        <f>IF(OR(E654="",F654=""),"",ROUND(IF(MOD(F654,1)&gt;=TIME(22,0,0),(MOD(F654,1)-TIME(22,0,0))*24,IF(MOD(F654,1)&lt;TIME(6,0,0),(MOD(F654,1)+1-TIME(22,0,0))*24,0)),2))</f>
        <v/>
      </c>
      <c r="K654" s="33">
        <f>IF(H654="","",ROUND(IF(L654="휴일근로",MIN(H654,8)*1.5+MAX(0,H654-8)*2,I654*1.5)+N(J654)*0.5,2))</f>
        <v/>
      </c>
      <c r="L654" s="18" t="n"/>
      <c r="M654" s="18" t="n"/>
      <c r="N654" s="22" t="n"/>
    </row>
    <row r="655">
      <c r="A655" s="19" t="n"/>
      <c r="B655" s="25">
        <f>IF(A655="","",CHOOSE(WEEKDAY(A655,2),"월","화","수","목","금","토","일"))</f>
        <v/>
      </c>
      <c r="C655" s="18" t="n"/>
      <c r="D655" s="25">
        <f>IFERROR(IF(C655="","",INDEX(직원명부!$B$5:$B$24,MATCH(C655,직원명부!$A$5:$A$24,0))),"사번 확인")</f>
        <v/>
      </c>
      <c r="E655" s="34" t="n"/>
      <c r="F655" s="34" t="n"/>
      <c r="G655" s="28" t="n"/>
      <c r="H655" s="33">
        <f>IF(OR(E655="",F655=""),"",ROUND(MOD(F655-E655,1)*24-N(G655),2))</f>
        <v/>
      </c>
      <c r="I655" s="33">
        <f>IF(H655="","",ROUND(MAX(0,H655-8),2))</f>
        <v/>
      </c>
      <c r="J655" s="33">
        <f>IF(OR(E655="",F655=""),"",ROUND(IF(MOD(F655,1)&gt;=TIME(22,0,0),(MOD(F655,1)-TIME(22,0,0))*24,IF(MOD(F655,1)&lt;TIME(6,0,0),(MOD(F655,1)+1-TIME(22,0,0))*24,0)),2))</f>
        <v/>
      </c>
      <c r="K655" s="33">
        <f>IF(H655="","",ROUND(IF(L655="휴일근로",MIN(H655,8)*1.5+MAX(0,H655-8)*2,I655*1.5)+N(J655)*0.5,2))</f>
        <v/>
      </c>
      <c r="L655" s="18" t="n"/>
      <c r="M655" s="18" t="n"/>
      <c r="N655" s="22" t="n"/>
    </row>
    <row r="656">
      <c r="A656" s="19" t="n"/>
      <c r="B656" s="25">
        <f>IF(A656="","",CHOOSE(WEEKDAY(A656,2),"월","화","수","목","금","토","일"))</f>
        <v/>
      </c>
      <c r="C656" s="18" t="n"/>
      <c r="D656" s="25">
        <f>IFERROR(IF(C656="","",INDEX(직원명부!$B$5:$B$24,MATCH(C656,직원명부!$A$5:$A$24,0))),"사번 확인")</f>
        <v/>
      </c>
      <c r="E656" s="34" t="n"/>
      <c r="F656" s="34" t="n"/>
      <c r="G656" s="28" t="n"/>
      <c r="H656" s="33">
        <f>IF(OR(E656="",F656=""),"",ROUND(MOD(F656-E656,1)*24-N(G656),2))</f>
        <v/>
      </c>
      <c r="I656" s="33">
        <f>IF(H656="","",ROUND(MAX(0,H656-8),2))</f>
        <v/>
      </c>
      <c r="J656" s="33">
        <f>IF(OR(E656="",F656=""),"",ROUND(IF(MOD(F656,1)&gt;=TIME(22,0,0),(MOD(F656,1)-TIME(22,0,0))*24,IF(MOD(F656,1)&lt;TIME(6,0,0),(MOD(F656,1)+1-TIME(22,0,0))*24,0)),2))</f>
        <v/>
      </c>
      <c r="K656" s="33">
        <f>IF(H656="","",ROUND(IF(L656="휴일근로",MIN(H656,8)*1.5+MAX(0,H656-8)*2,I656*1.5)+N(J656)*0.5,2))</f>
        <v/>
      </c>
      <c r="L656" s="18" t="n"/>
      <c r="M656" s="18" t="n"/>
      <c r="N656" s="22" t="n"/>
    </row>
    <row r="657">
      <c r="A657" s="19" t="n"/>
      <c r="B657" s="25">
        <f>IF(A657="","",CHOOSE(WEEKDAY(A657,2),"월","화","수","목","금","토","일"))</f>
        <v/>
      </c>
      <c r="C657" s="18" t="n"/>
      <c r="D657" s="25">
        <f>IFERROR(IF(C657="","",INDEX(직원명부!$B$5:$B$24,MATCH(C657,직원명부!$A$5:$A$24,0))),"사번 확인")</f>
        <v/>
      </c>
      <c r="E657" s="34" t="n"/>
      <c r="F657" s="34" t="n"/>
      <c r="G657" s="28" t="n"/>
      <c r="H657" s="33">
        <f>IF(OR(E657="",F657=""),"",ROUND(MOD(F657-E657,1)*24-N(G657),2))</f>
        <v/>
      </c>
      <c r="I657" s="33">
        <f>IF(H657="","",ROUND(MAX(0,H657-8),2))</f>
        <v/>
      </c>
      <c r="J657" s="33">
        <f>IF(OR(E657="",F657=""),"",ROUND(IF(MOD(F657,1)&gt;=TIME(22,0,0),(MOD(F657,1)-TIME(22,0,0))*24,IF(MOD(F657,1)&lt;TIME(6,0,0),(MOD(F657,1)+1-TIME(22,0,0))*24,0)),2))</f>
        <v/>
      </c>
      <c r="K657" s="33">
        <f>IF(H657="","",ROUND(IF(L657="휴일근로",MIN(H657,8)*1.5+MAX(0,H657-8)*2,I657*1.5)+N(J657)*0.5,2))</f>
        <v/>
      </c>
      <c r="L657" s="18" t="n"/>
      <c r="M657" s="18" t="n"/>
      <c r="N657" s="22" t="n"/>
    </row>
    <row r="658">
      <c r="A658" s="19" t="n"/>
      <c r="B658" s="25">
        <f>IF(A658="","",CHOOSE(WEEKDAY(A658,2),"월","화","수","목","금","토","일"))</f>
        <v/>
      </c>
      <c r="C658" s="18" t="n"/>
      <c r="D658" s="25">
        <f>IFERROR(IF(C658="","",INDEX(직원명부!$B$5:$B$24,MATCH(C658,직원명부!$A$5:$A$24,0))),"사번 확인")</f>
        <v/>
      </c>
      <c r="E658" s="34" t="n"/>
      <c r="F658" s="34" t="n"/>
      <c r="G658" s="28" t="n"/>
      <c r="H658" s="33">
        <f>IF(OR(E658="",F658=""),"",ROUND(MOD(F658-E658,1)*24-N(G658),2))</f>
        <v/>
      </c>
      <c r="I658" s="33">
        <f>IF(H658="","",ROUND(MAX(0,H658-8),2))</f>
        <v/>
      </c>
      <c r="J658" s="33">
        <f>IF(OR(E658="",F658=""),"",ROUND(IF(MOD(F658,1)&gt;=TIME(22,0,0),(MOD(F658,1)-TIME(22,0,0))*24,IF(MOD(F658,1)&lt;TIME(6,0,0),(MOD(F658,1)+1-TIME(22,0,0))*24,0)),2))</f>
        <v/>
      </c>
      <c r="K658" s="33">
        <f>IF(H658="","",ROUND(IF(L658="휴일근로",MIN(H658,8)*1.5+MAX(0,H658-8)*2,I658*1.5)+N(J658)*0.5,2))</f>
        <v/>
      </c>
      <c r="L658" s="18" t="n"/>
      <c r="M658" s="18" t="n"/>
      <c r="N658" s="22" t="n"/>
    </row>
    <row r="659">
      <c r="A659" s="19" t="n"/>
      <c r="B659" s="25">
        <f>IF(A659="","",CHOOSE(WEEKDAY(A659,2),"월","화","수","목","금","토","일"))</f>
        <v/>
      </c>
      <c r="C659" s="18" t="n"/>
      <c r="D659" s="25">
        <f>IFERROR(IF(C659="","",INDEX(직원명부!$B$5:$B$24,MATCH(C659,직원명부!$A$5:$A$24,0))),"사번 확인")</f>
        <v/>
      </c>
      <c r="E659" s="34" t="n"/>
      <c r="F659" s="34" t="n"/>
      <c r="G659" s="28" t="n"/>
      <c r="H659" s="33">
        <f>IF(OR(E659="",F659=""),"",ROUND(MOD(F659-E659,1)*24-N(G659),2))</f>
        <v/>
      </c>
      <c r="I659" s="33">
        <f>IF(H659="","",ROUND(MAX(0,H659-8),2))</f>
        <v/>
      </c>
      <c r="J659" s="33">
        <f>IF(OR(E659="",F659=""),"",ROUND(IF(MOD(F659,1)&gt;=TIME(22,0,0),(MOD(F659,1)-TIME(22,0,0))*24,IF(MOD(F659,1)&lt;TIME(6,0,0),(MOD(F659,1)+1-TIME(22,0,0))*24,0)),2))</f>
        <v/>
      </c>
      <c r="K659" s="33">
        <f>IF(H659="","",ROUND(IF(L659="휴일근로",MIN(H659,8)*1.5+MAX(0,H659-8)*2,I659*1.5)+N(J659)*0.5,2))</f>
        <v/>
      </c>
      <c r="L659" s="18" t="n"/>
      <c r="M659" s="18" t="n"/>
      <c r="N659" s="22" t="n"/>
    </row>
    <row r="660">
      <c r="A660" s="19" t="n"/>
      <c r="B660" s="25">
        <f>IF(A660="","",CHOOSE(WEEKDAY(A660,2),"월","화","수","목","금","토","일"))</f>
        <v/>
      </c>
      <c r="C660" s="18" t="n"/>
      <c r="D660" s="25">
        <f>IFERROR(IF(C660="","",INDEX(직원명부!$B$5:$B$24,MATCH(C660,직원명부!$A$5:$A$24,0))),"사번 확인")</f>
        <v/>
      </c>
      <c r="E660" s="34" t="n"/>
      <c r="F660" s="34" t="n"/>
      <c r="G660" s="28" t="n"/>
      <c r="H660" s="33">
        <f>IF(OR(E660="",F660=""),"",ROUND(MOD(F660-E660,1)*24-N(G660),2))</f>
        <v/>
      </c>
      <c r="I660" s="33">
        <f>IF(H660="","",ROUND(MAX(0,H660-8),2))</f>
        <v/>
      </c>
      <c r="J660" s="33">
        <f>IF(OR(E660="",F660=""),"",ROUND(IF(MOD(F660,1)&gt;=TIME(22,0,0),(MOD(F660,1)-TIME(22,0,0))*24,IF(MOD(F660,1)&lt;TIME(6,0,0),(MOD(F660,1)+1-TIME(22,0,0))*24,0)),2))</f>
        <v/>
      </c>
      <c r="K660" s="33">
        <f>IF(H660="","",ROUND(IF(L660="휴일근로",MIN(H660,8)*1.5+MAX(0,H660-8)*2,I660*1.5)+N(J660)*0.5,2))</f>
        <v/>
      </c>
      <c r="L660" s="18" t="n"/>
      <c r="M660" s="18" t="n"/>
      <c r="N660" s="22" t="n"/>
    </row>
    <row r="661">
      <c r="A661" s="19" t="n"/>
      <c r="B661" s="25">
        <f>IF(A661="","",CHOOSE(WEEKDAY(A661,2),"월","화","수","목","금","토","일"))</f>
        <v/>
      </c>
      <c r="C661" s="18" t="n"/>
      <c r="D661" s="25">
        <f>IFERROR(IF(C661="","",INDEX(직원명부!$B$5:$B$24,MATCH(C661,직원명부!$A$5:$A$24,0))),"사번 확인")</f>
        <v/>
      </c>
      <c r="E661" s="34" t="n"/>
      <c r="F661" s="34" t="n"/>
      <c r="G661" s="28" t="n"/>
      <c r="H661" s="33">
        <f>IF(OR(E661="",F661=""),"",ROUND(MOD(F661-E661,1)*24-N(G661),2))</f>
        <v/>
      </c>
      <c r="I661" s="33">
        <f>IF(H661="","",ROUND(MAX(0,H661-8),2))</f>
        <v/>
      </c>
      <c r="J661" s="33">
        <f>IF(OR(E661="",F661=""),"",ROUND(IF(MOD(F661,1)&gt;=TIME(22,0,0),(MOD(F661,1)-TIME(22,0,0))*24,IF(MOD(F661,1)&lt;TIME(6,0,0),(MOD(F661,1)+1-TIME(22,0,0))*24,0)),2))</f>
        <v/>
      </c>
      <c r="K661" s="33">
        <f>IF(H661="","",ROUND(IF(L661="휴일근로",MIN(H661,8)*1.5+MAX(0,H661-8)*2,I661*1.5)+N(J661)*0.5,2))</f>
        <v/>
      </c>
      <c r="L661" s="18" t="n"/>
      <c r="M661" s="18" t="n"/>
      <c r="N661" s="22" t="n"/>
    </row>
    <row r="662">
      <c r="A662" s="19" t="n"/>
      <c r="B662" s="25">
        <f>IF(A662="","",CHOOSE(WEEKDAY(A662,2),"월","화","수","목","금","토","일"))</f>
        <v/>
      </c>
      <c r="C662" s="18" t="n"/>
      <c r="D662" s="25">
        <f>IFERROR(IF(C662="","",INDEX(직원명부!$B$5:$B$24,MATCH(C662,직원명부!$A$5:$A$24,0))),"사번 확인")</f>
        <v/>
      </c>
      <c r="E662" s="34" t="n"/>
      <c r="F662" s="34" t="n"/>
      <c r="G662" s="28" t="n"/>
      <c r="H662" s="33">
        <f>IF(OR(E662="",F662=""),"",ROUND(MOD(F662-E662,1)*24-N(G662),2))</f>
        <v/>
      </c>
      <c r="I662" s="33">
        <f>IF(H662="","",ROUND(MAX(0,H662-8),2))</f>
        <v/>
      </c>
      <c r="J662" s="33">
        <f>IF(OR(E662="",F662=""),"",ROUND(IF(MOD(F662,1)&gt;=TIME(22,0,0),(MOD(F662,1)-TIME(22,0,0))*24,IF(MOD(F662,1)&lt;TIME(6,0,0),(MOD(F662,1)+1-TIME(22,0,0))*24,0)),2))</f>
        <v/>
      </c>
      <c r="K662" s="33">
        <f>IF(H662="","",ROUND(IF(L662="휴일근로",MIN(H662,8)*1.5+MAX(0,H662-8)*2,I662*1.5)+N(J662)*0.5,2))</f>
        <v/>
      </c>
      <c r="L662" s="18" t="n"/>
      <c r="M662" s="18" t="n"/>
      <c r="N662" s="22" t="n"/>
    </row>
    <row r="663">
      <c r="A663" s="19" t="n"/>
      <c r="B663" s="25">
        <f>IF(A663="","",CHOOSE(WEEKDAY(A663,2),"월","화","수","목","금","토","일"))</f>
        <v/>
      </c>
      <c r="C663" s="18" t="n"/>
      <c r="D663" s="25">
        <f>IFERROR(IF(C663="","",INDEX(직원명부!$B$5:$B$24,MATCH(C663,직원명부!$A$5:$A$24,0))),"사번 확인")</f>
        <v/>
      </c>
      <c r="E663" s="34" t="n"/>
      <c r="F663" s="34" t="n"/>
      <c r="G663" s="28" t="n"/>
      <c r="H663" s="33">
        <f>IF(OR(E663="",F663=""),"",ROUND(MOD(F663-E663,1)*24-N(G663),2))</f>
        <v/>
      </c>
      <c r="I663" s="33">
        <f>IF(H663="","",ROUND(MAX(0,H663-8),2))</f>
        <v/>
      </c>
      <c r="J663" s="33">
        <f>IF(OR(E663="",F663=""),"",ROUND(IF(MOD(F663,1)&gt;=TIME(22,0,0),(MOD(F663,1)-TIME(22,0,0))*24,IF(MOD(F663,1)&lt;TIME(6,0,0),(MOD(F663,1)+1-TIME(22,0,0))*24,0)),2))</f>
        <v/>
      </c>
      <c r="K663" s="33">
        <f>IF(H663="","",ROUND(IF(L663="휴일근로",MIN(H663,8)*1.5+MAX(0,H663-8)*2,I663*1.5)+N(J663)*0.5,2))</f>
        <v/>
      </c>
      <c r="L663" s="18" t="n"/>
      <c r="M663" s="18" t="n"/>
      <c r="N663" s="22" t="n"/>
    </row>
    <row r="664">
      <c r="A664" s="19" t="n"/>
      <c r="B664" s="25">
        <f>IF(A664="","",CHOOSE(WEEKDAY(A664,2),"월","화","수","목","금","토","일"))</f>
        <v/>
      </c>
      <c r="C664" s="18" t="n"/>
      <c r="D664" s="25">
        <f>IFERROR(IF(C664="","",INDEX(직원명부!$B$5:$B$24,MATCH(C664,직원명부!$A$5:$A$24,0))),"사번 확인")</f>
        <v/>
      </c>
      <c r="E664" s="34" t="n"/>
      <c r="F664" s="34" t="n"/>
      <c r="G664" s="28" t="n"/>
      <c r="H664" s="33">
        <f>IF(OR(E664="",F664=""),"",ROUND(MOD(F664-E664,1)*24-N(G664),2))</f>
        <v/>
      </c>
      <c r="I664" s="33">
        <f>IF(H664="","",ROUND(MAX(0,H664-8),2))</f>
        <v/>
      </c>
      <c r="J664" s="33">
        <f>IF(OR(E664="",F664=""),"",ROUND(IF(MOD(F664,1)&gt;=TIME(22,0,0),(MOD(F664,1)-TIME(22,0,0))*24,IF(MOD(F664,1)&lt;TIME(6,0,0),(MOD(F664,1)+1-TIME(22,0,0))*24,0)),2))</f>
        <v/>
      </c>
      <c r="K664" s="33">
        <f>IF(H664="","",ROUND(IF(L664="휴일근로",MIN(H664,8)*1.5+MAX(0,H664-8)*2,I664*1.5)+N(J664)*0.5,2))</f>
        <v/>
      </c>
      <c r="L664" s="18" t="n"/>
      <c r="M664" s="18" t="n"/>
      <c r="N664" s="22" t="n"/>
    </row>
    <row r="665">
      <c r="A665" s="19" t="n"/>
      <c r="B665" s="25">
        <f>IF(A665="","",CHOOSE(WEEKDAY(A665,2),"월","화","수","목","금","토","일"))</f>
        <v/>
      </c>
      <c r="C665" s="18" t="n"/>
      <c r="D665" s="25">
        <f>IFERROR(IF(C665="","",INDEX(직원명부!$B$5:$B$24,MATCH(C665,직원명부!$A$5:$A$24,0))),"사번 확인")</f>
        <v/>
      </c>
      <c r="E665" s="34" t="n"/>
      <c r="F665" s="34" t="n"/>
      <c r="G665" s="28" t="n"/>
      <c r="H665" s="33">
        <f>IF(OR(E665="",F665=""),"",ROUND(MOD(F665-E665,1)*24-N(G665),2))</f>
        <v/>
      </c>
      <c r="I665" s="33">
        <f>IF(H665="","",ROUND(MAX(0,H665-8),2))</f>
        <v/>
      </c>
      <c r="J665" s="33">
        <f>IF(OR(E665="",F665=""),"",ROUND(IF(MOD(F665,1)&gt;=TIME(22,0,0),(MOD(F665,1)-TIME(22,0,0))*24,IF(MOD(F665,1)&lt;TIME(6,0,0),(MOD(F665,1)+1-TIME(22,0,0))*24,0)),2))</f>
        <v/>
      </c>
      <c r="K665" s="33">
        <f>IF(H665="","",ROUND(IF(L665="휴일근로",MIN(H665,8)*1.5+MAX(0,H665-8)*2,I665*1.5)+N(J665)*0.5,2))</f>
        <v/>
      </c>
      <c r="L665" s="18" t="n"/>
      <c r="M665" s="18" t="n"/>
      <c r="N665" s="22" t="n"/>
    </row>
    <row r="666">
      <c r="A666" s="19" t="n"/>
      <c r="B666" s="25">
        <f>IF(A666="","",CHOOSE(WEEKDAY(A666,2),"월","화","수","목","금","토","일"))</f>
        <v/>
      </c>
      <c r="C666" s="18" t="n"/>
      <c r="D666" s="25">
        <f>IFERROR(IF(C666="","",INDEX(직원명부!$B$5:$B$24,MATCH(C666,직원명부!$A$5:$A$24,0))),"사번 확인")</f>
        <v/>
      </c>
      <c r="E666" s="34" t="n"/>
      <c r="F666" s="34" t="n"/>
      <c r="G666" s="28" t="n"/>
      <c r="H666" s="33">
        <f>IF(OR(E666="",F666=""),"",ROUND(MOD(F666-E666,1)*24-N(G666),2))</f>
        <v/>
      </c>
      <c r="I666" s="33">
        <f>IF(H666="","",ROUND(MAX(0,H666-8),2))</f>
        <v/>
      </c>
      <c r="J666" s="33">
        <f>IF(OR(E666="",F666=""),"",ROUND(IF(MOD(F666,1)&gt;=TIME(22,0,0),(MOD(F666,1)-TIME(22,0,0))*24,IF(MOD(F666,1)&lt;TIME(6,0,0),(MOD(F666,1)+1-TIME(22,0,0))*24,0)),2))</f>
        <v/>
      </c>
      <c r="K666" s="33">
        <f>IF(H666="","",ROUND(IF(L666="휴일근로",MIN(H666,8)*1.5+MAX(0,H666-8)*2,I666*1.5)+N(J666)*0.5,2))</f>
        <v/>
      </c>
      <c r="L666" s="18" t="n"/>
      <c r="M666" s="18" t="n"/>
      <c r="N666" s="22" t="n"/>
    </row>
    <row r="667">
      <c r="A667" s="19" t="n"/>
      <c r="B667" s="25">
        <f>IF(A667="","",CHOOSE(WEEKDAY(A667,2),"월","화","수","목","금","토","일"))</f>
        <v/>
      </c>
      <c r="C667" s="18" t="n"/>
      <c r="D667" s="25">
        <f>IFERROR(IF(C667="","",INDEX(직원명부!$B$5:$B$24,MATCH(C667,직원명부!$A$5:$A$24,0))),"사번 확인")</f>
        <v/>
      </c>
      <c r="E667" s="34" t="n"/>
      <c r="F667" s="34" t="n"/>
      <c r="G667" s="28" t="n"/>
      <c r="H667" s="33">
        <f>IF(OR(E667="",F667=""),"",ROUND(MOD(F667-E667,1)*24-N(G667),2))</f>
        <v/>
      </c>
      <c r="I667" s="33">
        <f>IF(H667="","",ROUND(MAX(0,H667-8),2))</f>
        <v/>
      </c>
      <c r="J667" s="33">
        <f>IF(OR(E667="",F667=""),"",ROUND(IF(MOD(F667,1)&gt;=TIME(22,0,0),(MOD(F667,1)-TIME(22,0,0))*24,IF(MOD(F667,1)&lt;TIME(6,0,0),(MOD(F667,1)+1-TIME(22,0,0))*24,0)),2))</f>
        <v/>
      </c>
      <c r="K667" s="33">
        <f>IF(H667="","",ROUND(IF(L667="휴일근로",MIN(H667,8)*1.5+MAX(0,H667-8)*2,I667*1.5)+N(J667)*0.5,2))</f>
        <v/>
      </c>
      <c r="L667" s="18" t="n"/>
      <c r="M667" s="18" t="n"/>
      <c r="N667" s="22" t="n"/>
    </row>
    <row r="668">
      <c r="A668" s="19" t="n"/>
      <c r="B668" s="25">
        <f>IF(A668="","",CHOOSE(WEEKDAY(A668,2),"월","화","수","목","금","토","일"))</f>
        <v/>
      </c>
      <c r="C668" s="18" t="n"/>
      <c r="D668" s="25">
        <f>IFERROR(IF(C668="","",INDEX(직원명부!$B$5:$B$24,MATCH(C668,직원명부!$A$5:$A$24,0))),"사번 확인")</f>
        <v/>
      </c>
      <c r="E668" s="34" t="n"/>
      <c r="F668" s="34" t="n"/>
      <c r="G668" s="28" t="n"/>
      <c r="H668" s="33">
        <f>IF(OR(E668="",F668=""),"",ROUND(MOD(F668-E668,1)*24-N(G668),2))</f>
        <v/>
      </c>
      <c r="I668" s="33">
        <f>IF(H668="","",ROUND(MAX(0,H668-8),2))</f>
        <v/>
      </c>
      <c r="J668" s="33">
        <f>IF(OR(E668="",F668=""),"",ROUND(IF(MOD(F668,1)&gt;=TIME(22,0,0),(MOD(F668,1)-TIME(22,0,0))*24,IF(MOD(F668,1)&lt;TIME(6,0,0),(MOD(F668,1)+1-TIME(22,0,0))*24,0)),2))</f>
        <v/>
      </c>
      <c r="K668" s="33">
        <f>IF(H668="","",ROUND(IF(L668="휴일근로",MIN(H668,8)*1.5+MAX(0,H668-8)*2,I668*1.5)+N(J668)*0.5,2))</f>
        <v/>
      </c>
      <c r="L668" s="18" t="n"/>
      <c r="M668" s="18" t="n"/>
      <c r="N668" s="22" t="n"/>
    </row>
    <row r="669">
      <c r="A669" s="19" t="n"/>
      <c r="B669" s="25">
        <f>IF(A669="","",CHOOSE(WEEKDAY(A669,2),"월","화","수","목","금","토","일"))</f>
        <v/>
      </c>
      <c r="C669" s="18" t="n"/>
      <c r="D669" s="25">
        <f>IFERROR(IF(C669="","",INDEX(직원명부!$B$5:$B$24,MATCH(C669,직원명부!$A$5:$A$24,0))),"사번 확인")</f>
        <v/>
      </c>
      <c r="E669" s="34" t="n"/>
      <c r="F669" s="34" t="n"/>
      <c r="G669" s="28" t="n"/>
      <c r="H669" s="33">
        <f>IF(OR(E669="",F669=""),"",ROUND(MOD(F669-E669,1)*24-N(G669),2))</f>
        <v/>
      </c>
      <c r="I669" s="33">
        <f>IF(H669="","",ROUND(MAX(0,H669-8),2))</f>
        <v/>
      </c>
      <c r="J669" s="33">
        <f>IF(OR(E669="",F669=""),"",ROUND(IF(MOD(F669,1)&gt;=TIME(22,0,0),(MOD(F669,1)-TIME(22,0,0))*24,IF(MOD(F669,1)&lt;TIME(6,0,0),(MOD(F669,1)+1-TIME(22,0,0))*24,0)),2))</f>
        <v/>
      </c>
      <c r="K669" s="33">
        <f>IF(H669="","",ROUND(IF(L669="휴일근로",MIN(H669,8)*1.5+MAX(0,H669-8)*2,I669*1.5)+N(J669)*0.5,2))</f>
        <v/>
      </c>
      <c r="L669" s="18" t="n"/>
      <c r="M669" s="18" t="n"/>
      <c r="N669" s="22" t="n"/>
    </row>
    <row r="670">
      <c r="A670" s="19" t="n"/>
      <c r="B670" s="25">
        <f>IF(A670="","",CHOOSE(WEEKDAY(A670,2),"월","화","수","목","금","토","일"))</f>
        <v/>
      </c>
      <c r="C670" s="18" t="n"/>
      <c r="D670" s="25">
        <f>IFERROR(IF(C670="","",INDEX(직원명부!$B$5:$B$24,MATCH(C670,직원명부!$A$5:$A$24,0))),"사번 확인")</f>
        <v/>
      </c>
      <c r="E670" s="34" t="n"/>
      <c r="F670" s="34" t="n"/>
      <c r="G670" s="28" t="n"/>
      <c r="H670" s="33">
        <f>IF(OR(E670="",F670=""),"",ROUND(MOD(F670-E670,1)*24-N(G670),2))</f>
        <v/>
      </c>
      <c r="I670" s="33">
        <f>IF(H670="","",ROUND(MAX(0,H670-8),2))</f>
        <v/>
      </c>
      <c r="J670" s="33">
        <f>IF(OR(E670="",F670=""),"",ROUND(IF(MOD(F670,1)&gt;=TIME(22,0,0),(MOD(F670,1)-TIME(22,0,0))*24,IF(MOD(F670,1)&lt;TIME(6,0,0),(MOD(F670,1)+1-TIME(22,0,0))*24,0)),2))</f>
        <v/>
      </c>
      <c r="K670" s="33">
        <f>IF(H670="","",ROUND(IF(L670="휴일근로",MIN(H670,8)*1.5+MAX(0,H670-8)*2,I670*1.5)+N(J670)*0.5,2))</f>
        <v/>
      </c>
      <c r="L670" s="18" t="n"/>
      <c r="M670" s="18" t="n"/>
      <c r="N670" s="22" t="n"/>
    </row>
    <row r="671">
      <c r="A671" s="19" t="n"/>
      <c r="B671" s="25">
        <f>IF(A671="","",CHOOSE(WEEKDAY(A671,2),"월","화","수","목","금","토","일"))</f>
        <v/>
      </c>
      <c r="C671" s="18" t="n"/>
      <c r="D671" s="25">
        <f>IFERROR(IF(C671="","",INDEX(직원명부!$B$5:$B$24,MATCH(C671,직원명부!$A$5:$A$24,0))),"사번 확인")</f>
        <v/>
      </c>
      <c r="E671" s="34" t="n"/>
      <c r="F671" s="34" t="n"/>
      <c r="G671" s="28" t="n"/>
      <c r="H671" s="33">
        <f>IF(OR(E671="",F671=""),"",ROUND(MOD(F671-E671,1)*24-N(G671),2))</f>
        <v/>
      </c>
      <c r="I671" s="33">
        <f>IF(H671="","",ROUND(MAX(0,H671-8),2))</f>
        <v/>
      </c>
      <c r="J671" s="33">
        <f>IF(OR(E671="",F671=""),"",ROUND(IF(MOD(F671,1)&gt;=TIME(22,0,0),(MOD(F671,1)-TIME(22,0,0))*24,IF(MOD(F671,1)&lt;TIME(6,0,0),(MOD(F671,1)+1-TIME(22,0,0))*24,0)),2))</f>
        <v/>
      </c>
      <c r="K671" s="33">
        <f>IF(H671="","",ROUND(IF(L671="휴일근로",MIN(H671,8)*1.5+MAX(0,H671-8)*2,I671*1.5)+N(J671)*0.5,2))</f>
        <v/>
      </c>
      <c r="L671" s="18" t="n"/>
      <c r="M671" s="18" t="n"/>
      <c r="N671" s="22" t="n"/>
    </row>
    <row r="672">
      <c r="A672" s="19" t="n"/>
      <c r="B672" s="25">
        <f>IF(A672="","",CHOOSE(WEEKDAY(A672,2),"월","화","수","목","금","토","일"))</f>
        <v/>
      </c>
      <c r="C672" s="18" t="n"/>
      <c r="D672" s="25">
        <f>IFERROR(IF(C672="","",INDEX(직원명부!$B$5:$B$24,MATCH(C672,직원명부!$A$5:$A$24,0))),"사번 확인")</f>
        <v/>
      </c>
      <c r="E672" s="34" t="n"/>
      <c r="F672" s="34" t="n"/>
      <c r="G672" s="28" t="n"/>
      <c r="H672" s="33">
        <f>IF(OR(E672="",F672=""),"",ROUND(MOD(F672-E672,1)*24-N(G672),2))</f>
        <v/>
      </c>
      <c r="I672" s="33">
        <f>IF(H672="","",ROUND(MAX(0,H672-8),2))</f>
        <v/>
      </c>
      <c r="J672" s="33">
        <f>IF(OR(E672="",F672=""),"",ROUND(IF(MOD(F672,1)&gt;=TIME(22,0,0),(MOD(F672,1)-TIME(22,0,0))*24,IF(MOD(F672,1)&lt;TIME(6,0,0),(MOD(F672,1)+1-TIME(22,0,0))*24,0)),2))</f>
        <v/>
      </c>
      <c r="K672" s="33">
        <f>IF(H672="","",ROUND(IF(L672="휴일근로",MIN(H672,8)*1.5+MAX(0,H672-8)*2,I672*1.5)+N(J672)*0.5,2))</f>
        <v/>
      </c>
      <c r="L672" s="18" t="n"/>
      <c r="M672" s="18" t="n"/>
      <c r="N672" s="22" t="n"/>
    </row>
    <row r="673">
      <c r="A673" s="19" t="n"/>
      <c r="B673" s="25">
        <f>IF(A673="","",CHOOSE(WEEKDAY(A673,2),"월","화","수","목","금","토","일"))</f>
        <v/>
      </c>
      <c r="C673" s="18" t="n"/>
      <c r="D673" s="25">
        <f>IFERROR(IF(C673="","",INDEX(직원명부!$B$5:$B$24,MATCH(C673,직원명부!$A$5:$A$24,0))),"사번 확인")</f>
        <v/>
      </c>
      <c r="E673" s="34" t="n"/>
      <c r="F673" s="34" t="n"/>
      <c r="G673" s="28" t="n"/>
      <c r="H673" s="33">
        <f>IF(OR(E673="",F673=""),"",ROUND(MOD(F673-E673,1)*24-N(G673),2))</f>
        <v/>
      </c>
      <c r="I673" s="33">
        <f>IF(H673="","",ROUND(MAX(0,H673-8),2))</f>
        <v/>
      </c>
      <c r="J673" s="33">
        <f>IF(OR(E673="",F673=""),"",ROUND(IF(MOD(F673,1)&gt;=TIME(22,0,0),(MOD(F673,1)-TIME(22,0,0))*24,IF(MOD(F673,1)&lt;TIME(6,0,0),(MOD(F673,1)+1-TIME(22,0,0))*24,0)),2))</f>
        <v/>
      </c>
      <c r="K673" s="33">
        <f>IF(H673="","",ROUND(IF(L673="휴일근로",MIN(H673,8)*1.5+MAX(0,H673-8)*2,I673*1.5)+N(J673)*0.5,2))</f>
        <v/>
      </c>
      <c r="L673" s="18" t="n"/>
      <c r="M673" s="18" t="n"/>
      <c r="N673" s="22" t="n"/>
    </row>
    <row r="674">
      <c r="A674" s="19" t="n"/>
      <c r="B674" s="25">
        <f>IF(A674="","",CHOOSE(WEEKDAY(A674,2),"월","화","수","목","금","토","일"))</f>
        <v/>
      </c>
      <c r="C674" s="18" t="n"/>
      <c r="D674" s="25">
        <f>IFERROR(IF(C674="","",INDEX(직원명부!$B$5:$B$24,MATCH(C674,직원명부!$A$5:$A$24,0))),"사번 확인")</f>
        <v/>
      </c>
      <c r="E674" s="34" t="n"/>
      <c r="F674" s="34" t="n"/>
      <c r="G674" s="28" t="n"/>
      <c r="H674" s="33">
        <f>IF(OR(E674="",F674=""),"",ROUND(MOD(F674-E674,1)*24-N(G674),2))</f>
        <v/>
      </c>
      <c r="I674" s="33">
        <f>IF(H674="","",ROUND(MAX(0,H674-8),2))</f>
        <v/>
      </c>
      <c r="J674" s="33">
        <f>IF(OR(E674="",F674=""),"",ROUND(IF(MOD(F674,1)&gt;=TIME(22,0,0),(MOD(F674,1)-TIME(22,0,0))*24,IF(MOD(F674,1)&lt;TIME(6,0,0),(MOD(F674,1)+1-TIME(22,0,0))*24,0)),2))</f>
        <v/>
      </c>
      <c r="K674" s="33">
        <f>IF(H674="","",ROUND(IF(L674="휴일근로",MIN(H674,8)*1.5+MAX(0,H674-8)*2,I674*1.5)+N(J674)*0.5,2))</f>
        <v/>
      </c>
      <c r="L674" s="18" t="n"/>
      <c r="M674" s="18" t="n"/>
      <c r="N674" s="22" t="n"/>
    </row>
    <row r="675">
      <c r="A675" s="19" t="n"/>
      <c r="B675" s="25">
        <f>IF(A675="","",CHOOSE(WEEKDAY(A675,2),"월","화","수","목","금","토","일"))</f>
        <v/>
      </c>
      <c r="C675" s="18" t="n"/>
      <c r="D675" s="25">
        <f>IFERROR(IF(C675="","",INDEX(직원명부!$B$5:$B$24,MATCH(C675,직원명부!$A$5:$A$24,0))),"사번 확인")</f>
        <v/>
      </c>
      <c r="E675" s="34" t="n"/>
      <c r="F675" s="34" t="n"/>
      <c r="G675" s="28" t="n"/>
      <c r="H675" s="33">
        <f>IF(OR(E675="",F675=""),"",ROUND(MOD(F675-E675,1)*24-N(G675),2))</f>
        <v/>
      </c>
      <c r="I675" s="33">
        <f>IF(H675="","",ROUND(MAX(0,H675-8),2))</f>
        <v/>
      </c>
      <c r="J675" s="33">
        <f>IF(OR(E675="",F675=""),"",ROUND(IF(MOD(F675,1)&gt;=TIME(22,0,0),(MOD(F675,1)-TIME(22,0,0))*24,IF(MOD(F675,1)&lt;TIME(6,0,0),(MOD(F675,1)+1-TIME(22,0,0))*24,0)),2))</f>
        <v/>
      </c>
      <c r="K675" s="33">
        <f>IF(H675="","",ROUND(IF(L675="휴일근로",MIN(H675,8)*1.5+MAX(0,H675-8)*2,I675*1.5)+N(J675)*0.5,2))</f>
        <v/>
      </c>
      <c r="L675" s="18" t="n"/>
      <c r="M675" s="18" t="n"/>
      <c r="N675" s="22" t="n"/>
    </row>
    <row r="676">
      <c r="A676" s="19" t="n"/>
      <c r="B676" s="25">
        <f>IF(A676="","",CHOOSE(WEEKDAY(A676,2),"월","화","수","목","금","토","일"))</f>
        <v/>
      </c>
      <c r="C676" s="18" t="n"/>
      <c r="D676" s="25">
        <f>IFERROR(IF(C676="","",INDEX(직원명부!$B$5:$B$24,MATCH(C676,직원명부!$A$5:$A$24,0))),"사번 확인")</f>
        <v/>
      </c>
      <c r="E676" s="34" t="n"/>
      <c r="F676" s="34" t="n"/>
      <c r="G676" s="28" t="n"/>
      <c r="H676" s="33">
        <f>IF(OR(E676="",F676=""),"",ROUND(MOD(F676-E676,1)*24-N(G676),2))</f>
        <v/>
      </c>
      <c r="I676" s="33">
        <f>IF(H676="","",ROUND(MAX(0,H676-8),2))</f>
        <v/>
      </c>
      <c r="J676" s="33">
        <f>IF(OR(E676="",F676=""),"",ROUND(IF(MOD(F676,1)&gt;=TIME(22,0,0),(MOD(F676,1)-TIME(22,0,0))*24,IF(MOD(F676,1)&lt;TIME(6,0,0),(MOD(F676,1)+1-TIME(22,0,0))*24,0)),2))</f>
        <v/>
      </c>
      <c r="K676" s="33">
        <f>IF(H676="","",ROUND(IF(L676="휴일근로",MIN(H676,8)*1.5+MAX(0,H676-8)*2,I676*1.5)+N(J676)*0.5,2))</f>
        <v/>
      </c>
      <c r="L676" s="18" t="n"/>
      <c r="M676" s="18" t="n"/>
      <c r="N676" s="22" t="n"/>
    </row>
    <row r="677">
      <c r="A677" s="19" t="n"/>
      <c r="B677" s="25">
        <f>IF(A677="","",CHOOSE(WEEKDAY(A677,2),"월","화","수","목","금","토","일"))</f>
        <v/>
      </c>
      <c r="C677" s="18" t="n"/>
      <c r="D677" s="25">
        <f>IFERROR(IF(C677="","",INDEX(직원명부!$B$5:$B$24,MATCH(C677,직원명부!$A$5:$A$24,0))),"사번 확인")</f>
        <v/>
      </c>
      <c r="E677" s="34" t="n"/>
      <c r="F677" s="34" t="n"/>
      <c r="G677" s="28" t="n"/>
      <c r="H677" s="33">
        <f>IF(OR(E677="",F677=""),"",ROUND(MOD(F677-E677,1)*24-N(G677),2))</f>
        <v/>
      </c>
      <c r="I677" s="33">
        <f>IF(H677="","",ROUND(MAX(0,H677-8),2))</f>
        <v/>
      </c>
      <c r="J677" s="33">
        <f>IF(OR(E677="",F677=""),"",ROUND(IF(MOD(F677,1)&gt;=TIME(22,0,0),(MOD(F677,1)-TIME(22,0,0))*24,IF(MOD(F677,1)&lt;TIME(6,0,0),(MOD(F677,1)+1-TIME(22,0,0))*24,0)),2))</f>
        <v/>
      </c>
      <c r="K677" s="33">
        <f>IF(H677="","",ROUND(IF(L677="휴일근로",MIN(H677,8)*1.5+MAX(0,H677-8)*2,I677*1.5)+N(J677)*0.5,2))</f>
        <v/>
      </c>
      <c r="L677" s="18" t="n"/>
      <c r="M677" s="18" t="n"/>
      <c r="N677" s="22" t="n"/>
    </row>
    <row r="678">
      <c r="A678" s="19" t="n"/>
      <c r="B678" s="25">
        <f>IF(A678="","",CHOOSE(WEEKDAY(A678,2),"월","화","수","목","금","토","일"))</f>
        <v/>
      </c>
      <c r="C678" s="18" t="n"/>
      <c r="D678" s="25">
        <f>IFERROR(IF(C678="","",INDEX(직원명부!$B$5:$B$24,MATCH(C678,직원명부!$A$5:$A$24,0))),"사번 확인")</f>
        <v/>
      </c>
      <c r="E678" s="34" t="n"/>
      <c r="F678" s="34" t="n"/>
      <c r="G678" s="28" t="n"/>
      <c r="H678" s="33">
        <f>IF(OR(E678="",F678=""),"",ROUND(MOD(F678-E678,1)*24-N(G678),2))</f>
        <v/>
      </c>
      <c r="I678" s="33">
        <f>IF(H678="","",ROUND(MAX(0,H678-8),2))</f>
        <v/>
      </c>
      <c r="J678" s="33">
        <f>IF(OR(E678="",F678=""),"",ROUND(IF(MOD(F678,1)&gt;=TIME(22,0,0),(MOD(F678,1)-TIME(22,0,0))*24,IF(MOD(F678,1)&lt;TIME(6,0,0),(MOD(F678,1)+1-TIME(22,0,0))*24,0)),2))</f>
        <v/>
      </c>
      <c r="K678" s="33">
        <f>IF(H678="","",ROUND(IF(L678="휴일근로",MIN(H678,8)*1.5+MAX(0,H678-8)*2,I678*1.5)+N(J678)*0.5,2))</f>
        <v/>
      </c>
      <c r="L678" s="18" t="n"/>
      <c r="M678" s="18" t="n"/>
      <c r="N678" s="22" t="n"/>
    </row>
    <row r="679">
      <c r="A679" s="19" t="n"/>
      <c r="B679" s="25">
        <f>IF(A679="","",CHOOSE(WEEKDAY(A679,2),"월","화","수","목","금","토","일"))</f>
        <v/>
      </c>
      <c r="C679" s="18" t="n"/>
      <c r="D679" s="25">
        <f>IFERROR(IF(C679="","",INDEX(직원명부!$B$5:$B$24,MATCH(C679,직원명부!$A$5:$A$24,0))),"사번 확인")</f>
        <v/>
      </c>
      <c r="E679" s="34" t="n"/>
      <c r="F679" s="34" t="n"/>
      <c r="G679" s="28" t="n"/>
      <c r="H679" s="33">
        <f>IF(OR(E679="",F679=""),"",ROUND(MOD(F679-E679,1)*24-N(G679),2))</f>
        <v/>
      </c>
      <c r="I679" s="33">
        <f>IF(H679="","",ROUND(MAX(0,H679-8),2))</f>
        <v/>
      </c>
      <c r="J679" s="33">
        <f>IF(OR(E679="",F679=""),"",ROUND(IF(MOD(F679,1)&gt;=TIME(22,0,0),(MOD(F679,1)-TIME(22,0,0))*24,IF(MOD(F679,1)&lt;TIME(6,0,0),(MOD(F679,1)+1-TIME(22,0,0))*24,0)),2))</f>
        <v/>
      </c>
      <c r="K679" s="33">
        <f>IF(H679="","",ROUND(IF(L679="휴일근로",MIN(H679,8)*1.5+MAX(0,H679-8)*2,I679*1.5)+N(J679)*0.5,2))</f>
        <v/>
      </c>
      <c r="L679" s="18" t="n"/>
      <c r="M679" s="18" t="n"/>
      <c r="N679" s="22" t="n"/>
    </row>
    <row r="680">
      <c r="A680" s="19" t="n"/>
      <c r="B680" s="25">
        <f>IF(A680="","",CHOOSE(WEEKDAY(A680,2),"월","화","수","목","금","토","일"))</f>
        <v/>
      </c>
      <c r="C680" s="18" t="n"/>
      <c r="D680" s="25">
        <f>IFERROR(IF(C680="","",INDEX(직원명부!$B$5:$B$24,MATCH(C680,직원명부!$A$5:$A$24,0))),"사번 확인")</f>
        <v/>
      </c>
      <c r="E680" s="34" t="n"/>
      <c r="F680" s="34" t="n"/>
      <c r="G680" s="28" t="n"/>
      <c r="H680" s="33">
        <f>IF(OR(E680="",F680=""),"",ROUND(MOD(F680-E680,1)*24-N(G680),2))</f>
        <v/>
      </c>
      <c r="I680" s="33">
        <f>IF(H680="","",ROUND(MAX(0,H680-8),2))</f>
        <v/>
      </c>
      <c r="J680" s="33">
        <f>IF(OR(E680="",F680=""),"",ROUND(IF(MOD(F680,1)&gt;=TIME(22,0,0),(MOD(F680,1)-TIME(22,0,0))*24,IF(MOD(F680,1)&lt;TIME(6,0,0),(MOD(F680,1)+1-TIME(22,0,0))*24,0)),2))</f>
        <v/>
      </c>
      <c r="K680" s="33">
        <f>IF(H680="","",ROUND(IF(L680="휴일근로",MIN(H680,8)*1.5+MAX(0,H680-8)*2,I680*1.5)+N(J680)*0.5,2))</f>
        <v/>
      </c>
      <c r="L680" s="18" t="n"/>
      <c r="M680" s="18" t="n"/>
      <c r="N680" s="22" t="n"/>
    </row>
    <row r="681">
      <c r="A681" s="19" t="n"/>
      <c r="B681" s="25">
        <f>IF(A681="","",CHOOSE(WEEKDAY(A681,2),"월","화","수","목","금","토","일"))</f>
        <v/>
      </c>
      <c r="C681" s="18" t="n"/>
      <c r="D681" s="25">
        <f>IFERROR(IF(C681="","",INDEX(직원명부!$B$5:$B$24,MATCH(C681,직원명부!$A$5:$A$24,0))),"사번 확인")</f>
        <v/>
      </c>
      <c r="E681" s="34" t="n"/>
      <c r="F681" s="34" t="n"/>
      <c r="G681" s="28" t="n"/>
      <c r="H681" s="33">
        <f>IF(OR(E681="",F681=""),"",ROUND(MOD(F681-E681,1)*24-N(G681),2))</f>
        <v/>
      </c>
      <c r="I681" s="33">
        <f>IF(H681="","",ROUND(MAX(0,H681-8),2))</f>
        <v/>
      </c>
      <c r="J681" s="33">
        <f>IF(OR(E681="",F681=""),"",ROUND(IF(MOD(F681,1)&gt;=TIME(22,0,0),(MOD(F681,1)-TIME(22,0,0))*24,IF(MOD(F681,1)&lt;TIME(6,0,0),(MOD(F681,1)+1-TIME(22,0,0))*24,0)),2))</f>
        <v/>
      </c>
      <c r="K681" s="33">
        <f>IF(H681="","",ROUND(IF(L681="휴일근로",MIN(H681,8)*1.5+MAX(0,H681-8)*2,I681*1.5)+N(J681)*0.5,2))</f>
        <v/>
      </c>
      <c r="L681" s="18" t="n"/>
      <c r="M681" s="18" t="n"/>
      <c r="N681" s="22" t="n"/>
    </row>
    <row r="682">
      <c r="A682" s="19" t="n"/>
      <c r="B682" s="25">
        <f>IF(A682="","",CHOOSE(WEEKDAY(A682,2),"월","화","수","목","금","토","일"))</f>
        <v/>
      </c>
      <c r="C682" s="18" t="n"/>
      <c r="D682" s="25">
        <f>IFERROR(IF(C682="","",INDEX(직원명부!$B$5:$B$24,MATCH(C682,직원명부!$A$5:$A$24,0))),"사번 확인")</f>
        <v/>
      </c>
      <c r="E682" s="34" t="n"/>
      <c r="F682" s="34" t="n"/>
      <c r="G682" s="28" t="n"/>
      <c r="H682" s="33">
        <f>IF(OR(E682="",F682=""),"",ROUND(MOD(F682-E682,1)*24-N(G682),2))</f>
        <v/>
      </c>
      <c r="I682" s="33">
        <f>IF(H682="","",ROUND(MAX(0,H682-8),2))</f>
        <v/>
      </c>
      <c r="J682" s="33">
        <f>IF(OR(E682="",F682=""),"",ROUND(IF(MOD(F682,1)&gt;=TIME(22,0,0),(MOD(F682,1)-TIME(22,0,0))*24,IF(MOD(F682,1)&lt;TIME(6,0,0),(MOD(F682,1)+1-TIME(22,0,0))*24,0)),2))</f>
        <v/>
      </c>
      <c r="K682" s="33">
        <f>IF(H682="","",ROUND(IF(L682="휴일근로",MIN(H682,8)*1.5+MAX(0,H682-8)*2,I682*1.5)+N(J682)*0.5,2))</f>
        <v/>
      </c>
      <c r="L682" s="18" t="n"/>
      <c r="M682" s="18" t="n"/>
      <c r="N682" s="22" t="n"/>
    </row>
    <row r="683">
      <c r="A683" s="19" t="n"/>
      <c r="B683" s="25">
        <f>IF(A683="","",CHOOSE(WEEKDAY(A683,2),"월","화","수","목","금","토","일"))</f>
        <v/>
      </c>
      <c r="C683" s="18" t="n"/>
      <c r="D683" s="25">
        <f>IFERROR(IF(C683="","",INDEX(직원명부!$B$5:$B$24,MATCH(C683,직원명부!$A$5:$A$24,0))),"사번 확인")</f>
        <v/>
      </c>
      <c r="E683" s="34" t="n"/>
      <c r="F683" s="34" t="n"/>
      <c r="G683" s="28" t="n"/>
      <c r="H683" s="33">
        <f>IF(OR(E683="",F683=""),"",ROUND(MOD(F683-E683,1)*24-N(G683),2))</f>
        <v/>
      </c>
      <c r="I683" s="33">
        <f>IF(H683="","",ROUND(MAX(0,H683-8),2))</f>
        <v/>
      </c>
      <c r="J683" s="33">
        <f>IF(OR(E683="",F683=""),"",ROUND(IF(MOD(F683,1)&gt;=TIME(22,0,0),(MOD(F683,1)-TIME(22,0,0))*24,IF(MOD(F683,1)&lt;TIME(6,0,0),(MOD(F683,1)+1-TIME(22,0,0))*24,0)),2))</f>
        <v/>
      </c>
      <c r="K683" s="33">
        <f>IF(H683="","",ROUND(IF(L683="휴일근로",MIN(H683,8)*1.5+MAX(0,H683-8)*2,I683*1.5)+N(J683)*0.5,2))</f>
        <v/>
      </c>
      <c r="L683" s="18" t="n"/>
      <c r="M683" s="18" t="n"/>
      <c r="N683" s="22" t="n"/>
    </row>
    <row r="684">
      <c r="A684" s="19" t="n"/>
      <c r="B684" s="25">
        <f>IF(A684="","",CHOOSE(WEEKDAY(A684,2),"월","화","수","목","금","토","일"))</f>
        <v/>
      </c>
      <c r="C684" s="18" t="n"/>
      <c r="D684" s="25">
        <f>IFERROR(IF(C684="","",INDEX(직원명부!$B$5:$B$24,MATCH(C684,직원명부!$A$5:$A$24,0))),"사번 확인")</f>
        <v/>
      </c>
      <c r="E684" s="34" t="n"/>
      <c r="F684" s="34" t="n"/>
      <c r="G684" s="28" t="n"/>
      <c r="H684" s="33">
        <f>IF(OR(E684="",F684=""),"",ROUND(MOD(F684-E684,1)*24-N(G684),2))</f>
        <v/>
      </c>
      <c r="I684" s="33">
        <f>IF(H684="","",ROUND(MAX(0,H684-8),2))</f>
        <v/>
      </c>
      <c r="J684" s="33">
        <f>IF(OR(E684="",F684=""),"",ROUND(IF(MOD(F684,1)&gt;=TIME(22,0,0),(MOD(F684,1)-TIME(22,0,0))*24,IF(MOD(F684,1)&lt;TIME(6,0,0),(MOD(F684,1)+1-TIME(22,0,0))*24,0)),2))</f>
        <v/>
      </c>
      <c r="K684" s="33">
        <f>IF(H684="","",ROUND(IF(L684="휴일근로",MIN(H684,8)*1.5+MAX(0,H684-8)*2,I684*1.5)+N(J684)*0.5,2))</f>
        <v/>
      </c>
      <c r="L684" s="18" t="n"/>
      <c r="M684" s="18" t="n"/>
      <c r="N684" s="22" t="n"/>
    </row>
    <row r="685">
      <c r="A685" s="19" t="n"/>
      <c r="B685" s="25">
        <f>IF(A685="","",CHOOSE(WEEKDAY(A685,2),"월","화","수","목","금","토","일"))</f>
        <v/>
      </c>
      <c r="C685" s="18" t="n"/>
      <c r="D685" s="25">
        <f>IFERROR(IF(C685="","",INDEX(직원명부!$B$5:$B$24,MATCH(C685,직원명부!$A$5:$A$24,0))),"사번 확인")</f>
        <v/>
      </c>
      <c r="E685" s="34" t="n"/>
      <c r="F685" s="34" t="n"/>
      <c r="G685" s="28" t="n"/>
      <c r="H685" s="33">
        <f>IF(OR(E685="",F685=""),"",ROUND(MOD(F685-E685,1)*24-N(G685),2))</f>
        <v/>
      </c>
      <c r="I685" s="33">
        <f>IF(H685="","",ROUND(MAX(0,H685-8),2))</f>
        <v/>
      </c>
      <c r="J685" s="33">
        <f>IF(OR(E685="",F685=""),"",ROUND(IF(MOD(F685,1)&gt;=TIME(22,0,0),(MOD(F685,1)-TIME(22,0,0))*24,IF(MOD(F685,1)&lt;TIME(6,0,0),(MOD(F685,1)+1-TIME(22,0,0))*24,0)),2))</f>
        <v/>
      </c>
      <c r="K685" s="33">
        <f>IF(H685="","",ROUND(IF(L685="휴일근로",MIN(H685,8)*1.5+MAX(0,H685-8)*2,I685*1.5)+N(J685)*0.5,2))</f>
        <v/>
      </c>
      <c r="L685" s="18" t="n"/>
      <c r="M685" s="18" t="n"/>
      <c r="N685" s="22" t="n"/>
    </row>
    <row r="686">
      <c r="A686" s="19" t="n"/>
      <c r="B686" s="25">
        <f>IF(A686="","",CHOOSE(WEEKDAY(A686,2),"월","화","수","목","금","토","일"))</f>
        <v/>
      </c>
      <c r="C686" s="18" t="n"/>
      <c r="D686" s="25">
        <f>IFERROR(IF(C686="","",INDEX(직원명부!$B$5:$B$24,MATCH(C686,직원명부!$A$5:$A$24,0))),"사번 확인")</f>
        <v/>
      </c>
      <c r="E686" s="34" t="n"/>
      <c r="F686" s="34" t="n"/>
      <c r="G686" s="28" t="n"/>
      <c r="H686" s="33">
        <f>IF(OR(E686="",F686=""),"",ROUND(MOD(F686-E686,1)*24-N(G686),2))</f>
        <v/>
      </c>
      <c r="I686" s="33">
        <f>IF(H686="","",ROUND(MAX(0,H686-8),2))</f>
        <v/>
      </c>
      <c r="J686" s="33">
        <f>IF(OR(E686="",F686=""),"",ROUND(IF(MOD(F686,1)&gt;=TIME(22,0,0),(MOD(F686,1)-TIME(22,0,0))*24,IF(MOD(F686,1)&lt;TIME(6,0,0),(MOD(F686,1)+1-TIME(22,0,0))*24,0)),2))</f>
        <v/>
      </c>
      <c r="K686" s="33">
        <f>IF(H686="","",ROUND(IF(L686="휴일근로",MIN(H686,8)*1.5+MAX(0,H686-8)*2,I686*1.5)+N(J686)*0.5,2))</f>
        <v/>
      </c>
      <c r="L686" s="18" t="n"/>
      <c r="M686" s="18" t="n"/>
      <c r="N686" s="22" t="n"/>
    </row>
    <row r="687">
      <c r="A687" s="19" t="n"/>
      <c r="B687" s="25">
        <f>IF(A687="","",CHOOSE(WEEKDAY(A687,2),"월","화","수","목","금","토","일"))</f>
        <v/>
      </c>
      <c r="C687" s="18" t="n"/>
      <c r="D687" s="25">
        <f>IFERROR(IF(C687="","",INDEX(직원명부!$B$5:$B$24,MATCH(C687,직원명부!$A$5:$A$24,0))),"사번 확인")</f>
        <v/>
      </c>
      <c r="E687" s="34" t="n"/>
      <c r="F687" s="34" t="n"/>
      <c r="G687" s="28" t="n"/>
      <c r="H687" s="33">
        <f>IF(OR(E687="",F687=""),"",ROUND(MOD(F687-E687,1)*24-N(G687),2))</f>
        <v/>
      </c>
      <c r="I687" s="33">
        <f>IF(H687="","",ROUND(MAX(0,H687-8),2))</f>
        <v/>
      </c>
      <c r="J687" s="33">
        <f>IF(OR(E687="",F687=""),"",ROUND(IF(MOD(F687,1)&gt;=TIME(22,0,0),(MOD(F687,1)-TIME(22,0,0))*24,IF(MOD(F687,1)&lt;TIME(6,0,0),(MOD(F687,1)+1-TIME(22,0,0))*24,0)),2))</f>
        <v/>
      </c>
      <c r="K687" s="33">
        <f>IF(H687="","",ROUND(IF(L687="휴일근로",MIN(H687,8)*1.5+MAX(0,H687-8)*2,I687*1.5)+N(J687)*0.5,2))</f>
        <v/>
      </c>
      <c r="L687" s="18" t="n"/>
      <c r="M687" s="18" t="n"/>
      <c r="N687" s="22" t="n"/>
    </row>
    <row r="688">
      <c r="A688" s="19" t="n"/>
      <c r="B688" s="25">
        <f>IF(A688="","",CHOOSE(WEEKDAY(A688,2),"월","화","수","목","금","토","일"))</f>
        <v/>
      </c>
      <c r="C688" s="18" t="n"/>
      <c r="D688" s="25">
        <f>IFERROR(IF(C688="","",INDEX(직원명부!$B$5:$B$24,MATCH(C688,직원명부!$A$5:$A$24,0))),"사번 확인")</f>
        <v/>
      </c>
      <c r="E688" s="34" t="n"/>
      <c r="F688" s="34" t="n"/>
      <c r="G688" s="28" t="n"/>
      <c r="H688" s="33">
        <f>IF(OR(E688="",F688=""),"",ROUND(MOD(F688-E688,1)*24-N(G688),2))</f>
        <v/>
      </c>
      <c r="I688" s="33">
        <f>IF(H688="","",ROUND(MAX(0,H688-8),2))</f>
        <v/>
      </c>
      <c r="J688" s="33">
        <f>IF(OR(E688="",F688=""),"",ROUND(IF(MOD(F688,1)&gt;=TIME(22,0,0),(MOD(F688,1)-TIME(22,0,0))*24,IF(MOD(F688,1)&lt;TIME(6,0,0),(MOD(F688,1)+1-TIME(22,0,0))*24,0)),2))</f>
        <v/>
      </c>
      <c r="K688" s="33">
        <f>IF(H688="","",ROUND(IF(L688="휴일근로",MIN(H688,8)*1.5+MAX(0,H688-8)*2,I688*1.5)+N(J688)*0.5,2))</f>
        <v/>
      </c>
      <c r="L688" s="18" t="n"/>
      <c r="M688" s="18" t="n"/>
      <c r="N688" s="22" t="n"/>
    </row>
    <row r="689">
      <c r="A689" s="19" t="n"/>
      <c r="B689" s="25">
        <f>IF(A689="","",CHOOSE(WEEKDAY(A689,2),"월","화","수","목","금","토","일"))</f>
        <v/>
      </c>
      <c r="C689" s="18" t="n"/>
      <c r="D689" s="25">
        <f>IFERROR(IF(C689="","",INDEX(직원명부!$B$5:$B$24,MATCH(C689,직원명부!$A$5:$A$24,0))),"사번 확인")</f>
        <v/>
      </c>
      <c r="E689" s="34" t="n"/>
      <c r="F689" s="34" t="n"/>
      <c r="G689" s="28" t="n"/>
      <c r="H689" s="33">
        <f>IF(OR(E689="",F689=""),"",ROUND(MOD(F689-E689,1)*24-N(G689),2))</f>
        <v/>
      </c>
      <c r="I689" s="33">
        <f>IF(H689="","",ROUND(MAX(0,H689-8),2))</f>
        <v/>
      </c>
      <c r="J689" s="33">
        <f>IF(OR(E689="",F689=""),"",ROUND(IF(MOD(F689,1)&gt;=TIME(22,0,0),(MOD(F689,1)-TIME(22,0,0))*24,IF(MOD(F689,1)&lt;TIME(6,0,0),(MOD(F689,1)+1-TIME(22,0,0))*24,0)),2))</f>
        <v/>
      </c>
      <c r="K689" s="33">
        <f>IF(H689="","",ROUND(IF(L689="휴일근로",MIN(H689,8)*1.5+MAX(0,H689-8)*2,I689*1.5)+N(J689)*0.5,2))</f>
        <v/>
      </c>
      <c r="L689" s="18" t="n"/>
      <c r="M689" s="18" t="n"/>
      <c r="N689" s="22" t="n"/>
    </row>
    <row r="690">
      <c r="A690" s="19" t="n"/>
      <c r="B690" s="25">
        <f>IF(A690="","",CHOOSE(WEEKDAY(A690,2),"월","화","수","목","금","토","일"))</f>
        <v/>
      </c>
      <c r="C690" s="18" t="n"/>
      <c r="D690" s="25">
        <f>IFERROR(IF(C690="","",INDEX(직원명부!$B$5:$B$24,MATCH(C690,직원명부!$A$5:$A$24,0))),"사번 확인")</f>
        <v/>
      </c>
      <c r="E690" s="34" t="n"/>
      <c r="F690" s="34" t="n"/>
      <c r="G690" s="28" t="n"/>
      <c r="H690" s="33">
        <f>IF(OR(E690="",F690=""),"",ROUND(MOD(F690-E690,1)*24-N(G690),2))</f>
        <v/>
      </c>
      <c r="I690" s="33">
        <f>IF(H690="","",ROUND(MAX(0,H690-8),2))</f>
        <v/>
      </c>
      <c r="J690" s="33">
        <f>IF(OR(E690="",F690=""),"",ROUND(IF(MOD(F690,1)&gt;=TIME(22,0,0),(MOD(F690,1)-TIME(22,0,0))*24,IF(MOD(F690,1)&lt;TIME(6,0,0),(MOD(F690,1)+1-TIME(22,0,0))*24,0)),2))</f>
        <v/>
      </c>
      <c r="K690" s="33">
        <f>IF(H690="","",ROUND(IF(L690="휴일근로",MIN(H690,8)*1.5+MAX(0,H690-8)*2,I690*1.5)+N(J690)*0.5,2))</f>
        <v/>
      </c>
      <c r="L690" s="18" t="n"/>
      <c r="M690" s="18" t="n"/>
      <c r="N690" s="22" t="n"/>
    </row>
    <row r="691">
      <c r="A691" s="19" t="n"/>
      <c r="B691" s="25">
        <f>IF(A691="","",CHOOSE(WEEKDAY(A691,2),"월","화","수","목","금","토","일"))</f>
        <v/>
      </c>
      <c r="C691" s="18" t="n"/>
      <c r="D691" s="25">
        <f>IFERROR(IF(C691="","",INDEX(직원명부!$B$5:$B$24,MATCH(C691,직원명부!$A$5:$A$24,0))),"사번 확인")</f>
        <v/>
      </c>
      <c r="E691" s="34" t="n"/>
      <c r="F691" s="34" t="n"/>
      <c r="G691" s="28" t="n"/>
      <c r="H691" s="33">
        <f>IF(OR(E691="",F691=""),"",ROUND(MOD(F691-E691,1)*24-N(G691),2))</f>
        <v/>
      </c>
      <c r="I691" s="33">
        <f>IF(H691="","",ROUND(MAX(0,H691-8),2))</f>
        <v/>
      </c>
      <c r="J691" s="33">
        <f>IF(OR(E691="",F691=""),"",ROUND(IF(MOD(F691,1)&gt;=TIME(22,0,0),(MOD(F691,1)-TIME(22,0,0))*24,IF(MOD(F691,1)&lt;TIME(6,0,0),(MOD(F691,1)+1-TIME(22,0,0))*24,0)),2))</f>
        <v/>
      </c>
      <c r="K691" s="33">
        <f>IF(H691="","",ROUND(IF(L691="휴일근로",MIN(H691,8)*1.5+MAX(0,H691-8)*2,I691*1.5)+N(J691)*0.5,2))</f>
        <v/>
      </c>
      <c r="L691" s="18" t="n"/>
      <c r="M691" s="18" t="n"/>
      <c r="N691" s="22" t="n"/>
    </row>
    <row r="692">
      <c r="A692" s="19" t="n"/>
      <c r="B692" s="25">
        <f>IF(A692="","",CHOOSE(WEEKDAY(A692,2),"월","화","수","목","금","토","일"))</f>
        <v/>
      </c>
      <c r="C692" s="18" t="n"/>
      <c r="D692" s="25">
        <f>IFERROR(IF(C692="","",INDEX(직원명부!$B$5:$B$24,MATCH(C692,직원명부!$A$5:$A$24,0))),"사번 확인")</f>
        <v/>
      </c>
      <c r="E692" s="34" t="n"/>
      <c r="F692" s="34" t="n"/>
      <c r="G692" s="28" t="n"/>
      <c r="H692" s="33">
        <f>IF(OR(E692="",F692=""),"",ROUND(MOD(F692-E692,1)*24-N(G692),2))</f>
        <v/>
      </c>
      <c r="I692" s="33">
        <f>IF(H692="","",ROUND(MAX(0,H692-8),2))</f>
        <v/>
      </c>
      <c r="J692" s="33">
        <f>IF(OR(E692="",F692=""),"",ROUND(IF(MOD(F692,1)&gt;=TIME(22,0,0),(MOD(F692,1)-TIME(22,0,0))*24,IF(MOD(F692,1)&lt;TIME(6,0,0),(MOD(F692,1)+1-TIME(22,0,0))*24,0)),2))</f>
        <v/>
      </c>
      <c r="K692" s="33">
        <f>IF(H692="","",ROUND(IF(L692="휴일근로",MIN(H692,8)*1.5+MAX(0,H692-8)*2,I692*1.5)+N(J692)*0.5,2))</f>
        <v/>
      </c>
      <c r="L692" s="18" t="n"/>
      <c r="M692" s="18" t="n"/>
      <c r="N692" s="22" t="n"/>
    </row>
    <row r="693">
      <c r="A693" s="19" t="n"/>
      <c r="B693" s="25">
        <f>IF(A693="","",CHOOSE(WEEKDAY(A693,2),"월","화","수","목","금","토","일"))</f>
        <v/>
      </c>
      <c r="C693" s="18" t="n"/>
      <c r="D693" s="25">
        <f>IFERROR(IF(C693="","",INDEX(직원명부!$B$5:$B$24,MATCH(C693,직원명부!$A$5:$A$24,0))),"사번 확인")</f>
        <v/>
      </c>
      <c r="E693" s="34" t="n"/>
      <c r="F693" s="34" t="n"/>
      <c r="G693" s="28" t="n"/>
      <c r="H693" s="33">
        <f>IF(OR(E693="",F693=""),"",ROUND(MOD(F693-E693,1)*24-N(G693),2))</f>
        <v/>
      </c>
      <c r="I693" s="33">
        <f>IF(H693="","",ROUND(MAX(0,H693-8),2))</f>
        <v/>
      </c>
      <c r="J693" s="33">
        <f>IF(OR(E693="",F693=""),"",ROUND(IF(MOD(F693,1)&gt;=TIME(22,0,0),(MOD(F693,1)-TIME(22,0,0))*24,IF(MOD(F693,1)&lt;TIME(6,0,0),(MOD(F693,1)+1-TIME(22,0,0))*24,0)),2))</f>
        <v/>
      </c>
      <c r="K693" s="33">
        <f>IF(H693="","",ROUND(IF(L693="휴일근로",MIN(H693,8)*1.5+MAX(0,H693-8)*2,I693*1.5)+N(J693)*0.5,2))</f>
        <v/>
      </c>
      <c r="L693" s="18" t="n"/>
      <c r="M693" s="18" t="n"/>
      <c r="N693" s="22" t="n"/>
    </row>
    <row r="694">
      <c r="A694" s="19" t="n"/>
      <c r="B694" s="25">
        <f>IF(A694="","",CHOOSE(WEEKDAY(A694,2),"월","화","수","목","금","토","일"))</f>
        <v/>
      </c>
      <c r="C694" s="18" t="n"/>
      <c r="D694" s="25">
        <f>IFERROR(IF(C694="","",INDEX(직원명부!$B$5:$B$24,MATCH(C694,직원명부!$A$5:$A$24,0))),"사번 확인")</f>
        <v/>
      </c>
      <c r="E694" s="34" t="n"/>
      <c r="F694" s="34" t="n"/>
      <c r="G694" s="28" t="n"/>
      <c r="H694" s="33">
        <f>IF(OR(E694="",F694=""),"",ROUND(MOD(F694-E694,1)*24-N(G694),2))</f>
        <v/>
      </c>
      <c r="I694" s="33">
        <f>IF(H694="","",ROUND(MAX(0,H694-8),2))</f>
        <v/>
      </c>
      <c r="J694" s="33">
        <f>IF(OR(E694="",F694=""),"",ROUND(IF(MOD(F694,1)&gt;=TIME(22,0,0),(MOD(F694,1)-TIME(22,0,0))*24,IF(MOD(F694,1)&lt;TIME(6,0,0),(MOD(F694,1)+1-TIME(22,0,0))*24,0)),2))</f>
        <v/>
      </c>
      <c r="K694" s="33">
        <f>IF(H694="","",ROUND(IF(L694="휴일근로",MIN(H694,8)*1.5+MAX(0,H694-8)*2,I694*1.5)+N(J694)*0.5,2))</f>
        <v/>
      </c>
      <c r="L694" s="18" t="n"/>
      <c r="M694" s="18" t="n"/>
      <c r="N694" s="22" t="n"/>
    </row>
    <row r="695">
      <c r="A695" s="19" t="n"/>
      <c r="B695" s="25">
        <f>IF(A695="","",CHOOSE(WEEKDAY(A695,2),"월","화","수","목","금","토","일"))</f>
        <v/>
      </c>
      <c r="C695" s="18" t="n"/>
      <c r="D695" s="25">
        <f>IFERROR(IF(C695="","",INDEX(직원명부!$B$5:$B$24,MATCH(C695,직원명부!$A$5:$A$24,0))),"사번 확인")</f>
        <v/>
      </c>
      <c r="E695" s="34" t="n"/>
      <c r="F695" s="34" t="n"/>
      <c r="G695" s="28" t="n"/>
      <c r="H695" s="33">
        <f>IF(OR(E695="",F695=""),"",ROUND(MOD(F695-E695,1)*24-N(G695),2))</f>
        <v/>
      </c>
      <c r="I695" s="33">
        <f>IF(H695="","",ROUND(MAX(0,H695-8),2))</f>
        <v/>
      </c>
      <c r="J695" s="33">
        <f>IF(OR(E695="",F695=""),"",ROUND(IF(MOD(F695,1)&gt;=TIME(22,0,0),(MOD(F695,1)-TIME(22,0,0))*24,IF(MOD(F695,1)&lt;TIME(6,0,0),(MOD(F695,1)+1-TIME(22,0,0))*24,0)),2))</f>
        <v/>
      </c>
      <c r="K695" s="33">
        <f>IF(H695="","",ROUND(IF(L695="휴일근로",MIN(H695,8)*1.5+MAX(0,H695-8)*2,I695*1.5)+N(J695)*0.5,2))</f>
        <v/>
      </c>
      <c r="L695" s="18" t="n"/>
      <c r="M695" s="18" t="n"/>
      <c r="N695" s="22" t="n"/>
    </row>
    <row r="696">
      <c r="A696" s="19" t="n"/>
      <c r="B696" s="25">
        <f>IF(A696="","",CHOOSE(WEEKDAY(A696,2),"월","화","수","목","금","토","일"))</f>
        <v/>
      </c>
      <c r="C696" s="18" t="n"/>
      <c r="D696" s="25">
        <f>IFERROR(IF(C696="","",INDEX(직원명부!$B$5:$B$24,MATCH(C696,직원명부!$A$5:$A$24,0))),"사번 확인")</f>
        <v/>
      </c>
      <c r="E696" s="34" t="n"/>
      <c r="F696" s="34" t="n"/>
      <c r="G696" s="28" t="n"/>
      <c r="H696" s="33">
        <f>IF(OR(E696="",F696=""),"",ROUND(MOD(F696-E696,1)*24-N(G696),2))</f>
        <v/>
      </c>
      <c r="I696" s="33">
        <f>IF(H696="","",ROUND(MAX(0,H696-8),2))</f>
        <v/>
      </c>
      <c r="J696" s="33">
        <f>IF(OR(E696="",F696=""),"",ROUND(IF(MOD(F696,1)&gt;=TIME(22,0,0),(MOD(F696,1)-TIME(22,0,0))*24,IF(MOD(F696,1)&lt;TIME(6,0,0),(MOD(F696,1)+1-TIME(22,0,0))*24,0)),2))</f>
        <v/>
      </c>
      <c r="K696" s="33">
        <f>IF(H696="","",ROUND(IF(L696="휴일근로",MIN(H696,8)*1.5+MAX(0,H696-8)*2,I696*1.5)+N(J696)*0.5,2))</f>
        <v/>
      </c>
      <c r="L696" s="18" t="n"/>
      <c r="M696" s="18" t="n"/>
      <c r="N696" s="22" t="n"/>
    </row>
    <row r="697">
      <c r="A697" s="19" t="n"/>
      <c r="B697" s="25">
        <f>IF(A697="","",CHOOSE(WEEKDAY(A697,2),"월","화","수","목","금","토","일"))</f>
        <v/>
      </c>
      <c r="C697" s="18" t="n"/>
      <c r="D697" s="25">
        <f>IFERROR(IF(C697="","",INDEX(직원명부!$B$5:$B$24,MATCH(C697,직원명부!$A$5:$A$24,0))),"사번 확인")</f>
        <v/>
      </c>
      <c r="E697" s="34" t="n"/>
      <c r="F697" s="34" t="n"/>
      <c r="G697" s="28" t="n"/>
      <c r="H697" s="33">
        <f>IF(OR(E697="",F697=""),"",ROUND(MOD(F697-E697,1)*24-N(G697),2))</f>
        <v/>
      </c>
      <c r="I697" s="33">
        <f>IF(H697="","",ROUND(MAX(0,H697-8),2))</f>
        <v/>
      </c>
      <c r="J697" s="33">
        <f>IF(OR(E697="",F697=""),"",ROUND(IF(MOD(F697,1)&gt;=TIME(22,0,0),(MOD(F697,1)-TIME(22,0,0))*24,IF(MOD(F697,1)&lt;TIME(6,0,0),(MOD(F697,1)+1-TIME(22,0,0))*24,0)),2))</f>
        <v/>
      </c>
      <c r="K697" s="33">
        <f>IF(H697="","",ROUND(IF(L697="휴일근로",MIN(H697,8)*1.5+MAX(0,H697-8)*2,I697*1.5)+N(J697)*0.5,2))</f>
        <v/>
      </c>
      <c r="L697" s="18" t="n"/>
      <c r="M697" s="18" t="n"/>
      <c r="N697" s="22" t="n"/>
    </row>
    <row r="698">
      <c r="A698" s="19" t="n"/>
      <c r="B698" s="25">
        <f>IF(A698="","",CHOOSE(WEEKDAY(A698,2),"월","화","수","목","금","토","일"))</f>
        <v/>
      </c>
      <c r="C698" s="18" t="n"/>
      <c r="D698" s="25">
        <f>IFERROR(IF(C698="","",INDEX(직원명부!$B$5:$B$24,MATCH(C698,직원명부!$A$5:$A$24,0))),"사번 확인")</f>
        <v/>
      </c>
      <c r="E698" s="34" t="n"/>
      <c r="F698" s="34" t="n"/>
      <c r="G698" s="28" t="n"/>
      <c r="H698" s="33">
        <f>IF(OR(E698="",F698=""),"",ROUND(MOD(F698-E698,1)*24-N(G698),2))</f>
        <v/>
      </c>
      <c r="I698" s="33">
        <f>IF(H698="","",ROUND(MAX(0,H698-8),2))</f>
        <v/>
      </c>
      <c r="J698" s="33">
        <f>IF(OR(E698="",F698=""),"",ROUND(IF(MOD(F698,1)&gt;=TIME(22,0,0),(MOD(F698,1)-TIME(22,0,0))*24,IF(MOD(F698,1)&lt;TIME(6,0,0),(MOD(F698,1)+1-TIME(22,0,0))*24,0)),2))</f>
        <v/>
      </c>
      <c r="K698" s="33">
        <f>IF(H698="","",ROUND(IF(L698="휴일근로",MIN(H698,8)*1.5+MAX(0,H698-8)*2,I698*1.5)+N(J698)*0.5,2))</f>
        <v/>
      </c>
      <c r="L698" s="18" t="n"/>
      <c r="M698" s="18" t="n"/>
      <c r="N698" s="22" t="n"/>
    </row>
    <row r="699">
      <c r="A699" s="19" t="n"/>
      <c r="B699" s="25">
        <f>IF(A699="","",CHOOSE(WEEKDAY(A699,2),"월","화","수","목","금","토","일"))</f>
        <v/>
      </c>
      <c r="C699" s="18" t="n"/>
      <c r="D699" s="25">
        <f>IFERROR(IF(C699="","",INDEX(직원명부!$B$5:$B$24,MATCH(C699,직원명부!$A$5:$A$24,0))),"사번 확인")</f>
        <v/>
      </c>
      <c r="E699" s="34" t="n"/>
      <c r="F699" s="34" t="n"/>
      <c r="G699" s="28" t="n"/>
      <c r="H699" s="33">
        <f>IF(OR(E699="",F699=""),"",ROUND(MOD(F699-E699,1)*24-N(G699),2))</f>
        <v/>
      </c>
      <c r="I699" s="33">
        <f>IF(H699="","",ROUND(MAX(0,H699-8),2))</f>
        <v/>
      </c>
      <c r="J699" s="33">
        <f>IF(OR(E699="",F699=""),"",ROUND(IF(MOD(F699,1)&gt;=TIME(22,0,0),(MOD(F699,1)-TIME(22,0,0))*24,IF(MOD(F699,1)&lt;TIME(6,0,0),(MOD(F699,1)+1-TIME(22,0,0))*24,0)),2))</f>
        <v/>
      </c>
      <c r="K699" s="33">
        <f>IF(H699="","",ROUND(IF(L699="휴일근로",MIN(H699,8)*1.5+MAX(0,H699-8)*2,I699*1.5)+N(J699)*0.5,2))</f>
        <v/>
      </c>
      <c r="L699" s="18" t="n"/>
      <c r="M699" s="18" t="n"/>
      <c r="N699" s="22" t="n"/>
    </row>
    <row r="700">
      <c r="A700" s="19" t="n"/>
      <c r="B700" s="25">
        <f>IF(A700="","",CHOOSE(WEEKDAY(A700,2),"월","화","수","목","금","토","일"))</f>
        <v/>
      </c>
      <c r="C700" s="18" t="n"/>
      <c r="D700" s="25">
        <f>IFERROR(IF(C700="","",INDEX(직원명부!$B$5:$B$24,MATCH(C700,직원명부!$A$5:$A$24,0))),"사번 확인")</f>
        <v/>
      </c>
      <c r="E700" s="34" t="n"/>
      <c r="F700" s="34" t="n"/>
      <c r="G700" s="28" t="n"/>
      <c r="H700" s="33">
        <f>IF(OR(E700="",F700=""),"",ROUND(MOD(F700-E700,1)*24-N(G700),2))</f>
        <v/>
      </c>
      <c r="I700" s="33">
        <f>IF(H700="","",ROUND(MAX(0,H700-8),2))</f>
        <v/>
      </c>
      <c r="J700" s="33">
        <f>IF(OR(E700="",F700=""),"",ROUND(IF(MOD(F700,1)&gt;=TIME(22,0,0),(MOD(F700,1)-TIME(22,0,0))*24,IF(MOD(F700,1)&lt;TIME(6,0,0),(MOD(F700,1)+1-TIME(22,0,0))*24,0)),2))</f>
        <v/>
      </c>
      <c r="K700" s="33">
        <f>IF(H700="","",ROUND(IF(L700="휴일근로",MIN(H700,8)*1.5+MAX(0,H700-8)*2,I700*1.5)+N(J700)*0.5,2))</f>
        <v/>
      </c>
      <c r="L700" s="18" t="n"/>
      <c r="M700" s="18" t="n"/>
      <c r="N700" s="22" t="n"/>
    </row>
    <row r="701">
      <c r="A701" s="19" t="n"/>
      <c r="B701" s="25">
        <f>IF(A701="","",CHOOSE(WEEKDAY(A701,2),"월","화","수","목","금","토","일"))</f>
        <v/>
      </c>
      <c r="C701" s="18" t="n"/>
      <c r="D701" s="25">
        <f>IFERROR(IF(C701="","",INDEX(직원명부!$B$5:$B$24,MATCH(C701,직원명부!$A$5:$A$24,0))),"사번 확인")</f>
        <v/>
      </c>
      <c r="E701" s="34" t="n"/>
      <c r="F701" s="34" t="n"/>
      <c r="G701" s="28" t="n"/>
      <c r="H701" s="33">
        <f>IF(OR(E701="",F701=""),"",ROUND(MOD(F701-E701,1)*24-N(G701),2))</f>
        <v/>
      </c>
      <c r="I701" s="33">
        <f>IF(H701="","",ROUND(MAX(0,H701-8),2))</f>
        <v/>
      </c>
      <c r="J701" s="33">
        <f>IF(OR(E701="",F701=""),"",ROUND(IF(MOD(F701,1)&gt;=TIME(22,0,0),(MOD(F701,1)-TIME(22,0,0))*24,IF(MOD(F701,1)&lt;TIME(6,0,0),(MOD(F701,1)+1-TIME(22,0,0))*24,0)),2))</f>
        <v/>
      </c>
      <c r="K701" s="33">
        <f>IF(H701="","",ROUND(IF(L701="휴일근로",MIN(H701,8)*1.5+MAX(0,H701-8)*2,I701*1.5)+N(J701)*0.5,2))</f>
        <v/>
      </c>
      <c r="L701" s="18" t="n"/>
      <c r="M701" s="18" t="n"/>
      <c r="N701" s="22" t="n"/>
    </row>
    <row r="702">
      <c r="A702" s="19" t="n"/>
      <c r="B702" s="25">
        <f>IF(A702="","",CHOOSE(WEEKDAY(A702,2),"월","화","수","목","금","토","일"))</f>
        <v/>
      </c>
      <c r="C702" s="18" t="n"/>
      <c r="D702" s="25">
        <f>IFERROR(IF(C702="","",INDEX(직원명부!$B$5:$B$24,MATCH(C702,직원명부!$A$5:$A$24,0))),"사번 확인")</f>
        <v/>
      </c>
      <c r="E702" s="34" t="n"/>
      <c r="F702" s="34" t="n"/>
      <c r="G702" s="28" t="n"/>
      <c r="H702" s="33">
        <f>IF(OR(E702="",F702=""),"",ROUND(MOD(F702-E702,1)*24-N(G702),2))</f>
        <v/>
      </c>
      <c r="I702" s="33">
        <f>IF(H702="","",ROUND(MAX(0,H702-8),2))</f>
        <v/>
      </c>
      <c r="J702" s="33">
        <f>IF(OR(E702="",F702=""),"",ROUND(IF(MOD(F702,1)&gt;=TIME(22,0,0),(MOD(F702,1)-TIME(22,0,0))*24,IF(MOD(F702,1)&lt;TIME(6,0,0),(MOD(F702,1)+1-TIME(22,0,0))*24,0)),2))</f>
        <v/>
      </c>
      <c r="K702" s="33">
        <f>IF(H702="","",ROUND(IF(L702="휴일근로",MIN(H702,8)*1.5+MAX(0,H702-8)*2,I702*1.5)+N(J702)*0.5,2))</f>
        <v/>
      </c>
      <c r="L702" s="18" t="n"/>
      <c r="M702" s="18" t="n"/>
      <c r="N702" s="22" t="n"/>
    </row>
    <row r="703">
      <c r="A703" s="19" t="n"/>
      <c r="B703" s="25">
        <f>IF(A703="","",CHOOSE(WEEKDAY(A703,2),"월","화","수","목","금","토","일"))</f>
        <v/>
      </c>
      <c r="C703" s="18" t="n"/>
      <c r="D703" s="25">
        <f>IFERROR(IF(C703="","",INDEX(직원명부!$B$5:$B$24,MATCH(C703,직원명부!$A$5:$A$24,0))),"사번 확인")</f>
        <v/>
      </c>
      <c r="E703" s="34" t="n"/>
      <c r="F703" s="34" t="n"/>
      <c r="G703" s="28" t="n"/>
      <c r="H703" s="33">
        <f>IF(OR(E703="",F703=""),"",ROUND(MOD(F703-E703,1)*24-N(G703),2))</f>
        <v/>
      </c>
      <c r="I703" s="33">
        <f>IF(H703="","",ROUND(MAX(0,H703-8),2))</f>
        <v/>
      </c>
      <c r="J703" s="33">
        <f>IF(OR(E703="",F703=""),"",ROUND(IF(MOD(F703,1)&gt;=TIME(22,0,0),(MOD(F703,1)-TIME(22,0,0))*24,IF(MOD(F703,1)&lt;TIME(6,0,0),(MOD(F703,1)+1-TIME(22,0,0))*24,0)),2))</f>
        <v/>
      </c>
      <c r="K703" s="33">
        <f>IF(H703="","",ROUND(IF(L703="휴일근로",MIN(H703,8)*1.5+MAX(0,H703-8)*2,I703*1.5)+N(J703)*0.5,2))</f>
        <v/>
      </c>
      <c r="L703" s="18" t="n"/>
      <c r="M703" s="18" t="n"/>
      <c r="N703" s="22" t="n"/>
    </row>
    <row r="704">
      <c r="A704" s="19" t="n"/>
      <c r="B704" s="25">
        <f>IF(A704="","",CHOOSE(WEEKDAY(A704,2),"월","화","수","목","금","토","일"))</f>
        <v/>
      </c>
      <c r="C704" s="18" t="n"/>
      <c r="D704" s="25">
        <f>IFERROR(IF(C704="","",INDEX(직원명부!$B$5:$B$24,MATCH(C704,직원명부!$A$5:$A$24,0))),"사번 확인")</f>
        <v/>
      </c>
      <c r="E704" s="34" t="n"/>
      <c r="F704" s="34" t="n"/>
      <c r="G704" s="28" t="n"/>
      <c r="H704" s="33">
        <f>IF(OR(E704="",F704=""),"",ROUND(MOD(F704-E704,1)*24-N(G704),2))</f>
        <v/>
      </c>
      <c r="I704" s="33">
        <f>IF(H704="","",ROUND(MAX(0,H704-8),2))</f>
        <v/>
      </c>
      <c r="J704" s="33">
        <f>IF(OR(E704="",F704=""),"",ROUND(IF(MOD(F704,1)&gt;=TIME(22,0,0),(MOD(F704,1)-TIME(22,0,0))*24,IF(MOD(F704,1)&lt;TIME(6,0,0),(MOD(F704,1)+1-TIME(22,0,0))*24,0)),2))</f>
        <v/>
      </c>
      <c r="K704" s="33">
        <f>IF(H704="","",ROUND(IF(L704="휴일근로",MIN(H704,8)*1.5+MAX(0,H704-8)*2,I704*1.5)+N(J704)*0.5,2))</f>
        <v/>
      </c>
      <c r="L704" s="18" t="n"/>
      <c r="M704" s="18" t="n"/>
      <c r="N704" s="22" t="n"/>
    </row>
    <row r="705">
      <c r="A705" s="19" t="n"/>
      <c r="B705" s="25">
        <f>IF(A705="","",CHOOSE(WEEKDAY(A705,2),"월","화","수","목","금","토","일"))</f>
        <v/>
      </c>
      <c r="C705" s="18" t="n"/>
      <c r="D705" s="25">
        <f>IFERROR(IF(C705="","",INDEX(직원명부!$B$5:$B$24,MATCH(C705,직원명부!$A$5:$A$24,0))),"사번 확인")</f>
        <v/>
      </c>
      <c r="E705" s="34" t="n"/>
      <c r="F705" s="34" t="n"/>
      <c r="G705" s="28" t="n"/>
      <c r="H705" s="33">
        <f>IF(OR(E705="",F705=""),"",ROUND(MOD(F705-E705,1)*24-N(G705),2))</f>
        <v/>
      </c>
      <c r="I705" s="33">
        <f>IF(H705="","",ROUND(MAX(0,H705-8),2))</f>
        <v/>
      </c>
      <c r="J705" s="33">
        <f>IF(OR(E705="",F705=""),"",ROUND(IF(MOD(F705,1)&gt;=TIME(22,0,0),(MOD(F705,1)-TIME(22,0,0))*24,IF(MOD(F705,1)&lt;TIME(6,0,0),(MOD(F705,1)+1-TIME(22,0,0))*24,0)),2))</f>
        <v/>
      </c>
      <c r="K705" s="33">
        <f>IF(H705="","",ROUND(IF(L705="휴일근로",MIN(H705,8)*1.5+MAX(0,H705-8)*2,I705*1.5)+N(J705)*0.5,2))</f>
        <v/>
      </c>
      <c r="L705" s="18" t="n"/>
      <c r="M705" s="18" t="n"/>
      <c r="N705" s="22" t="n"/>
    </row>
    <row r="706">
      <c r="A706" s="19" t="n"/>
      <c r="B706" s="25">
        <f>IF(A706="","",CHOOSE(WEEKDAY(A706,2),"월","화","수","목","금","토","일"))</f>
        <v/>
      </c>
      <c r="C706" s="18" t="n"/>
      <c r="D706" s="25">
        <f>IFERROR(IF(C706="","",INDEX(직원명부!$B$5:$B$24,MATCH(C706,직원명부!$A$5:$A$24,0))),"사번 확인")</f>
        <v/>
      </c>
      <c r="E706" s="34" t="n"/>
      <c r="F706" s="34" t="n"/>
      <c r="G706" s="28" t="n"/>
      <c r="H706" s="33">
        <f>IF(OR(E706="",F706=""),"",ROUND(MOD(F706-E706,1)*24-N(G706),2))</f>
        <v/>
      </c>
      <c r="I706" s="33">
        <f>IF(H706="","",ROUND(MAX(0,H706-8),2))</f>
        <v/>
      </c>
      <c r="J706" s="33">
        <f>IF(OR(E706="",F706=""),"",ROUND(IF(MOD(F706,1)&gt;=TIME(22,0,0),(MOD(F706,1)-TIME(22,0,0))*24,IF(MOD(F706,1)&lt;TIME(6,0,0),(MOD(F706,1)+1-TIME(22,0,0))*24,0)),2))</f>
        <v/>
      </c>
      <c r="K706" s="33">
        <f>IF(H706="","",ROUND(IF(L706="휴일근로",MIN(H706,8)*1.5+MAX(0,H706-8)*2,I706*1.5)+N(J706)*0.5,2))</f>
        <v/>
      </c>
      <c r="L706" s="18" t="n"/>
      <c r="M706" s="18" t="n"/>
      <c r="N706" s="22" t="n"/>
    </row>
    <row r="707">
      <c r="A707" s="19" t="n"/>
      <c r="B707" s="25">
        <f>IF(A707="","",CHOOSE(WEEKDAY(A707,2),"월","화","수","목","금","토","일"))</f>
        <v/>
      </c>
      <c r="C707" s="18" t="n"/>
      <c r="D707" s="25">
        <f>IFERROR(IF(C707="","",INDEX(직원명부!$B$5:$B$24,MATCH(C707,직원명부!$A$5:$A$24,0))),"사번 확인")</f>
        <v/>
      </c>
      <c r="E707" s="34" t="n"/>
      <c r="F707" s="34" t="n"/>
      <c r="G707" s="28" t="n"/>
      <c r="H707" s="33">
        <f>IF(OR(E707="",F707=""),"",ROUND(MOD(F707-E707,1)*24-N(G707),2))</f>
        <v/>
      </c>
      <c r="I707" s="33">
        <f>IF(H707="","",ROUND(MAX(0,H707-8),2))</f>
        <v/>
      </c>
      <c r="J707" s="33">
        <f>IF(OR(E707="",F707=""),"",ROUND(IF(MOD(F707,1)&gt;=TIME(22,0,0),(MOD(F707,1)-TIME(22,0,0))*24,IF(MOD(F707,1)&lt;TIME(6,0,0),(MOD(F707,1)+1-TIME(22,0,0))*24,0)),2))</f>
        <v/>
      </c>
      <c r="K707" s="33">
        <f>IF(H707="","",ROUND(IF(L707="휴일근로",MIN(H707,8)*1.5+MAX(0,H707-8)*2,I707*1.5)+N(J707)*0.5,2))</f>
        <v/>
      </c>
      <c r="L707" s="18" t="n"/>
      <c r="M707" s="18" t="n"/>
      <c r="N707" s="22" t="n"/>
    </row>
    <row r="708">
      <c r="A708" s="19" t="n"/>
      <c r="B708" s="25">
        <f>IF(A708="","",CHOOSE(WEEKDAY(A708,2),"월","화","수","목","금","토","일"))</f>
        <v/>
      </c>
      <c r="C708" s="18" t="n"/>
      <c r="D708" s="25">
        <f>IFERROR(IF(C708="","",INDEX(직원명부!$B$5:$B$24,MATCH(C708,직원명부!$A$5:$A$24,0))),"사번 확인")</f>
        <v/>
      </c>
      <c r="E708" s="34" t="n"/>
      <c r="F708" s="34" t="n"/>
      <c r="G708" s="28" t="n"/>
      <c r="H708" s="33">
        <f>IF(OR(E708="",F708=""),"",ROUND(MOD(F708-E708,1)*24-N(G708),2))</f>
        <v/>
      </c>
      <c r="I708" s="33">
        <f>IF(H708="","",ROUND(MAX(0,H708-8),2))</f>
        <v/>
      </c>
      <c r="J708" s="33">
        <f>IF(OR(E708="",F708=""),"",ROUND(IF(MOD(F708,1)&gt;=TIME(22,0,0),(MOD(F708,1)-TIME(22,0,0))*24,IF(MOD(F708,1)&lt;TIME(6,0,0),(MOD(F708,1)+1-TIME(22,0,0))*24,0)),2))</f>
        <v/>
      </c>
      <c r="K708" s="33">
        <f>IF(H708="","",ROUND(IF(L708="휴일근로",MIN(H708,8)*1.5+MAX(0,H708-8)*2,I708*1.5)+N(J708)*0.5,2))</f>
        <v/>
      </c>
      <c r="L708" s="18" t="n"/>
      <c r="M708" s="18" t="n"/>
      <c r="N708" s="22" t="n"/>
    </row>
    <row r="709">
      <c r="A709" s="19" t="n"/>
      <c r="B709" s="25">
        <f>IF(A709="","",CHOOSE(WEEKDAY(A709,2),"월","화","수","목","금","토","일"))</f>
        <v/>
      </c>
      <c r="C709" s="18" t="n"/>
      <c r="D709" s="25">
        <f>IFERROR(IF(C709="","",INDEX(직원명부!$B$5:$B$24,MATCH(C709,직원명부!$A$5:$A$24,0))),"사번 확인")</f>
        <v/>
      </c>
      <c r="E709" s="34" t="n"/>
      <c r="F709" s="34" t="n"/>
      <c r="G709" s="28" t="n"/>
      <c r="H709" s="33">
        <f>IF(OR(E709="",F709=""),"",ROUND(MOD(F709-E709,1)*24-N(G709),2))</f>
        <v/>
      </c>
      <c r="I709" s="33">
        <f>IF(H709="","",ROUND(MAX(0,H709-8),2))</f>
        <v/>
      </c>
      <c r="J709" s="33">
        <f>IF(OR(E709="",F709=""),"",ROUND(IF(MOD(F709,1)&gt;=TIME(22,0,0),(MOD(F709,1)-TIME(22,0,0))*24,IF(MOD(F709,1)&lt;TIME(6,0,0),(MOD(F709,1)+1-TIME(22,0,0))*24,0)),2))</f>
        <v/>
      </c>
      <c r="K709" s="33">
        <f>IF(H709="","",ROUND(IF(L709="휴일근로",MIN(H709,8)*1.5+MAX(0,H709-8)*2,I709*1.5)+N(J709)*0.5,2))</f>
        <v/>
      </c>
      <c r="L709" s="18" t="n"/>
      <c r="M709" s="18" t="n"/>
      <c r="N709" s="22" t="n"/>
    </row>
    <row r="710">
      <c r="A710" s="19" t="n"/>
      <c r="B710" s="25">
        <f>IF(A710="","",CHOOSE(WEEKDAY(A710,2),"월","화","수","목","금","토","일"))</f>
        <v/>
      </c>
      <c r="C710" s="18" t="n"/>
      <c r="D710" s="25">
        <f>IFERROR(IF(C710="","",INDEX(직원명부!$B$5:$B$24,MATCH(C710,직원명부!$A$5:$A$24,0))),"사번 확인")</f>
        <v/>
      </c>
      <c r="E710" s="34" t="n"/>
      <c r="F710" s="34" t="n"/>
      <c r="G710" s="28" t="n"/>
      <c r="H710" s="33">
        <f>IF(OR(E710="",F710=""),"",ROUND(MOD(F710-E710,1)*24-N(G710),2))</f>
        <v/>
      </c>
      <c r="I710" s="33">
        <f>IF(H710="","",ROUND(MAX(0,H710-8),2))</f>
        <v/>
      </c>
      <c r="J710" s="33">
        <f>IF(OR(E710="",F710=""),"",ROUND(IF(MOD(F710,1)&gt;=TIME(22,0,0),(MOD(F710,1)-TIME(22,0,0))*24,IF(MOD(F710,1)&lt;TIME(6,0,0),(MOD(F710,1)+1-TIME(22,0,0))*24,0)),2))</f>
        <v/>
      </c>
      <c r="K710" s="33">
        <f>IF(H710="","",ROUND(IF(L710="휴일근로",MIN(H710,8)*1.5+MAX(0,H710-8)*2,I710*1.5)+N(J710)*0.5,2))</f>
        <v/>
      </c>
      <c r="L710" s="18" t="n"/>
      <c r="M710" s="18" t="n"/>
      <c r="N710" s="22" t="n"/>
    </row>
    <row r="711">
      <c r="A711" s="19" t="n"/>
      <c r="B711" s="25">
        <f>IF(A711="","",CHOOSE(WEEKDAY(A711,2),"월","화","수","목","금","토","일"))</f>
        <v/>
      </c>
      <c r="C711" s="18" t="n"/>
      <c r="D711" s="25">
        <f>IFERROR(IF(C711="","",INDEX(직원명부!$B$5:$B$24,MATCH(C711,직원명부!$A$5:$A$24,0))),"사번 확인")</f>
        <v/>
      </c>
      <c r="E711" s="34" t="n"/>
      <c r="F711" s="34" t="n"/>
      <c r="G711" s="28" t="n"/>
      <c r="H711" s="33">
        <f>IF(OR(E711="",F711=""),"",ROUND(MOD(F711-E711,1)*24-N(G711),2))</f>
        <v/>
      </c>
      <c r="I711" s="33">
        <f>IF(H711="","",ROUND(MAX(0,H711-8),2))</f>
        <v/>
      </c>
      <c r="J711" s="33">
        <f>IF(OR(E711="",F711=""),"",ROUND(IF(MOD(F711,1)&gt;=TIME(22,0,0),(MOD(F711,1)-TIME(22,0,0))*24,IF(MOD(F711,1)&lt;TIME(6,0,0),(MOD(F711,1)+1-TIME(22,0,0))*24,0)),2))</f>
        <v/>
      </c>
      <c r="K711" s="33">
        <f>IF(H711="","",ROUND(IF(L711="휴일근로",MIN(H711,8)*1.5+MAX(0,H711-8)*2,I711*1.5)+N(J711)*0.5,2))</f>
        <v/>
      </c>
      <c r="L711" s="18" t="n"/>
      <c r="M711" s="18" t="n"/>
      <c r="N711" s="22" t="n"/>
    </row>
    <row r="712">
      <c r="A712" s="19" t="n"/>
      <c r="B712" s="25">
        <f>IF(A712="","",CHOOSE(WEEKDAY(A712,2),"월","화","수","목","금","토","일"))</f>
        <v/>
      </c>
      <c r="C712" s="18" t="n"/>
      <c r="D712" s="25">
        <f>IFERROR(IF(C712="","",INDEX(직원명부!$B$5:$B$24,MATCH(C712,직원명부!$A$5:$A$24,0))),"사번 확인")</f>
        <v/>
      </c>
      <c r="E712" s="34" t="n"/>
      <c r="F712" s="34" t="n"/>
      <c r="G712" s="28" t="n"/>
      <c r="H712" s="33">
        <f>IF(OR(E712="",F712=""),"",ROUND(MOD(F712-E712,1)*24-N(G712),2))</f>
        <v/>
      </c>
      <c r="I712" s="33">
        <f>IF(H712="","",ROUND(MAX(0,H712-8),2))</f>
        <v/>
      </c>
      <c r="J712" s="33">
        <f>IF(OR(E712="",F712=""),"",ROUND(IF(MOD(F712,1)&gt;=TIME(22,0,0),(MOD(F712,1)-TIME(22,0,0))*24,IF(MOD(F712,1)&lt;TIME(6,0,0),(MOD(F712,1)+1-TIME(22,0,0))*24,0)),2))</f>
        <v/>
      </c>
      <c r="K712" s="33">
        <f>IF(H712="","",ROUND(IF(L712="휴일근로",MIN(H712,8)*1.5+MAX(0,H712-8)*2,I712*1.5)+N(J712)*0.5,2))</f>
        <v/>
      </c>
      <c r="L712" s="18" t="n"/>
      <c r="M712" s="18" t="n"/>
      <c r="N712" s="22" t="n"/>
    </row>
    <row r="713">
      <c r="A713" s="19" t="n"/>
      <c r="B713" s="25">
        <f>IF(A713="","",CHOOSE(WEEKDAY(A713,2),"월","화","수","목","금","토","일"))</f>
        <v/>
      </c>
      <c r="C713" s="18" t="n"/>
      <c r="D713" s="25">
        <f>IFERROR(IF(C713="","",INDEX(직원명부!$B$5:$B$24,MATCH(C713,직원명부!$A$5:$A$24,0))),"사번 확인")</f>
        <v/>
      </c>
      <c r="E713" s="34" t="n"/>
      <c r="F713" s="34" t="n"/>
      <c r="G713" s="28" t="n"/>
      <c r="H713" s="33">
        <f>IF(OR(E713="",F713=""),"",ROUND(MOD(F713-E713,1)*24-N(G713),2))</f>
        <v/>
      </c>
      <c r="I713" s="33">
        <f>IF(H713="","",ROUND(MAX(0,H713-8),2))</f>
        <v/>
      </c>
      <c r="J713" s="33">
        <f>IF(OR(E713="",F713=""),"",ROUND(IF(MOD(F713,1)&gt;=TIME(22,0,0),(MOD(F713,1)-TIME(22,0,0))*24,IF(MOD(F713,1)&lt;TIME(6,0,0),(MOD(F713,1)+1-TIME(22,0,0))*24,0)),2))</f>
        <v/>
      </c>
      <c r="K713" s="33">
        <f>IF(H713="","",ROUND(IF(L713="휴일근로",MIN(H713,8)*1.5+MAX(0,H713-8)*2,I713*1.5)+N(J713)*0.5,2))</f>
        <v/>
      </c>
      <c r="L713" s="18" t="n"/>
      <c r="M713" s="18" t="n"/>
      <c r="N713" s="22" t="n"/>
    </row>
    <row r="714">
      <c r="A714" s="19" t="n"/>
      <c r="B714" s="25">
        <f>IF(A714="","",CHOOSE(WEEKDAY(A714,2),"월","화","수","목","금","토","일"))</f>
        <v/>
      </c>
      <c r="C714" s="18" t="n"/>
      <c r="D714" s="25">
        <f>IFERROR(IF(C714="","",INDEX(직원명부!$B$5:$B$24,MATCH(C714,직원명부!$A$5:$A$24,0))),"사번 확인")</f>
        <v/>
      </c>
      <c r="E714" s="34" t="n"/>
      <c r="F714" s="34" t="n"/>
      <c r="G714" s="28" t="n"/>
      <c r="H714" s="33">
        <f>IF(OR(E714="",F714=""),"",ROUND(MOD(F714-E714,1)*24-N(G714),2))</f>
        <v/>
      </c>
      <c r="I714" s="33">
        <f>IF(H714="","",ROUND(MAX(0,H714-8),2))</f>
        <v/>
      </c>
      <c r="J714" s="33">
        <f>IF(OR(E714="",F714=""),"",ROUND(IF(MOD(F714,1)&gt;=TIME(22,0,0),(MOD(F714,1)-TIME(22,0,0))*24,IF(MOD(F714,1)&lt;TIME(6,0,0),(MOD(F714,1)+1-TIME(22,0,0))*24,0)),2))</f>
        <v/>
      </c>
      <c r="K714" s="33">
        <f>IF(H714="","",ROUND(IF(L714="휴일근로",MIN(H714,8)*1.5+MAX(0,H714-8)*2,I714*1.5)+N(J714)*0.5,2))</f>
        <v/>
      </c>
      <c r="L714" s="18" t="n"/>
      <c r="M714" s="18" t="n"/>
      <c r="N714" s="22" t="n"/>
    </row>
    <row r="715">
      <c r="A715" s="19" t="n"/>
      <c r="B715" s="25">
        <f>IF(A715="","",CHOOSE(WEEKDAY(A715,2),"월","화","수","목","금","토","일"))</f>
        <v/>
      </c>
      <c r="C715" s="18" t="n"/>
      <c r="D715" s="25">
        <f>IFERROR(IF(C715="","",INDEX(직원명부!$B$5:$B$24,MATCH(C715,직원명부!$A$5:$A$24,0))),"사번 확인")</f>
        <v/>
      </c>
      <c r="E715" s="34" t="n"/>
      <c r="F715" s="34" t="n"/>
      <c r="G715" s="28" t="n"/>
      <c r="H715" s="33">
        <f>IF(OR(E715="",F715=""),"",ROUND(MOD(F715-E715,1)*24-N(G715),2))</f>
        <v/>
      </c>
      <c r="I715" s="33">
        <f>IF(H715="","",ROUND(MAX(0,H715-8),2))</f>
        <v/>
      </c>
      <c r="J715" s="33">
        <f>IF(OR(E715="",F715=""),"",ROUND(IF(MOD(F715,1)&gt;=TIME(22,0,0),(MOD(F715,1)-TIME(22,0,0))*24,IF(MOD(F715,1)&lt;TIME(6,0,0),(MOD(F715,1)+1-TIME(22,0,0))*24,0)),2))</f>
        <v/>
      </c>
      <c r="K715" s="33">
        <f>IF(H715="","",ROUND(IF(L715="휴일근로",MIN(H715,8)*1.5+MAX(0,H715-8)*2,I715*1.5)+N(J715)*0.5,2))</f>
        <v/>
      </c>
      <c r="L715" s="18" t="n"/>
      <c r="M715" s="18" t="n"/>
      <c r="N715" s="22" t="n"/>
    </row>
    <row r="716">
      <c r="A716" s="19" t="n"/>
      <c r="B716" s="25">
        <f>IF(A716="","",CHOOSE(WEEKDAY(A716,2),"월","화","수","목","금","토","일"))</f>
        <v/>
      </c>
      <c r="C716" s="18" t="n"/>
      <c r="D716" s="25">
        <f>IFERROR(IF(C716="","",INDEX(직원명부!$B$5:$B$24,MATCH(C716,직원명부!$A$5:$A$24,0))),"사번 확인")</f>
        <v/>
      </c>
      <c r="E716" s="34" t="n"/>
      <c r="F716" s="34" t="n"/>
      <c r="G716" s="28" t="n"/>
      <c r="H716" s="33">
        <f>IF(OR(E716="",F716=""),"",ROUND(MOD(F716-E716,1)*24-N(G716),2))</f>
        <v/>
      </c>
      <c r="I716" s="33">
        <f>IF(H716="","",ROUND(MAX(0,H716-8),2))</f>
        <v/>
      </c>
      <c r="J716" s="33">
        <f>IF(OR(E716="",F716=""),"",ROUND(IF(MOD(F716,1)&gt;=TIME(22,0,0),(MOD(F716,1)-TIME(22,0,0))*24,IF(MOD(F716,1)&lt;TIME(6,0,0),(MOD(F716,1)+1-TIME(22,0,0))*24,0)),2))</f>
        <v/>
      </c>
      <c r="K716" s="33">
        <f>IF(H716="","",ROUND(IF(L716="휴일근로",MIN(H716,8)*1.5+MAX(0,H716-8)*2,I716*1.5)+N(J716)*0.5,2))</f>
        <v/>
      </c>
      <c r="L716" s="18" t="n"/>
      <c r="M716" s="18" t="n"/>
      <c r="N716" s="22" t="n"/>
    </row>
    <row r="717">
      <c r="A717" s="19" t="n"/>
      <c r="B717" s="25">
        <f>IF(A717="","",CHOOSE(WEEKDAY(A717,2),"월","화","수","목","금","토","일"))</f>
        <v/>
      </c>
      <c r="C717" s="18" t="n"/>
      <c r="D717" s="25">
        <f>IFERROR(IF(C717="","",INDEX(직원명부!$B$5:$B$24,MATCH(C717,직원명부!$A$5:$A$24,0))),"사번 확인")</f>
        <v/>
      </c>
      <c r="E717" s="34" t="n"/>
      <c r="F717" s="34" t="n"/>
      <c r="G717" s="28" t="n"/>
      <c r="H717" s="33">
        <f>IF(OR(E717="",F717=""),"",ROUND(MOD(F717-E717,1)*24-N(G717),2))</f>
        <v/>
      </c>
      <c r="I717" s="33">
        <f>IF(H717="","",ROUND(MAX(0,H717-8),2))</f>
        <v/>
      </c>
      <c r="J717" s="33">
        <f>IF(OR(E717="",F717=""),"",ROUND(IF(MOD(F717,1)&gt;=TIME(22,0,0),(MOD(F717,1)-TIME(22,0,0))*24,IF(MOD(F717,1)&lt;TIME(6,0,0),(MOD(F717,1)+1-TIME(22,0,0))*24,0)),2))</f>
        <v/>
      </c>
      <c r="K717" s="33">
        <f>IF(H717="","",ROUND(IF(L717="휴일근로",MIN(H717,8)*1.5+MAX(0,H717-8)*2,I717*1.5)+N(J717)*0.5,2))</f>
        <v/>
      </c>
      <c r="L717" s="18" t="n"/>
      <c r="M717" s="18" t="n"/>
      <c r="N717" s="22" t="n"/>
    </row>
    <row r="718">
      <c r="A718" s="19" t="n"/>
      <c r="B718" s="25">
        <f>IF(A718="","",CHOOSE(WEEKDAY(A718,2),"월","화","수","목","금","토","일"))</f>
        <v/>
      </c>
      <c r="C718" s="18" t="n"/>
      <c r="D718" s="25">
        <f>IFERROR(IF(C718="","",INDEX(직원명부!$B$5:$B$24,MATCH(C718,직원명부!$A$5:$A$24,0))),"사번 확인")</f>
        <v/>
      </c>
      <c r="E718" s="34" t="n"/>
      <c r="F718" s="34" t="n"/>
      <c r="G718" s="28" t="n"/>
      <c r="H718" s="33">
        <f>IF(OR(E718="",F718=""),"",ROUND(MOD(F718-E718,1)*24-N(G718),2))</f>
        <v/>
      </c>
      <c r="I718" s="33">
        <f>IF(H718="","",ROUND(MAX(0,H718-8),2))</f>
        <v/>
      </c>
      <c r="J718" s="33">
        <f>IF(OR(E718="",F718=""),"",ROUND(IF(MOD(F718,1)&gt;=TIME(22,0,0),(MOD(F718,1)-TIME(22,0,0))*24,IF(MOD(F718,1)&lt;TIME(6,0,0),(MOD(F718,1)+1-TIME(22,0,0))*24,0)),2))</f>
        <v/>
      </c>
      <c r="K718" s="33">
        <f>IF(H718="","",ROUND(IF(L718="휴일근로",MIN(H718,8)*1.5+MAX(0,H718-8)*2,I718*1.5)+N(J718)*0.5,2))</f>
        <v/>
      </c>
      <c r="L718" s="18" t="n"/>
      <c r="M718" s="18" t="n"/>
      <c r="N718" s="22" t="n"/>
    </row>
    <row r="719">
      <c r="A719" s="19" t="n"/>
      <c r="B719" s="25">
        <f>IF(A719="","",CHOOSE(WEEKDAY(A719,2),"월","화","수","목","금","토","일"))</f>
        <v/>
      </c>
      <c r="C719" s="18" t="n"/>
      <c r="D719" s="25">
        <f>IFERROR(IF(C719="","",INDEX(직원명부!$B$5:$B$24,MATCH(C719,직원명부!$A$5:$A$24,0))),"사번 확인")</f>
        <v/>
      </c>
      <c r="E719" s="34" t="n"/>
      <c r="F719" s="34" t="n"/>
      <c r="G719" s="28" t="n"/>
      <c r="H719" s="33">
        <f>IF(OR(E719="",F719=""),"",ROUND(MOD(F719-E719,1)*24-N(G719),2))</f>
        <v/>
      </c>
      <c r="I719" s="33">
        <f>IF(H719="","",ROUND(MAX(0,H719-8),2))</f>
        <v/>
      </c>
      <c r="J719" s="33">
        <f>IF(OR(E719="",F719=""),"",ROUND(IF(MOD(F719,1)&gt;=TIME(22,0,0),(MOD(F719,1)-TIME(22,0,0))*24,IF(MOD(F719,1)&lt;TIME(6,0,0),(MOD(F719,1)+1-TIME(22,0,0))*24,0)),2))</f>
        <v/>
      </c>
      <c r="K719" s="33">
        <f>IF(H719="","",ROUND(IF(L719="휴일근로",MIN(H719,8)*1.5+MAX(0,H719-8)*2,I719*1.5)+N(J719)*0.5,2))</f>
        <v/>
      </c>
      <c r="L719" s="18" t="n"/>
      <c r="M719" s="18" t="n"/>
      <c r="N719" s="22" t="n"/>
    </row>
    <row r="720">
      <c r="A720" s="19" t="n"/>
      <c r="B720" s="25">
        <f>IF(A720="","",CHOOSE(WEEKDAY(A720,2),"월","화","수","목","금","토","일"))</f>
        <v/>
      </c>
      <c r="C720" s="18" t="n"/>
      <c r="D720" s="25">
        <f>IFERROR(IF(C720="","",INDEX(직원명부!$B$5:$B$24,MATCH(C720,직원명부!$A$5:$A$24,0))),"사번 확인")</f>
        <v/>
      </c>
      <c r="E720" s="34" t="n"/>
      <c r="F720" s="34" t="n"/>
      <c r="G720" s="28" t="n"/>
      <c r="H720" s="33">
        <f>IF(OR(E720="",F720=""),"",ROUND(MOD(F720-E720,1)*24-N(G720),2))</f>
        <v/>
      </c>
      <c r="I720" s="33">
        <f>IF(H720="","",ROUND(MAX(0,H720-8),2))</f>
        <v/>
      </c>
      <c r="J720" s="33">
        <f>IF(OR(E720="",F720=""),"",ROUND(IF(MOD(F720,1)&gt;=TIME(22,0,0),(MOD(F720,1)-TIME(22,0,0))*24,IF(MOD(F720,1)&lt;TIME(6,0,0),(MOD(F720,1)+1-TIME(22,0,0))*24,0)),2))</f>
        <v/>
      </c>
      <c r="K720" s="33">
        <f>IF(H720="","",ROUND(IF(L720="휴일근로",MIN(H720,8)*1.5+MAX(0,H720-8)*2,I720*1.5)+N(J720)*0.5,2))</f>
        <v/>
      </c>
      <c r="L720" s="18" t="n"/>
      <c r="M720" s="18" t="n"/>
      <c r="N720" s="22" t="n"/>
    </row>
    <row r="721">
      <c r="A721" s="19" t="n"/>
      <c r="B721" s="25">
        <f>IF(A721="","",CHOOSE(WEEKDAY(A721,2),"월","화","수","목","금","토","일"))</f>
        <v/>
      </c>
      <c r="C721" s="18" t="n"/>
      <c r="D721" s="25">
        <f>IFERROR(IF(C721="","",INDEX(직원명부!$B$5:$B$24,MATCH(C721,직원명부!$A$5:$A$24,0))),"사번 확인")</f>
        <v/>
      </c>
      <c r="E721" s="34" t="n"/>
      <c r="F721" s="34" t="n"/>
      <c r="G721" s="28" t="n"/>
      <c r="H721" s="33">
        <f>IF(OR(E721="",F721=""),"",ROUND(MOD(F721-E721,1)*24-N(G721),2))</f>
        <v/>
      </c>
      <c r="I721" s="33">
        <f>IF(H721="","",ROUND(MAX(0,H721-8),2))</f>
        <v/>
      </c>
      <c r="J721" s="33">
        <f>IF(OR(E721="",F721=""),"",ROUND(IF(MOD(F721,1)&gt;=TIME(22,0,0),(MOD(F721,1)-TIME(22,0,0))*24,IF(MOD(F721,1)&lt;TIME(6,0,0),(MOD(F721,1)+1-TIME(22,0,0))*24,0)),2))</f>
        <v/>
      </c>
      <c r="K721" s="33">
        <f>IF(H721="","",ROUND(IF(L721="휴일근로",MIN(H721,8)*1.5+MAX(0,H721-8)*2,I721*1.5)+N(J721)*0.5,2))</f>
        <v/>
      </c>
      <c r="L721" s="18" t="n"/>
      <c r="M721" s="18" t="n"/>
      <c r="N721" s="22" t="n"/>
    </row>
    <row r="722">
      <c r="A722" s="19" t="n"/>
      <c r="B722" s="25">
        <f>IF(A722="","",CHOOSE(WEEKDAY(A722,2),"월","화","수","목","금","토","일"))</f>
        <v/>
      </c>
      <c r="C722" s="18" t="n"/>
      <c r="D722" s="25">
        <f>IFERROR(IF(C722="","",INDEX(직원명부!$B$5:$B$24,MATCH(C722,직원명부!$A$5:$A$24,0))),"사번 확인")</f>
        <v/>
      </c>
      <c r="E722" s="34" t="n"/>
      <c r="F722" s="34" t="n"/>
      <c r="G722" s="28" t="n"/>
      <c r="H722" s="33">
        <f>IF(OR(E722="",F722=""),"",ROUND(MOD(F722-E722,1)*24-N(G722),2))</f>
        <v/>
      </c>
      <c r="I722" s="33">
        <f>IF(H722="","",ROUND(MAX(0,H722-8),2))</f>
        <v/>
      </c>
      <c r="J722" s="33">
        <f>IF(OR(E722="",F722=""),"",ROUND(IF(MOD(F722,1)&gt;=TIME(22,0,0),(MOD(F722,1)-TIME(22,0,0))*24,IF(MOD(F722,1)&lt;TIME(6,0,0),(MOD(F722,1)+1-TIME(22,0,0))*24,0)),2))</f>
        <v/>
      </c>
      <c r="K722" s="33">
        <f>IF(H722="","",ROUND(IF(L722="휴일근로",MIN(H722,8)*1.5+MAX(0,H722-8)*2,I722*1.5)+N(J722)*0.5,2))</f>
        <v/>
      </c>
      <c r="L722" s="18" t="n"/>
      <c r="M722" s="18" t="n"/>
      <c r="N722" s="22" t="n"/>
    </row>
    <row r="723">
      <c r="A723" s="19" t="n"/>
      <c r="B723" s="25">
        <f>IF(A723="","",CHOOSE(WEEKDAY(A723,2),"월","화","수","목","금","토","일"))</f>
        <v/>
      </c>
      <c r="C723" s="18" t="n"/>
      <c r="D723" s="25">
        <f>IFERROR(IF(C723="","",INDEX(직원명부!$B$5:$B$24,MATCH(C723,직원명부!$A$5:$A$24,0))),"사번 확인")</f>
        <v/>
      </c>
      <c r="E723" s="34" t="n"/>
      <c r="F723" s="34" t="n"/>
      <c r="G723" s="28" t="n"/>
      <c r="H723" s="33">
        <f>IF(OR(E723="",F723=""),"",ROUND(MOD(F723-E723,1)*24-N(G723),2))</f>
        <v/>
      </c>
      <c r="I723" s="33">
        <f>IF(H723="","",ROUND(MAX(0,H723-8),2))</f>
        <v/>
      </c>
      <c r="J723" s="33">
        <f>IF(OR(E723="",F723=""),"",ROUND(IF(MOD(F723,1)&gt;=TIME(22,0,0),(MOD(F723,1)-TIME(22,0,0))*24,IF(MOD(F723,1)&lt;TIME(6,0,0),(MOD(F723,1)+1-TIME(22,0,0))*24,0)),2))</f>
        <v/>
      </c>
      <c r="K723" s="33">
        <f>IF(H723="","",ROUND(IF(L723="휴일근로",MIN(H723,8)*1.5+MAX(0,H723-8)*2,I723*1.5)+N(J723)*0.5,2))</f>
        <v/>
      </c>
      <c r="L723" s="18" t="n"/>
      <c r="M723" s="18" t="n"/>
      <c r="N723" s="22" t="n"/>
    </row>
    <row r="724">
      <c r="A724" s="19" t="n"/>
      <c r="B724" s="25">
        <f>IF(A724="","",CHOOSE(WEEKDAY(A724,2),"월","화","수","목","금","토","일"))</f>
        <v/>
      </c>
      <c r="C724" s="18" t="n"/>
      <c r="D724" s="25">
        <f>IFERROR(IF(C724="","",INDEX(직원명부!$B$5:$B$24,MATCH(C724,직원명부!$A$5:$A$24,0))),"사번 확인")</f>
        <v/>
      </c>
      <c r="E724" s="34" t="n"/>
      <c r="F724" s="34" t="n"/>
      <c r="G724" s="28" t="n"/>
      <c r="H724" s="33">
        <f>IF(OR(E724="",F724=""),"",ROUND(MOD(F724-E724,1)*24-N(G724),2))</f>
        <v/>
      </c>
      <c r="I724" s="33">
        <f>IF(H724="","",ROUND(MAX(0,H724-8),2))</f>
        <v/>
      </c>
      <c r="J724" s="33">
        <f>IF(OR(E724="",F724=""),"",ROUND(IF(MOD(F724,1)&gt;=TIME(22,0,0),(MOD(F724,1)-TIME(22,0,0))*24,IF(MOD(F724,1)&lt;TIME(6,0,0),(MOD(F724,1)+1-TIME(22,0,0))*24,0)),2))</f>
        <v/>
      </c>
      <c r="K724" s="33">
        <f>IF(H724="","",ROUND(IF(L724="휴일근로",MIN(H724,8)*1.5+MAX(0,H724-8)*2,I724*1.5)+N(J724)*0.5,2))</f>
        <v/>
      </c>
      <c r="L724" s="18" t="n"/>
      <c r="M724" s="18" t="n"/>
      <c r="N724" s="22" t="n"/>
    </row>
    <row r="725">
      <c r="A725" s="19" t="n"/>
      <c r="B725" s="25">
        <f>IF(A725="","",CHOOSE(WEEKDAY(A725,2),"월","화","수","목","금","토","일"))</f>
        <v/>
      </c>
      <c r="C725" s="18" t="n"/>
      <c r="D725" s="25">
        <f>IFERROR(IF(C725="","",INDEX(직원명부!$B$5:$B$24,MATCH(C725,직원명부!$A$5:$A$24,0))),"사번 확인")</f>
        <v/>
      </c>
      <c r="E725" s="34" t="n"/>
      <c r="F725" s="34" t="n"/>
      <c r="G725" s="28" t="n"/>
      <c r="H725" s="33">
        <f>IF(OR(E725="",F725=""),"",ROUND(MOD(F725-E725,1)*24-N(G725),2))</f>
        <v/>
      </c>
      <c r="I725" s="33">
        <f>IF(H725="","",ROUND(MAX(0,H725-8),2))</f>
        <v/>
      </c>
      <c r="J725" s="33">
        <f>IF(OR(E725="",F725=""),"",ROUND(IF(MOD(F725,1)&gt;=TIME(22,0,0),(MOD(F725,1)-TIME(22,0,0))*24,IF(MOD(F725,1)&lt;TIME(6,0,0),(MOD(F725,1)+1-TIME(22,0,0))*24,0)),2))</f>
        <v/>
      </c>
      <c r="K725" s="33">
        <f>IF(H725="","",ROUND(IF(L725="휴일근로",MIN(H725,8)*1.5+MAX(0,H725-8)*2,I725*1.5)+N(J725)*0.5,2))</f>
        <v/>
      </c>
      <c r="L725" s="18" t="n"/>
      <c r="M725" s="18" t="n"/>
      <c r="N725" s="22" t="n"/>
    </row>
    <row r="726">
      <c r="A726" s="19" t="n"/>
      <c r="B726" s="25">
        <f>IF(A726="","",CHOOSE(WEEKDAY(A726,2),"월","화","수","목","금","토","일"))</f>
        <v/>
      </c>
      <c r="C726" s="18" t="n"/>
      <c r="D726" s="25">
        <f>IFERROR(IF(C726="","",INDEX(직원명부!$B$5:$B$24,MATCH(C726,직원명부!$A$5:$A$24,0))),"사번 확인")</f>
        <v/>
      </c>
      <c r="E726" s="34" t="n"/>
      <c r="F726" s="34" t="n"/>
      <c r="G726" s="28" t="n"/>
      <c r="H726" s="33">
        <f>IF(OR(E726="",F726=""),"",ROUND(MOD(F726-E726,1)*24-N(G726),2))</f>
        <v/>
      </c>
      <c r="I726" s="33">
        <f>IF(H726="","",ROUND(MAX(0,H726-8),2))</f>
        <v/>
      </c>
      <c r="J726" s="33">
        <f>IF(OR(E726="",F726=""),"",ROUND(IF(MOD(F726,1)&gt;=TIME(22,0,0),(MOD(F726,1)-TIME(22,0,0))*24,IF(MOD(F726,1)&lt;TIME(6,0,0),(MOD(F726,1)+1-TIME(22,0,0))*24,0)),2))</f>
        <v/>
      </c>
      <c r="K726" s="33">
        <f>IF(H726="","",ROUND(IF(L726="휴일근로",MIN(H726,8)*1.5+MAX(0,H726-8)*2,I726*1.5)+N(J726)*0.5,2))</f>
        <v/>
      </c>
      <c r="L726" s="18" t="n"/>
      <c r="M726" s="18" t="n"/>
      <c r="N726" s="22" t="n"/>
    </row>
    <row r="727">
      <c r="A727" s="19" t="n"/>
      <c r="B727" s="25">
        <f>IF(A727="","",CHOOSE(WEEKDAY(A727,2),"월","화","수","목","금","토","일"))</f>
        <v/>
      </c>
      <c r="C727" s="18" t="n"/>
      <c r="D727" s="25">
        <f>IFERROR(IF(C727="","",INDEX(직원명부!$B$5:$B$24,MATCH(C727,직원명부!$A$5:$A$24,0))),"사번 확인")</f>
        <v/>
      </c>
      <c r="E727" s="34" t="n"/>
      <c r="F727" s="34" t="n"/>
      <c r="G727" s="28" t="n"/>
      <c r="H727" s="33">
        <f>IF(OR(E727="",F727=""),"",ROUND(MOD(F727-E727,1)*24-N(G727),2))</f>
        <v/>
      </c>
      <c r="I727" s="33">
        <f>IF(H727="","",ROUND(MAX(0,H727-8),2))</f>
        <v/>
      </c>
      <c r="J727" s="33">
        <f>IF(OR(E727="",F727=""),"",ROUND(IF(MOD(F727,1)&gt;=TIME(22,0,0),(MOD(F727,1)-TIME(22,0,0))*24,IF(MOD(F727,1)&lt;TIME(6,0,0),(MOD(F727,1)+1-TIME(22,0,0))*24,0)),2))</f>
        <v/>
      </c>
      <c r="K727" s="33">
        <f>IF(H727="","",ROUND(IF(L727="휴일근로",MIN(H727,8)*1.5+MAX(0,H727-8)*2,I727*1.5)+N(J727)*0.5,2))</f>
        <v/>
      </c>
      <c r="L727" s="18" t="n"/>
      <c r="M727" s="18" t="n"/>
      <c r="N727" s="22" t="n"/>
    </row>
    <row r="728">
      <c r="A728" s="19" t="n"/>
      <c r="B728" s="25">
        <f>IF(A728="","",CHOOSE(WEEKDAY(A728,2),"월","화","수","목","금","토","일"))</f>
        <v/>
      </c>
      <c r="C728" s="18" t="n"/>
      <c r="D728" s="25">
        <f>IFERROR(IF(C728="","",INDEX(직원명부!$B$5:$B$24,MATCH(C728,직원명부!$A$5:$A$24,0))),"사번 확인")</f>
        <v/>
      </c>
      <c r="E728" s="34" t="n"/>
      <c r="F728" s="34" t="n"/>
      <c r="G728" s="28" t="n"/>
      <c r="H728" s="33">
        <f>IF(OR(E728="",F728=""),"",ROUND(MOD(F728-E728,1)*24-N(G728),2))</f>
        <v/>
      </c>
      <c r="I728" s="33">
        <f>IF(H728="","",ROUND(MAX(0,H728-8),2))</f>
        <v/>
      </c>
      <c r="J728" s="33">
        <f>IF(OR(E728="",F728=""),"",ROUND(IF(MOD(F728,1)&gt;=TIME(22,0,0),(MOD(F728,1)-TIME(22,0,0))*24,IF(MOD(F728,1)&lt;TIME(6,0,0),(MOD(F728,1)+1-TIME(22,0,0))*24,0)),2))</f>
        <v/>
      </c>
      <c r="K728" s="33">
        <f>IF(H728="","",ROUND(IF(L728="휴일근로",MIN(H728,8)*1.5+MAX(0,H728-8)*2,I728*1.5)+N(J728)*0.5,2))</f>
        <v/>
      </c>
      <c r="L728" s="18" t="n"/>
      <c r="M728" s="18" t="n"/>
      <c r="N728" s="22" t="n"/>
    </row>
    <row r="729">
      <c r="A729" s="19" t="n"/>
      <c r="B729" s="25">
        <f>IF(A729="","",CHOOSE(WEEKDAY(A729,2),"월","화","수","목","금","토","일"))</f>
        <v/>
      </c>
      <c r="C729" s="18" t="n"/>
      <c r="D729" s="25">
        <f>IFERROR(IF(C729="","",INDEX(직원명부!$B$5:$B$24,MATCH(C729,직원명부!$A$5:$A$24,0))),"사번 확인")</f>
        <v/>
      </c>
      <c r="E729" s="34" t="n"/>
      <c r="F729" s="34" t="n"/>
      <c r="G729" s="28" t="n"/>
      <c r="H729" s="33">
        <f>IF(OR(E729="",F729=""),"",ROUND(MOD(F729-E729,1)*24-N(G729),2))</f>
        <v/>
      </c>
      <c r="I729" s="33">
        <f>IF(H729="","",ROUND(MAX(0,H729-8),2))</f>
        <v/>
      </c>
      <c r="J729" s="33">
        <f>IF(OR(E729="",F729=""),"",ROUND(IF(MOD(F729,1)&gt;=TIME(22,0,0),(MOD(F729,1)-TIME(22,0,0))*24,IF(MOD(F729,1)&lt;TIME(6,0,0),(MOD(F729,1)+1-TIME(22,0,0))*24,0)),2))</f>
        <v/>
      </c>
      <c r="K729" s="33">
        <f>IF(H729="","",ROUND(IF(L729="휴일근로",MIN(H729,8)*1.5+MAX(0,H729-8)*2,I729*1.5)+N(J729)*0.5,2))</f>
        <v/>
      </c>
      <c r="L729" s="18" t="n"/>
      <c r="M729" s="18" t="n"/>
      <c r="N729" s="22" t="n"/>
    </row>
    <row r="730">
      <c r="A730" s="19" t="n"/>
      <c r="B730" s="25">
        <f>IF(A730="","",CHOOSE(WEEKDAY(A730,2),"월","화","수","목","금","토","일"))</f>
        <v/>
      </c>
      <c r="C730" s="18" t="n"/>
      <c r="D730" s="25">
        <f>IFERROR(IF(C730="","",INDEX(직원명부!$B$5:$B$24,MATCH(C730,직원명부!$A$5:$A$24,0))),"사번 확인")</f>
        <v/>
      </c>
      <c r="E730" s="34" t="n"/>
      <c r="F730" s="34" t="n"/>
      <c r="G730" s="28" t="n"/>
      <c r="H730" s="33">
        <f>IF(OR(E730="",F730=""),"",ROUND(MOD(F730-E730,1)*24-N(G730),2))</f>
        <v/>
      </c>
      <c r="I730" s="33">
        <f>IF(H730="","",ROUND(MAX(0,H730-8),2))</f>
        <v/>
      </c>
      <c r="J730" s="33">
        <f>IF(OR(E730="",F730=""),"",ROUND(IF(MOD(F730,1)&gt;=TIME(22,0,0),(MOD(F730,1)-TIME(22,0,0))*24,IF(MOD(F730,1)&lt;TIME(6,0,0),(MOD(F730,1)+1-TIME(22,0,0))*24,0)),2))</f>
        <v/>
      </c>
      <c r="K730" s="33">
        <f>IF(H730="","",ROUND(IF(L730="휴일근로",MIN(H730,8)*1.5+MAX(0,H730-8)*2,I730*1.5)+N(J730)*0.5,2))</f>
        <v/>
      </c>
      <c r="L730" s="18" t="n"/>
      <c r="M730" s="18" t="n"/>
      <c r="N730" s="22" t="n"/>
    </row>
    <row r="731">
      <c r="A731" s="19" t="n"/>
      <c r="B731" s="25">
        <f>IF(A731="","",CHOOSE(WEEKDAY(A731,2),"월","화","수","목","금","토","일"))</f>
        <v/>
      </c>
      <c r="C731" s="18" t="n"/>
      <c r="D731" s="25">
        <f>IFERROR(IF(C731="","",INDEX(직원명부!$B$5:$B$24,MATCH(C731,직원명부!$A$5:$A$24,0))),"사번 확인")</f>
        <v/>
      </c>
      <c r="E731" s="34" t="n"/>
      <c r="F731" s="34" t="n"/>
      <c r="G731" s="28" t="n"/>
      <c r="H731" s="33">
        <f>IF(OR(E731="",F731=""),"",ROUND(MOD(F731-E731,1)*24-N(G731),2))</f>
        <v/>
      </c>
      <c r="I731" s="33">
        <f>IF(H731="","",ROUND(MAX(0,H731-8),2))</f>
        <v/>
      </c>
      <c r="J731" s="33">
        <f>IF(OR(E731="",F731=""),"",ROUND(IF(MOD(F731,1)&gt;=TIME(22,0,0),(MOD(F731,1)-TIME(22,0,0))*24,IF(MOD(F731,1)&lt;TIME(6,0,0),(MOD(F731,1)+1-TIME(22,0,0))*24,0)),2))</f>
        <v/>
      </c>
      <c r="K731" s="33">
        <f>IF(H731="","",ROUND(IF(L731="휴일근로",MIN(H731,8)*1.5+MAX(0,H731-8)*2,I731*1.5)+N(J731)*0.5,2))</f>
        <v/>
      </c>
      <c r="L731" s="18" t="n"/>
      <c r="M731" s="18" t="n"/>
      <c r="N731" s="22" t="n"/>
    </row>
    <row r="732">
      <c r="A732" s="19" t="n"/>
      <c r="B732" s="25">
        <f>IF(A732="","",CHOOSE(WEEKDAY(A732,2),"월","화","수","목","금","토","일"))</f>
        <v/>
      </c>
      <c r="C732" s="18" t="n"/>
      <c r="D732" s="25">
        <f>IFERROR(IF(C732="","",INDEX(직원명부!$B$5:$B$24,MATCH(C732,직원명부!$A$5:$A$24,0))),"사번 확인")</f>
        <v/>
      </c>
      <c r="E732" s="34" t="n"/>
      <c r="F732" s="34" t="n"/>
      <c r="G732" s="28" t="n"/>
      <c r="H732" s="33">
        <f>IF(OR(E732="",F732=""),"",ROUND(MOD(F732-E732,1)*24-N(G732),2))</f>
        <v/>
      </c>
      <c r="I732" s="33">
        <f>IF(H732="","",ROUND(MAX(0,H732-8),2))</f>
        <v/>
      </c>
      <c r="J732" s="33">
        <f>IF(OR(E732="",F732=""),"",ROUND(IF(MOD(F732,1)&gt;=TIME(22,0,0),(MOD(F732,1)-TIME(22,0,0))*24,IF(MOD(F732,1)&lt;TIME(6,0,0),(MOD(F732,1)+1-TIME(22,0,0))*24,0)),2))</f>
        <v/>
      </c>
      <c r="K732" s="33">
        <f>IF(H732="","",ROUND(IF(L732="휴일근로",MIN(H732,8)*1.5+MAX(0,H732-8)*2,I732*1.5)+N(J732)*0.5,2))</f>
        <v/>
      </c>
      <c r="L732" s="18" t="n"/>
      <c r="M732" s="18" t="n"/>
      <c r="N732" s="22" t="n"/>
    </row>
    <row r="733">
      <c r="A733" s="19" t="n"/>
      <c r="B733" s="25">
        <f>IF(A733="","",CHOOSE(WEEKDAY(A733,2),"월","화","수","목","금","토","일"))</f>
        <v/>
      </c>
      <c r="C733" s="18" t="n"/>
      <c r="D733" s="25">
        <f>IFERROR(IF(C733="","",INDEX(직원명부!$B$5:$B$24,MATCH(C733,직원명부!$A$5:$A$24,0))),"사번 확인")</f>
        <v/>
      </c>
      <c r="E733" s="34" t="n"/>
      <c r="F733" s="34" t="n"/>
      <c r="G733" s="28" t="n"/>
      <c r="H733" s="33">
        <f>IF(OR(E733="",F733=""),"",ROUND(MOD(F733-E733,1)*24-N(G733),2))</f>
        <v/>
      </c>
      <c r="I733" s="33">
        <f>IF(H733="","",ROUND(MAX(0,H733-8),2))</f>
        <v/>
      </c>
      <c r="J733" s="33">
        <f>IF(OR(E733="",F733=""),"",ROUND(IF(MOD(F733,1)&gt;=TIME(22,0,0),(MOD(F733,1)-TIME(22,0,0))*24,IF(MOD(F733,1)&lt;TIME(6,0,0),(MOD(F733,1)+1-TIME(22,0,0))*24,0)),2))</f>
        <v/>
      </c>
      <c r="K733" s="33">
        <f>IF(H733="","",ROUND(IF(L733="휴일근로",MIN(H733,8)*1.5+MAX(0,H733-8)*2,I733*1.5)+N(J733)*0.5,2))</f>
        <v/>
      </c>
      <c r="L733" s="18" t="n"/>
      <c r="M733" s="18" t="n"/>
      <c r="N733" s="22" t="n"/>
    </row>
    <row r="734">
      <c r="A734" s="19" t="n"/>
      <c r="B734" s="25">
        <f>IF(A734="","",CHOOSE(WEEKDAY(A734,2),"월","화","수","목","금","토","일"))</f>
        <v/>
      </c>
      <c r="C734" s="18" t="n"/>
      <c r="D734" s="25">
        <f>IFERROR(IF(C734="","",INDEX(직원명부!$B$5:$B$24,MATCH(C734,직원명부!$A$5:$A$24,0))),"사번 확인")</f>
        <v/>
      </c>
      <c r="E734" s="34" t="n"/>
      <c r="F734" s="34" t="n"/>
      <c r="G734" s="28" t="n"/>
      <c r="H734" s="33">
        <f>IF(OR(E734="",F734=""),"",ROUND(MOD(F734-E734,1)*24-N(G734),2))</f>
        <v/>
      </c>
      <c r="I734" s="33">
        <f>IF(H734="","",ROUND(MAX(0,H734-8),2))</f>
        <v/>
      </c>
      <c r="J734" s="33">
        <f>IF(OR(E734="",F734=""),"",ROUND(IF(MOD(F734,1)&gt;=TIME(22,0,0),(MOD(F734,1)-TIME(22,0,0))*24,IF(MOD(F734,1)&lt;TIME(6,0,0),(MOD(F734,1)+1-TIME(22,0,0))*24,0)),2))</f>
        <v/>
      </c>
      <c r="K734" s="33">
        <f>IF(H734="","",ROUND(IF(L734="휴일근로",MIN(H734,8)*1.5+MAX(0,H734-8)*2,I734*1.5)+N(J734)*0.5,2))</f>
        <v/>
      </c>
      <c r="L734" s="18" t="n"/>
      <c r="M734" s="18" t="n"/>
      <c r="N734" s="22" t="n"/>
    </row>
    <row r="735">
      <c r="A735" s="19" t="n"/>
      <c r="B735" s="25">
        <f>IF(A735="","",CHOOSE(WEEKDAY(A735,2),"월","화","수","목","금","토","일"))</f>
        <v/>
      </c>
      <c r="C735" s="18" t="n"/>
      <c r="D735" s="25">
        <f>IFERROR(IF(C735="","",INDEX(직원명부!$B$5:$B$24,MATCH(C735,직원명부!$A$5:$A$24,0))),"사번 확인")</f>
        <v/>
      </c>
      <c r="E735" s="34" t="n"/>
      <c r="F735" s="34" t="n"/>
      <c r="G735" s="28" t="n"/>
      <c r="H735" s="33">
        <f>IF(OR(E735="",F735=""),"",ROUND(MOD(F735-E735,1)*24-N(G735),2))</f>
        <v/>
      </c>
      <c r="I735" s="33">
        <f>IF(H735="","",ROUND(MAX(0,H735-8),2))</f>
        <v/>
      </c>
      <c r="J735" s="33">
        <f>IF(OR(E735="",F735=""),"",ROUND(IF(MOD(F735,1)&gt;=TIME(22,0,0),(MOD(F735,1)-TIME(22,0,0))*24,IF(MOD(F735,1)&lt;TIME(6,0,0),(MOD(F735,1)+1-TIME(22,0,0))*24,0)),2))</f>
        <v/>
      </c>
      <c r="K735" s="33">
        <f>IF(H735="","",ROUND(IF(L735="휴일근로",MIN(H735,8)*1.5+MAX(0,H735-8)*2,I735*1.5)+N(J735)*0.5,2))</f>
        <v/>
      </c>
      <c r="L735" s="18" t="n"/>
      <c r="M735" s="18" t="n"/>
      <c r="N735" s="22" t="n"/>
    </row>
    <row r="736">
      <c r="A736" s="19" t="n"/>
      <c r="B736" s="25">
        <f>IF(A736="","",CHOOSE(WEEKDAY(A736,2),"월","화","수","목","금","토","일"))</f>
        <v/>
      </c>
      <c r="C736" s="18" t="n"/>
      <c r="D736" s="25">
        <f>IFERROR(IF(C736="","",INDEX(직원명부!$B$5:$B$24,MATCH(C736,직원명부!$A$5:$A$24,0))),"사번 확인")</f>
        <v/>
      </c>
      <c r="E736" s="34" t="n"/>
      <c r="F736" s="34" t="n"/>
      <c r="G736" s="28" t="n"/>
      <c r="H736" s="33">
        <f>IF(OR(E736="",F736=""),"",ROUND(MOD(F736-E736,1)*24-N(G736),2))</f>
        <v/>
      </c>
      <c r="I736" s="33">
        <f>IF(H736="","",ROUND(MAX(0,H736-8),2))</f>
        <v/>
      </c>
      <c r="J736" s="33">
        <f>IF(OR(E736="",F736=""),"",ROUND(IF(MOD(F736,1)&gt;=TIME(22,0,0),(MOD(F736,1)-TIME(22,0,0))*24,IF(MOD(F736,1)&lt;TIME(6,0,0),(MOD(F736,1)+1-TIME(22,0,0))*24,0)),2))</f>
        <v/>
      </c>
      <c r="K736" s="33">
        <f>IF(H736="","",ROUND(IF(L736="휴일근로",MIN(H736,8)*1.5+MAX(0,H736-8)*2,I736*1.5)+N(J736)*0.5,2))</f>
        <v/>
      </c>
      <c r="L736" s="18" t="n"/>
      <c r="M736" s="18" t="n"/>
      <c r="N736" s="22" t="n"/>
    </row>
    <row r="737">
      <c r="A737" s="19" t="n"/>
      <c r="B737" s="25">
        <f>IF(A737="","",CHOOSE(WEEKDAY(A737,2),"월","화","수","목","금","토","일"))</f>
        <v/>
      </c>
      <c r="C737" s="18" t="n"/>
      <c r="D737" s="25">
        <f>IFERROR(IF(C737="","",INDEX(직원명부!$B$5:$B$24,MATCH(C737,직원명부!$A$5:$A$24,0))),"사번 확인")</f>
        <v/>
      </c>
      <c r="E737" s="34" t="n"/>
      <c r="F737" s="34" t="n"/>
      <c r="G737" s="28" t="n"/>
      <c r="H737" s="33">
        <f>IF(OR(E737="",F737=""),"",ROUND(MOD(F737-E737,1)*24-N(G737),2))</f>
        <v/>
      </c>
      <c r="I737" s="33">
        <f>IF(H737="","",ROUND(MAX(0,H737-8),2))</f>
        <v/>
      </c>
      <c r="J737" s="33">
        <f>IF(OR(E737="",F737=""),"",ROUND(IF(MOD(F737,1)&gt;=TIME(22,0,0),(MOD(F737,1)-TIME(22,0,0))*24,IF(MOD(F737,1)&lt;TIME(6,0,0),(MOD(F737,1)+1-TIME(22,0,0))*24,0)),2))</f>
        <v/>
      </c>
      <c r="K737" s="33">
        <f>IF(H737="","",ROUND(IF(L737="휴일근로",MIN(H737,8)*1.5+MAX(0,H737-8)*2,I737*1.5)+N(J737)*0.5,2))</f>
        <v/>
      </c>
      <c r="L737" s="18" t="n"/>
      <c r="M737" s="18" t="n"/>
      <c r="N737" s="22" t="n"/>
    </row>
    <row r="738">
      <c r="A738" s="19" t="n"/>
      <c r="B738" s="25">
        <f>IF(A738="","",CHOOSE(WEEKDAY(A738,2),"월","화","수","목","금","토","일"))</f>
        <v/>
      </c>
      <c r="C738" s="18" t="n"/>
      <c r="D738" s="25">
        <f>IFERROR(IF(C738="","",INDEX(직원명부!$B$5:$B$24,MATCH(C738,직원명부!$A$5:$A$24,0))),"사번 확인")</f>
        <v/>
      </c>
      <c r="E738" s="34" t="n"/>
      <c r="F738" s="34" t="n"/>
      <c r="G738" s="28" t="n"/>
      <c r="H738" s="33">
        <f>IF(OR(E738="",F738=""),"",ROUND(MOD(F738-E738,1)*24-N(G738),2))</f>
        <v/>
      </c>
      <c r="I738" s="33">
        <f>IF(H738="","",ROUND(MAX(0,H738-8),2))</f>
        <v/>
      </c>
      <c r="J738" s="33">
        <f>IF(OR(E738="",F738=""),"",ROUND(IF(MOD(F738,1)&gt;=TIME(22,0,0),(MOD(F738,1)-TIME(22,0,0))*24,IF(MOD(F738,1)&lt;TIME(6,0,0),(MOD(F738,1)+1-TIME(22,0,0))*24,0)),2))</f>
        <v/>
      </c>
      <c r="K738" s="33">
        <f>IF(H738="","",ROUND(IF(L738="휴일근로",MIN(H738,8)*1.5+MAX(0,H738-8)*2,I738*1.5)+N(J738)*0.5,2))</f>
        <v/>
      </c>
      <c r="L738" s="18" t="n"/>
      <c r="M738" s="18" t="n"/>
      <c r="N738" s="22" t="n"/>
    </row>
    <row r="739">
      <c r="A739" s="19" t="n"/>
      <c r="B739" s="25">
        <f>IF(A739="","",CHOOSE(WEEKDAY(A739,2),"월","화","수","목","금","토","일"))</f>
        <v/>
      </c>
      <c r="C739" s="18" t="n"/>
      <c r="D739" s="25">
        <f>IFERROR(IF(C739="","",INDEX(직원명부!$B$5:$B$24,MATCH(C739,직원명부!$A$5:$A$24,0))),"사번 확인")</f>
        <v/>
      </c>
      <c r="E739" s="34" t="n"/>
      <c r="F739" s="34" t="n"/>
      <c r="G739" s="28" t="n"/>
      <c r="H739" s="33">
        <f>IF(OR(E739="",F739=""),"",ROUND(MOD(F739-E739,1)*24-N(G739),2))</f>
        <v/>
      </c>
      <c r="I739" s="33">
        <f>IF(H739="","",ROUND(MAX(0,H739-8),2))</f>
        <v/>
      </c>
      <c r="J739" s="33">
        <f>IF(OR(E739="",F739=""),"",ROUND(IF(MOD(F739,1)&gt;=TIME(22,0,0),(MOD(F739,1)-TIME(22,0,0))*24,IF(MOD(F739,1)&lt;TIME(6,0,0),(MOD(F739,1)+1-TIME(22,0,0))*24,0)),2))</f>
        <v/>
      </c>
      <c r="K739" s="33">
        <f>IF(H739="","",ROUND(IF(L739="휴일근로",MIN(H739,8)*1.5+MAX(0,H739-8)*2,I739*1.5)+N(J739)*0.5,2))</f>
        <v/>
      </c>
      <c r="L739" s="18" t="n"/>
      <c r="M739" s="18" t="n"/>
      <c r="N739" s="22" t="n"/>
    </row>
    <row r="740">
      <c r="A740" s="19" t="n"/>
      <c r="B740" s="25">
        <f>IF(A740="","",CHOOSE(WEEKDAY(A740,2),"월","화","수","목","금","토","일"))</f>
        <v/>
      </c>
      <c r="C740" s="18" t="n"/>
      <c r="D740" s="25">
        <f>IFERROR(IF(C740="","",INDEX(직원명부!$B$5:$B$24,MATCH(C740,직원명부!$A$5:$A$24,0))),"사번 확인")</f>
        <v/>
      </c>
      <c r="E740" s="34" t="n"/>
      <c r="F740" s="34" t="n"/>
      <c r="G740" s="28" t="n"/>
      <c r="H740" s="33">
        <f>IF(OR(E740="",F740=""),"",ROUND(MOD(F740-E740,1)*24-N(G740),2))</f>
        <v/>
      </c>
      <c r="I740" s="33">
        <f>IF(H740="","",ROUND(MAX(0,H740-8),2))</f>
        <v/>
      </c>
      <c r="J740" s="33">
        <f>IF(OR(E740="",F740=""),"",ROUND(IF(MOD(F740,1)&gt;=TIME(22,0,0),(MOD(F740,1)-TIME(22,0,0))*24,IF(MOD(F740,1)&lt;TIME(6,0,0),(MOD(F740,1)+1-TIME(22,0,0))*24,0)),2))</f>
        <v/>
      </c>
      <c r="K740" s="33">
        <f>IF(H740="","",ROUND(IF(L740="휴일근로",MIN(H740,8)*1.5+MAX(0,H740-8)*2,I740*1.5)+N(J740)*0.5,2))</f>
        <v/>
      </c>
      <c r="L740" s="18" t="n"/>
      <c r="M740" s="18" t="n"/>
      <c r="N740" s="22" t="n"/>
    </row>
    <row r="741">
      <c r="A741" s="19" t="n"/>
      <c r="B741" s="25">
        <f>IF(A741="","",CHOOSE(WEEKDAY(A741,2),"월","화","수","목","금","토","일"))</f>
        <v/>
      </c>
      <c r="C741" s="18" t="n"/>
      <c r="D741" s="25">
        <f>IFERROR(IF(C741="","",INDEX(직원명부!$B$5:$B$24,MATCH(C741,직원명부!$A$5:$A$24,0))),"사번 확인")</f>
        <v/>
      </c>
      <c r="E741" s="34" t="n"/>
      <c r="F741" s="34" t="n"/>
      <c r="G741" s="28" t="n"/>
      <c r="H741" s="33">
        <f>IF(OR(E741="",F741=""),"",ROUND(MOD(F741-E741,1)*24-N(G741),2))</f>
        <v/>
      </c>
      <c r="I741" s="33">
        <f>IF(H741="","",ROUND(MAX(0,H741-8),2))</f>
        <v/>
      </c>
      <c r="J741" s="33">
        <f>IF(OR(E741="",F741=""),"",ROUND(IF(MOD(F741,1)&gt;=TIME(22,0,0),(MOD(F741,1)-TIME(22,0,0))*24,IF(MOD(F741,1)&lt;TIME(6,0,0),(MOD(F741,1)+1-TIME(22,0,0))*24,0)),2))</f>
        <v/>
      </c>
      <c r="K741" s="33">
        <f>IF(H741="","",ROUND(IF(L741="휴일근로",MIN(H741,8)*1.5+MAX(0,H741-8)*2,I741*1.5)+N(J741)*0.5,2))</f>
        <v/>
      </c>
      <c r="L741" s="18" t="n"/>
      <c r="M741" s="18" t="n"/>
      <c r="N741" s="22" t="n"/>
    </row>
    <row r="742">
      <c r="A742" s="19" t="n"/>
      <c r="B742" s="25">
        <f>IF(A742="","",CHOOSE(WEEKDAY(A742,2),"월","화","수","목","금","토","일"))</f>
        <v/>
      </c>
      <c r="C742" s="18" t="n"/>
      <c r="D742" s="25">
        <f>IFERROR(IF(C742="","",INDEX(직원명부!$B$5:$B$24,MATCH(C742,직원명부!$A$5:$A$24,0))),"사번 확인")</f>
        <v/>
      </c>
      <c r="E742" s="34" t="n"/>
      <c r="F742" s="34" t="n"/>
      <c r="G742" s="28" t="n"/>
      <c r="H742" s="33">
        <f>IF(OR(E742="",F742=""),"",ROUND(MOD(F742-E742,1)*24-N(G742),2))</f>
        <v/>
      </c>
      <c r="I742" s="33">
        <f>IF(H742="","",ROUND(MAX(0,H742-8),2))</f>
        <v/>
      </c>
      <c r="J742" s="33">
        <f>IF(OR(E742="",F742=""),"",ROUND(IF(MOD(F742,1)&gt;=TIME(22,0,0),(MOD(F742,1)-TIME(22,0,0))*24,IF(MOD(F742,1)&lt;TIME(6,0,0),(MOD(F742,1)+1-TIME(22,0,0))*24,0)),2))</f>
        <v/>
      </c>
      <c r="K742" s="33">
        <f>IF(H742="","",ROUND(IF(L742="휴일근로",MIN(H742,8)*1.5+MAX(0,H742-8)*2,I742*1.5)+N(J742)*0.5,2))</f>
        <v/>
      </c>
      <c r="L742" s="18" t="n"/>
      <c r="M742" s="18" t="n"/>
      <c r="N742" s="22" t="n"/>
    </row>
    <row r="743">
      <c r="A743" s="19" t="n"/>
      <c r="B743" s="25">
        <f>IF(A743="","",CHOOSE(WEEKDAY(A743,2),"월","화","수","목","금","토","일"))</f>
        <v/>
      </c>
      <c r="C743" s="18" t="n"/>
      <c r="D743" s="25">
        <f>IFERROR(IF(C743="","",INDEX(직원명부!$B$5:$B$24,MATCH(C743,직원명부!$A$5:$A$24,0))),"사번 확인")</f>
        <v/>
      </c>
      <c r="E743" s="34" t="n"/>
      <c r="F743" s="34" t="n"/>
      <c r="G743" s="28" t="n"/>
      <c r="H743" s="33">
        <f>IF(OR(E743="",F743=""),"",ROUND(MOD(F743-E743,1)*24-N(G743),2))</f>
        <v/>
      </c>
      <c r="I743" s="33">
        <f>IF(H743="","",ROUND(MAX(0,H743-8),2))</f>
        <v/>
      </c>
      <c r="J743" s="33">
        <f>IF(OR(E743="",F743=""),"",ROUND(IF(MOD(F743,1)&gt;=TIME(22,0,0),(MOD(F743,1)-TIME(22,0,0))*24,IF(MOD(F743,1)&lt;TIME(6,0,0),(MOD(F743,1)+1-TIME(22,0,0))*24,0)),2))</f>
        <v/>
      </c>
      <c r="K743" s="33">
        <f>IF(H743="","",ROUND(IF(L743="휴일근로",MIN(H743,8)*1.5+MAX(0,H743-8)*2,I743*1.5)+N(J743)*0.5,2))</f>
        <v/>
      </c>
      <c r="L743" s="18" t="n"/>
      <c r="M743" s="18" t="n"/>
      <c r="N743" s="22" t="n"/>
    </row>
    <row r="744">
      <c r="A744" s="19" t="n"/>
      <c r="B744" s="25">
        <f>IF(A744="","",CHOOSE(WEEKDAY(A744,2),"월","화","수","목","금","토","일"))</f>
        <v/>
      </c>
      <c r="C744" s="18" t="n"/>
      <c r="D744" s="25">
        <f>IFERROR(IF(C744="","",INDEX(직원명부!$B$5:$B$24,MATCH(C744,직원명부!$A$5:$A$24,0))),"사번 확인")</f>
        <v/>
      </c>
      <c r="E744" s="34" t="n"/>
      <c r="F744" s="34" t="n"/>
      <c r="G744" s="28" t="n"/>
      <c r="H744" s="33">
        <f>IF(OR(E744="",F744=""),"",ROUND(MOD(F744-E744,1)*24-N(G744),2))</f>
        <v/>
      </c>
      <c r="I744" s="33">
        <f>IF(H744="","",ROUND(MAX(0,H744-8),2))</f>
        <v/>
      </c>
      <c r="J744" s="33">
        <f>IF(OR(E744="",F744=""),"",ROUND(IF(MOD(F744,1)&gt;=TIME(22,0,0),(MOD(F744,1)-TIME(22,0,0))*24,IF(MOD(F744,1)&lt;TIME(6,0,0),(MOD(F744,1)+1-TIME(22,0,0))*24,0)),2))</f>
        <v/>
      </c>
      <c r="K744" s="33">
        <f>IF(H744="","",ROUND(IF(L744="휴일근로",MIN(H744,8)*1.5+MAX(0,H744-8)*2,I744*1.5)+N(J744)*0.5,2))</f>
        <v/>
      </c>
      <c r="L744" s="18" t="n"/>
      <c r="M744" s="18" t="n"/>
      <c r="N744" s="22" t="n"/>
    </row>
    <row r="745">
      <c r="A745" s="19" t="n"/>
      <c r="B745" s="25">
        <f>IF(A745="","",CHOOSE(WEEKDAY(A745,2),"월","화","수","목","금","토","일"))</f>
        <v/>
      </c>
      <c r="C745" s="18" t="n"/>
      <c r="D745" s="25">
        <f>IFERROR(IF(C745="","",INDEX(직원명부!$B$5:$B$24,MATCH(C745,직원명부!$A$5:$A$24,0))),"사번 확인")</f>
        <v/>
      </c>
      <c r="E745" s="34" t="n"/>
      <c r="F745" s="34" t="n"/>
      <c r="G745" s="28" t="n"/>
      <c r="H745" s="33">
        <f>IF(OR(E745="",F745=""),"",ROUND(MOD(F745-E745,1)*24-N(G745),2))</f>
        <v/>
      </c>
      <c r="I745" s="33">
        <f>IF(H745="","",ROUND(MAX(0,H745-8),2))</f>
        <v/>
      </c>
      <c r="J745" s="33">
        <f>IF(OR(E745="",F745=""),"",ROUND(IF(MOD(F745,1)&gt;=TIME(22,0,0),(MOD(F745,1)-TIME(22,0,0))*24,IF(MOD(F745,1)&lt;TIME(6,0,0),(MOD(F745,1)+1-TIME(22,0,0))*24,0)),2))</f>
        <v/>
      </c>
      <c r="K745" s="33">
        <f>IF(H745="","",ROUND(IF(L745="휴일근로",MIN(H745,8)*1.5+MAX(0,H745-8)*2,I745*1.5)+N(J745)*0.5,2))</f>
        <v/>
      </c>
      <c r="L745" s="18" t="n"/>
      <c r="M745" s="18" t="n"/>
      <c r="N745" s="22" t="n"/>
    </row>
    <row r="746">
      <c r="A746" s="19" t="n"/>
      <c r="B746" s="25">
        <f>IF(A746="","",CHOOSE(WEEKDAY(A746,2),"월","화","수","목","금","토","일"))</f>
        <v/>
      </c>
      <c r="C746" s="18" t="n"/>
      <c r="D746" s="25">
        <f>IFERROR(IF(C746="","",INDEX(직원명부!$B$5:$B$24,MATCH(C746,직원명부!$A$5:$A$24,0))),"사번 확인")</f>
        <v/>
      </c>
      <c r="E746" s="34" t="n"/>
      <c r="F746" s="34" t="n"/>
      <c r="G746" s="28" t="n"/>
      <c r="H746" s="33">
        <f>IF(OR(E746="",F746=""),"",ROUND(MOD(F746-E746,1)*24-N(G746),2))</f>
        <v/>
      </c>
      <c r="I746" s="33">
        <f>IF(H746="","",ROUND(MAX(0,H746-8),2))</f>
        <v/>
      </c>
      <c r="J746" s="33">
        <f>IF(OR(E746="",F746=""),"",ROUND(IF(MOD(F746,1)&gt;=TIME(22,0,0),(MOD(F746,1)-TIME(22,0,0))*24,IF(MOD(F746,1)&lt;TIME(6,0,0),(MOD(F746,1)+1-TIME(22,0,0))*24,0)),2))</f>
        <v/>
      </c>
      <c r="K746" s="33">
        <f>IF(H746="","",ROUND(IF(L746="휴일근로",MIN(H746,8)*1.5+MAX(0,H746-8)*2,I746*1.5)+N(J746)*0.5,2))</f>
        <v/>
      </c>
      <c r="L746" s="18" t="n"/>
      <c r="M746" s="18" t="n"/>
      <c r="N746" s="22" t="n"/>
    </row>
    <row r="747">
      <c r="A747" s="19" t="n"/>
      <c r="B747" s="25">
        <f>IF(A747="","",CHOOSE(WEEKDAY(A747,2),"월","화","수","목","금","토","일"))</f>
        <v/>
      </c>
      <c r="C747" s="18" t="n"/>
      <c r="D747" s="25">
        <f>IFERROR(IF(C747="","",INDEX(직원명부!$B$5:$B$24,MATCH(C747,직원명부!$A$5:$A$24,0))),"사번 확인")</f>
        <v/>
      </c>
      <c r="E747" s="34" t="n"/>
      <c r="F747" s="34" t="n"/>
      <c r="G747" s="28" t="n"/>
      <c r="H747" s="33">
        <f>IF(OR(E747="",F747=""),"",ROUND(MOD(F747-E747,1)*24-N(G747),2))</f>
        <v/>
      </c>
      <c r="I747" s="33">
        <f>IF(H747="","",ROUND(MAX(0,H747-8),2))</f>
        <v/>
      </c>
      <c r="J747" s="33">
        <f>IF(OR(E747="",F747=""),"",ROUND(IF(MOD(F747,1)&gt;=TIME(22,0,0),(MOD(F747,1)-TIME(22,0,0))*24,IF(MOD(F747,1)&lt;TIME(6,0,0),(MOD(F747,1)+1-TIME(22,0,0))*24,0)),2))</f>
        <v/>
      </c>
      <c r="K747" s="33">
        <f>IF(H747="","",ROUND(IF(L747="휴일근로",MIN(H747,8)*1.5+MAX(0,H747-8)*2,I747*1.5)+N(J747)*0.5,2))</f>
        <v/>
      </c>
      <c r="L747" s="18" t="n"/>
      <c r="M747" s="18" t="n"/>
      <c r="N747" s="22" t="n"/>
    </row>
    <row r="748">
      <c r="A748" s="19" t="n"/>
      <c r="B748" s="25">
        <f>IF(A748="","",CHOOSE(WEEKDAY(A748,2),"월","화","수","목","금","토","일"))</f>
        <v/>
      </c>
      <c r="C748" s="18" t="n"/>
      <c r="D748" s="25">
        <f>IFERROR(IF(C748="","",INDEX(직원명부!$B$5:$B$24,MATCH(C748,직원명부!$A$5:$A$24,0))),"사번 확인")</f>
        <v/>
      </c>
      <c r="E748" s="34" t="n"/>
      <c r="F748" s="34" t="n"/>
      <c r="G748" s="28" t="n"/>
      <c r="H748" s="33">
        <f>IF(OR(E748="",F748=""),"",ROUND(MOD(F748-E748,1)*24-N(G748),2))</f>
        <v/>
      </c>
      <c r="I748" s="33">
        <f>IF(H748="","",ROUND(MAX(0,H748-8),2))</f>
        <v/>
      </c>
      <c r="J748" s="33">
        <f>IF(OR(E748="",F748=""),"",ROUND(IF(MOD(F748,1)&gt;=TIME(22,0,0),(MOD(F748,1)-TIME(22,0,0))*24,IF(MOD(F748,1)&lt;TIME(6,0,0),(MOD(F748,1)+1-TIME(22,0,0))*24,0)),2))</f>
        <v/>
      </c>
      <c r="K748" s="33">
        <f>IF(H748="","",ROUND(IF(L748="휴일근로",MIN(H748,8)*1.5+MAX(0,H748-8)*2,I748*1.5)+N(J748)*0.5,2))</f>
        <v/>
      </c>
      <c r="L748" s="18" t="n"/>
      <c r="M748" s="18" t="n"/>
      <c r="N748" s="22" t="n"/>
    </row>
    <row r="749">
      <c r="A749" s="19" t="n"/>
      <c r="B749" s="25">
        <f>IF(A749="","",CHOOSE(WEEKDAY(A749,2),"월","화","수","목","금","토","일"))</f>
        <v/>
      </c>
      <c r="C749" s="18" t="n"/>
      <c r="D749" s="25">
        <f>IFERROR(IF(C749="","",INDEX(직원명부!$B$5:$B$24,MATCH(C749,직원명부!$A$5:$A$24,0))),"사번 확인")</f>
        <v/>
      </c>
      <c r="E749" s="34" t="n"/>
      <c r="F749" s="34" t="n"/>
      <c r="G749" s="28" t="n"/>
      <c r="H749" s="33">
        <f>IF(OR(E749="",F749=""),"",ROUND(MOD(F749-E749,1)*24-N(G749),2))</f>
        <v/>
      </c>
      <c r="I749" s="33">
        <f>IF(H749="","",ROUND(MAX(0,H749-8),2))</f>
        <v/>
      </c>
      <c r="J749" s="33">
        <f>IF(OR(E749="",F749=""),"",ROUND(IF(MOD(F749,1)&gt;=TIME(22,0,0),(MOD(F749,1)-TIME(22,0,0))*24,IF(MOD(F749,1)&lt;TIME(6,0,0),(MOD(F749,1)+1-TIME(22,0,0))*24,0)),2))</f>
        <v/>
      </c>
      <c r="K749" s="33">
        <f>IF(H749="","",ROUND(IF(L749="휴일근로",MIN(H749,8)*1.5+MAX(0,H749-8)*2,I749*1.5)+N(J749)*0.5,2))</f>
        <v/>
      </c>
      <c r="L749" s="18" t="n"/>
      <c r="M749" s="18" t="n"/>
      <c r="N749" s="22" t="n"/>
    </row>
    <row r="750">
      <c r="A750" s="19" t="n"/>
      <c r="B750" s="25">
        <f>IF(A750="","",CHOOSE(WEEKDAY(A750,2),"월","화","수","목","금","토","일"))</f>
        <v/>
      </c>
      <c r="C750" s="18" t="n"/>
      <c r="D750" s="25">
        <f>IFERROR(IF(C750="","",INDEX(직원명부!$B$5:$B$24,MATCH(C750,직원명부!$A$5:$A$24,0))),"사번 확인")</f>
        <v/>
      </c>
      <c r="E750" s="34" t="n"/>
      <c r="F750" s="34" t="n"/>
      <c r="G750" s="28" t="n"/>
      <c r="H750" s="33">
        <f>IF(OR(E750="",F750=""),"",ROUND(MOD(F750-E750,1)*24-N(G750),2))</f>
        <v/>
      </c>
      <c r="I750" s="33">
        <f>IF(H750="","",ROUND(MAX(0,H750-8),2))</f>
        <v/>
      </c>
      <c r="J750" s="33">
        <f>IF(OR(E750="",F750=""),"",ROUND(IF(MOD(F750,1)&gt;=TIME(22,0,0),(MOD(F750,1)-TIME(22,0,0))*24,IF(MOD(F750,1)&lt;TIME(6,0,0),(MOD(F750,1)+1-TIME(22,0,0))*24,0)),2))</f>
        <v/>
      </c>
      <c r="K750" s="33">
        <f>IF(H750="","",ROUND(IF(L750="휴일근로",MIN(H750,8)*1.5+MAX(0,H750-8)*2,I750*1.5)+N(J750)*0.5,2))</f>
        <v/>
      </c>
      <c r="L750" s="18" t="n"/>
      <c r="M750" s="18" t="n"/>
      <c r="N750" s="22" t="n"/>
    </row>
    <row r="751">
      <c r="A751" s="19" t="n"/>
      <c r="B751" s="25">
        <f>IF(A751="","",CHOOSE(WEEKDAY(A751,2),"월","화","수","목","금","토","일"))</f>
        <v/>
      </c>
      <c r="C751" s="18" t="n"/>
      <c r="D751" s="25">
        <f>IFERROR(IF(C751="","",INDEX(직원명부!$B$5:$B$24,MATCH(C751,직원명부!$A$5:$A$24,0))),"사번 확인")</f>
        <v/>
      </c>
      <c r="E751" s="34" t="n"/>
      <c r="F751" s="34" t="n"/>
      <c r="G751" s="28" t="n"/>
      <c r="H751" s="33">
        <f>IF(OR(E751="",F751=""),"",ROUND(MOD(F751-E751,1)*24-N(G751),2))</f>
        <v/>
      </c>
      <c r="I751" s="33">
        <f>IF(H751="","",ROUND(MAX(0,H751-8),2))</f>
        <v/>
      </c>
      <c r="J751" s="33">
        <f>IF(OR(E751="",F751=""),"",ROUND(IF(MOD(F751,1)&gt;=TIME(22,0,0),(MOD(F751,1)-TIME(22,0,0))*24,IF(MOD(F751,1)&lt;TIME(6,0,0),(MOD(F751,1)+1-TIME(22,0,0))*24,0)),2))</f>
        <v/>
      </c>
      <c r="K751" s="33">
        <f>IF(H751="","",ROUND(IF(L751="휴일근로",MIN(H751,8)*1.5+MAX(0,H751-8)*2,I751*1.5)+N(J751)*0.5,2))</f>
        <v/>
      </c>
      <c r="L751" s="18" t="n"/>
      <c r="M751" s="18" t="n"/>
      <c r="N751" s="22" t="n"/>
    </row>
    <row r="752">
      <c r="A752" s="19" t="n"/>
      <c r="B752" s="25">
        <f>IF(A752="","",CHOOSE(WEEKDAY(A752,2),"월","화","수","목","금","토","일"))</f>
        <v/>
      </c>
      <c r="C752" s="18" t="n"/>
      <c r="D752" s="25">
        <f>IFERROR(IF(C752="","",INDEX(직원명부!$B$5:$B$24,MATCH(C752,직원명부!$A$5:$A$24,0))),"사번 확인")</f>
        <v/>
      </c>
      <c r="E752" s="34" t="n"/>
      <c r="F752" s="34" t="n"/>
      <c r="G752" s="28" t="n"/>
      <c r="H752" s="33">
        <f>IF(OR(E752="",F752=""),"",ROUND(MOD(F752-E752,1)*24-N(G752),2))</f>
        <v/>
      </c>
      <c r="I752" s="33">
        <f>IF(H752="","",ROUND(MAX(0,H752-8),2))</f>
        <v/>
      </c>
      <c r="J752" s="33">
        <f>IF(OR(E752="",F752=""),"",ROUND(IF(MOD(F752,1)&gt;=TIME(22,0,0),(MOD(F752,1)-TIME(22,0,0))*24,IF(MOD(F752,1)&lt;TIME(6,0,0),(MOD(F752,1)+1-TIME(22,0,0))*24,0)),2))</f>
        <v/>
      </c>
      <c r="K752" s="33">
        <f>IF(H752="","",ROUND(IF(L752="휴일근로",MIN(H752,8)*1.5+MAX(0,H752-8)*2,I752*1.5)+N(J752)*0.5,2))</f>
        <v/>
      </c>
      <c r="L752" s="18" t="n"/>
      <c r="M752" s="18" t="n"/>
      <c r="N752" s="22" t="n"/>
    </row>
    <row r="753">
      <c r="A753" s="19" t="n"/>
      <c r="B753" s="25">
        <f>IF(A753="","",CHOOSE(WEEKDAY(A753,2),"월","화","수","목","금","토","일"))</f>
        <v/>
      </c>
      <c r="C753" s="18" t="n"/>
      <c r="D753" s="25">
        <f>IFERROR(IF(C753="","",INDEX(직원명부!$B$5:$B$24,MATCH(C753,직원명부!$A$5:$A$24,0))),"사번 확인")</f>
        <v/>
      </c>
      <c r="E753" s="34" t="n"/>
      <c r="F753" s="34" t="n"/>
      <c r="G753" s="28" t="n"/>
      <c r="H753" s="33">
        <f>IF(OR(E753="",F753=""),"",ROUND(MOD(F753-E753,1)*24-N(G753),2))</f>
        <v/>
      </c>
      <c r="I753" s="33">
        <f>IF(H753="","",ROUND(MAX(0,H753-8),2))</f>
        <v/>
      </c>
      <c r="J753" s="33">
        <f>IF(OR(E753="",F753=""),"",ROUND(IF(MOD(F753,1)&gt;=TIME(22,0,0),(MOD(F753,1)-TIME(22,0,0))*24,IF(MOD(F753,1)&lt;TIME(6,0,0),(MOD(F753,1)+1-TIME(22,0,0))*24,0)),2))</f>
        <v/>
      </c>
      <c r="K753" s="33">
        <f>IF(H753="","",ROUND(IF(L753="휴일근로",MIN(H753,8)*1.5+MAX(0,H753-8)*2,I753*1.5)+N(J753)*0.5,2))</f>
        <v/>
      </c>
      <c r="L753" s="18" t="n"/>
      <c r="M753" s="18" t="n"/>
      <c r="N753" s="22" t="n"/>
    </row>
    <row r="754">
      <c r="A754" s="19" t="n"/>
      <c r="B754" s="25">
        <f>IF(A754="","",CHOOSE(WEEKDAY(A754,2),"월","화","수","목","금","토","일"))</f>
        <v/>
      </c>
      <c r="C754" s="18" t="n"/>
      <c r="D754" s="25">
        <f>IFERROR(IF(C754="","",INDEX(직원명부!$B$5:$B$24,MATCH(C754,직원명부!$A$5:$A$24,0))),"사번 확인")</f>
        <v/>
      </c>
      <c r="E754" s="34" t="n"/>
      <c r="F754" s="34" t="n"/>
      <c r="G754" s="28" t="n"/>
      <c r="H754" s="33">
        <f>IF(OR(E754="",F754=""),"",ROUND(MOD(F754-E754,1)*24-N(G754),2))</f>
        <v/>
      </c>
      <c r="I754" s="33">
        <f>IF(H754="","",ROUND(MAX(0,H754-8),2))</f>
        <v/>
      </c>
      <c r="J754" s="33">
        <f>IF(OR(E754="",F754=""),"",ROUND(IF(MOD(F754,1)&gt;=TIME(22,0,0),(MOD(F754,1)-TIME(22,0,0))*24,IF(MOD(F754,1)&lt;TIME(6,0,0),(MOD(F754,1)+1-TIME(22,0,0))*24,0)),2))</f>
        <v/>
      </c>
      <c r="K754" s="33">
        <f>IF(H754="","",ROUND(IF(L754="휴일근로",MIN(H754,8)*1.5+MAX(0,H754-8)*2,I754*1.5)+N(J754)*0.5,2))</f>
        <v/>
      </c>
      <c r="L754" s="18" t="n"/>
      <c r="M754" s="18" t="n"/>
      <c r="N754" s="22" t="n"/>
    </row>
    <row r="755">
      <c r="A755" s="19" t="n"/>
      <c r="B755" s="25">
        <f>IF(A755="","",CHOOSE(WEEKDAY(A755,2),"월","화","수","목","금","토","일"))</f>
        <v/>
      </c>
      <c r="C755" s="18" t="n"/>
      <c r="D755" s="25">
        <f>IFERROR(IF(C755="","",INDEX(직원명부!$B$5:$B$24,MATCH(C755,직원명부!$A$5:$A$24,0))),"사번 확인")</f>
        <v/>
      </c>
      <c r="E755" s="34" t="n"/>
      <c r="F755" s="34" t="n"/>
      <c r="G755" s="28" t="n"/>
      <c r="H755" s="33">
        <f>IF(OR(E755="",F755=""),"",ROUND(MOD(F755-E755,1)*24-N(G755),2))</f>
        <v/>
      </c>
      <c r="I755" s="33">
        <f>IF(H755="","",ROUND(MAX(0,H755-8),2))</f>
        <v/>
      </c>
      <c r="J755" s="33">
        <f>IF(OR(E755="",F755=""),"",ROUND(IF(MOD(F755,1)&gt;=TIME(22,0,0),(MOD(F755,1)-TIME(22,0,0))*24,IF(MOD(F755,1)&lt;TIME(6,0,0),(MOD(F755,1)+1-TIME(22,0,0))*24,0)),2))</f>
        <v/>
      </c>
      <c r="K755" s="33">
        <f>IF(H755="","",ROUND(IF(L755="휴일근로",MIN(H755,8)*1.5+MAX(0,H755-8)*2,I755*1.5)+N(J755)*0.5,2))</f>
        <v/>
      </c>
      <c r="L755" s="18" t="n"/>
      <c r="M755" s="18" t="n"/>
      <c r="N755" s="22" t="n"/>
    </row>
    <row r="756">
      <c r="A756" s="19" t="n"/>
      <c r="B756" s="25">
        <f>IF(A756="","",CHOOSE(WEEKDAY(A756,2),"월","화","수","목","금","토","일"))</f>
        <v/>
      </c>
      <c r="C756" s="18" t="n"/>
      <c r="D756" s="25">
        <f>IFERROR(IF(C756="","",INDEX(직원명부!$B$5:$B$24,MATCH(C756,직원명부!$A$5:$A$24,0))),"사번 확인")</f>
        <v/>
      </c>
      <c r="E756" s="34" t="n"/>
      <c r="F756" s="34" t="n"/>
      <c r="G756" s="28" t="n"/>
      <c r="H756" s="33">
        <f>IF(OR(E756="",F756=""),"",ROUND(MOD(F756-E756,1)*24-N(G756),2))</f>
        <v/>
      </c>
      <c r="I756" s="33">
        <f>IF(H756="","",ROUND(MAX(0,H756-8),2))</f>
        <v/>
      </c>
      <c r="J756" s="33">
        <f>IF(OR(E756="",F756=""),"",ROUND(IF(MOD(F756,1)&gt;=TIME(22,0,0),(MOD(F756,1)-TIME(22,0,0))*24,IF(MOD(F756,1)&lt;TIME(6,0,0),(MOD(F756,1)+1-TIME(22,0,0))*24,0)),2))</f>
        <v/>
      </c>
      <c r="K756" s="33">
        <f>IF(H756="","",ROUND(IF(L756="휴일근로",MIN(H756,8)*1.5+MAX(0,H756-8)*2,I756*1.5)+N(J756)*0.5,2))</f>
        <v/>
      </c>
      <c r="L756" s="18" t="n"/>
      <c r="M756" s="18" t="n"/>
      <c r="N756" s="22" t="n"/>
    </row>
    <row r="757">
      <c r="A757" s="19" t="n"/>
      <c r="B757" s="25">
        <f>IF(A757="","",CHOOSE(WEEKDAY(A757,2),"월","화","수","목","금","토","일"))</f>
        <v/>
      </c>
      <c r="C757" s="18" t="n"/>
      <c r="D757" s="25">
        <f>IFERROR(IF(C757="","",INDEX(직원명부!$B$5:$B$24,MATCH(C757,직원명부!$A$5:$A$24,0))),"사번 확인")</f>
        <v/>
      </c>
      <c r="E757" s="34" t="n"/>
      <c r="F757" s="34" t="n"/>
      <c r="G757" s="28" t="n"/>
      <c r="H757" s="33">
        <f>IF(OR(E757="",F757=""),"",ROUND(MOD(F757-E757,1)*24-N(G757),2))</f>
        <v/>
      </c>
      <c r="I757" s="33">
        <f>IF(H757="","",ROUND(MAX(0,H757-8),2))</f>
        <v/>
      </c>
      <c r="J757" s="33">
        <f>IF(OR(E757="",F757=""),"",ROUND(IF(MOD(F757,1)&gt;=TIME(22,0,0),(MOD(F757,1)-TIME(22,0,0))*24,IF(MOD(F757,1)&lt;TIME(6,0,0),(MOD(F757,1)+1-TIME(22,0,0))*24,0)),2))</f>
        <v/>
      </c>
      <c r="K757" s="33">
        <f>IF(H757="","",ROUND(IF(L757="휴일근로",MIN(H757,8)*1.5+MAX(0,H757-8)*2,I757*1.5)+N(J757)*0.5,2))</f>
        <v/>
      </c>
      <c r="L757" s="18" t="n"/>
      <c r="M757" s="18" t="n"/>
      <c r="N757" s="22" t="n"/>
    </row>
    <row r="758">
      <c r="A758" s="19" t="n"/>
      <c r="B758" s="25">
        <f>IF(A758="","",CHOOSE(WEEKDAY(A758,2),"월","화","수","목","금","토","일"))</f>
        <v/>
      </c>
      <c r="C758" s="18" t="n"/>
      <c r="D758" s="25">
        <f>IFERROR(IF(C758="","",INDEX(직원명부!$B$5:$B$24,MATCH(C758,직원명부!$A$5:$A$24,0))),"사번 확인")</f>
        <v/>
      </c>
      <c r="E758" s="34" t="n"/>
      <c r="F758" s="34" t="n"/>
      <c r="G758" s="28" t="n"/>
      <c r="H758" s="33">
        <f>IF(OR(E758="",F758=""),"",ROUND(MOD(F758-E758,1)*24-N(G758),2))</f>
        <v/>
      </c>
      <c r="I758" s="33">
        <f>IF(H758="","",ROUND(MAX(0,H758-8),2))</f>
        <v/>
      </c>
      <c r="J758" s="33">
        <f>IF(OR(E758="",F758=""),"",ROUND(IF(MOD(F758,1)&gt;=TIME(22,0,0),(MOD(F758,1)-TIME(22,0,0))*24,IF(MOD(F758,1)&lt;TIME(6,0,0),(MOD(F758,1)+1-TIME(22,0,0))*24,0)),2))</f>
        <v/>
      </c>
      <c r="K758" s="33">
        <f>IF(H758="","",ROUND(IF(L758="휴일근로",MIN(H758,8)*1.5+MAX(0,H758-8)*2,I758*1.5)+N(J758)*0.5,2))</f>
        <v/>
      </c>
      <c r="L758" s="18" t="n"/>
      <c r="M758" s="18" t="n"/>
      <c r="N758" s="22" t="n"/>
    </row>
    <row r="759">
      <c r="A759" s="19" t="n"/>
      <c r="B759" s="25">
        <f>IF(A759="","",CHOOSE(WEEKDAY(A759,2),"월","화","수","목","금","토","일"))</f>
        <v/>
      </c>
      <c r="C759" s="18" t="n"/>
      <c r="D759" s="25">
        <f>IFERROR(IF(C759="","",INDEX(직원명부!$B$5:$B$24,MATCH(C759,직원명부!$A$5:$A$24,0))),"사번 확인")</f>
        <v/>
      </c>
      <c r="E759" s="34" t="n"/>
      <c r="F759" s="34" t="n"/>
      <c r="G759" s="28" t="n"/>
      <c r="H759" s="33">
        <f>IF(OR(E759="",F759=""),"",ROUND(MOD(F759-E759,1)*24-N(G759),2))</f>
        <v/>
      </c>
      <c r="I759" s="33">
        <f>IF(H759="","",ROUND(MAX(0,H759-8),2))</f>
        <v/>
      </c>
      <c r="J759" s="33">
        <f>IF(OR(E759="",F759=""),"",ROUND(IF(MOD(F759,1)&gt;=TIME(22,0,0),(MOD(F759,1)-TIME(22,0,0))*24,IF(MOD(F759,1)&lt;TIME(6,0,0),(MOD(F759,1)+1-TIME(22,0,0))*24,0)),2))</f>
        <v/>
      </c>
      <c r="K759" s="33">
        <f>IF(H759="","",ROUND(IF(L759="휴일근로",MIN(H759,8)*1.5+MAX(0,H759-8)*2,I759*1.5)+N(J759)*0.5,2))</f>
        <v/>
      </c>
      <c r="L759" s="18" t="n"/>
      <c r="M759" s="18" t="n"/>
      <c r="N759" s="22" t="n"/>
    </row>
    <row r="760">
      <c r="A760" s="19" t="n"/>
      <c r="B760" s="25">
        <f>IF(A760="","",CHOOSE(WEEKDAY(A760,2),"월","화","수","목","금","토","일"))</f>
        <v/>
      </c>
      <c r="C760" s="18" t="n"/>
      <c r="D760" s="25">
        <f>IFERROR(IF(C760="","",INDEX(직원명부!$B$5:$B$24,MATCH(C760,직원명부!$A$5:$A$24,0))),"사번 확인")</f>
        <v/>
      </c>
      <c r="E760" s="34" t="n"/>
      <c r="F760" s="34" t="n"/>
      <c r="G760" s="28" t="n"/>
      <c r="H760" s="33">
        <f>IF(OR(E760="",F760=""),"",ROUND(MOD(F760-E760,1)*24-N(G760),2))</f>
        <v/>
      </c>
      <c r="I760" s="33">
        <f>IF(H760="","",ROUND(MAX(0,H760-8),2))</f>
        <v/>
      </c>
      <c r="J760" s="33">
        <f>IF(OR(E760="",F760=""),"",ROUND(IF(MOD(F760,1)&gt;=TIME(22,0,0),(MOD(F760,1)-TIME(22,0,0))*24,IF(MOD(F760,1)&lt;TIME(6,0,0),(MOD(F760,1)+1-TIME(22,0,0))*24,0)),2))</f>
        <v/>
      </c>
      <c r="K760" s="33">
        <f>IF(H760="","",ROUND(IF(L760="휴일근로",MIN(H760,8)*1.5+MAX(0,H760-8)*2,I760*1.5)+N(J760)*0.5,2))</f>
        <v/>
      </c>
      <c r="L760" s="18" t="n"/>
      <c r="M760" s="18" t="n"/>
      <c r="N760" s="22" t="n"/>
    </row>
    <row r="761">
      <c r="A761" s="19" t="n"/>
      <c r="B761" s="25">
        <f>IF(A761="","",CHOOSE(WEEKDAY(A761,2),"월","화","수","목","금","토","일"))</f>
        <v/>
      </c>
      <c r="C761" s="18" t="n"/>
      <c r="D761" s="25">
        <f>IFERROR(IF(C761="","",INDEX(직원명부!$B$5:$B$24,MATCH(C761,직원명부!$A$5:$A$24,0))),"사번 확인")</f>
        <v/>
      </c>
      <c r="E761" s="34" t="n"/>
      <c r="F761" s="34" t="n"/>
      <c r="G761" s="28" t="n"/>
      <c r="H761" s="33">
        <f>IF(OR(E761="",F761=""),"",ROUND(MOD(F761-E761,1)*24-N(G761),2))</f>
        <v/>
      </c>
      <c r="I761" s="33">
        <f>IF(H761="","",ROUND(MAX(0,H761-8),2))</f>
        <v/>
      </c>
      <c r="J761" s="33">
        <f>IF(OR(E761="",F761=""),"",ROUND(IF(MOD(F761,1)&gt;=TIME(22,0,0),(MOD(F761,1)-TIME(22,0,0))*24,IF(MOD(F761,1)&lt;TIME(6,0,0),(MOD(F761,1)+1-TIME(22,0,0))*24,0)),2))</f>
        <v/>
      </c>
      <c r="K761" s="33">
        <f>IF(H761="","",ROUND(IF(L761="휴일근로",MIN(H761,8)*1.5+MAX(0,H761-8)*2,I761*1.5)+N(J761)*0.5,2))</f>
        <v/>
      </c>
      <c r="L761" s="18" t="n"/>
      <c r="M761" s="18" t="n"/>
      <c r="N761" s="22" t="n"/>
    </row>
    <row r="762">
      <c r="A762" s="19" t="n"/>
      <c r="B762" s="25">
        <f>IF(A762="","",CHOOSE(WEEKDAY(A762,2),"월","화","수","목","금","토","일"))</f>
        <v/>
      </c>
      <c r="C762" s="18" t="n"/>
      <c r="D762" s="25">
        <f>IFERROR(IF(C762="","",INDEX(직원명부!$B$5:$B$24,MATCH(C762,직원명부!$A$5:$A$24,0))),"사번 확인")</f>
        <v/>
      </c>
      <c r="E762" s="34" t="n"/>
      <c r="F762" s="34" t="n"/>
      <c r="G762" s="28" t="n"/>
      <c r="H762" s="33">
        <f>IF(OR(E762="",F762=""),"",ROUND(MOD(F762-E762,1)*24-N(G762),2))</f>
        <v/>
      </c>
      <c r="I762" s="33">
        <f>IF(H762="","",ROUND(MAX(0,H762-8),2))</f>
        <v/>
      </c>
      <c r="J762" s="33">
        <f>IF(OR(E762="",F762=""),"",ROUND(IF(MOD(F762,1)&gt;=TIME(22,0,0),(MOD(F762,1)-TIME(22,0,0))*24,IF(MOD(F762,1)&lt;TIME(6,0,0),(MOD(F762,1)+1-TIME(22,0,0))*24,0)),2))</f>
        <v/>
      </c>
      <c r="K762" s="33">
        <f>IF(H762="","",ROUND(IF(L762="휴일근로",MIN(H762,8)*1.5+MAX(0,H762-8)*2,I762*1.5)+N(J762)*0.5,2))</f>
        <v/>
      </c>
      <c r="L762" s="18" t="n"/>
      <c r="M762" s="18" t="n"/>
      <c r="N762" s="22" t="n"/>
    </row>
    <row r="763">
      <c r="A763" s="19" t="n"/>
      <c r="B763" s="25">
        <f>IF(A763="","",CHOOSE(WEEKDAY(A763,2),"월","화","수","목","금","토","일"))</f>
        <v/>
      </c>
      <c r="C763" s="18" t="n"/>
      <c r="D763" s="25">
        <f>IFERROR(IF(C763="","",INDEX(직원명부!$B$5:$B$24,MATCH(C763,직원명부!$A$5:$A$24,0))),"사번 확인")</f>
        <v/>
      </c>
      <c r="E763" s="34" t="n"/>
      <c r="F763" s="34" t="n"/>
      <c r="G763" s="28" t="n"/>
      <c r="H763" s="33">
        <f>IF(OR(E763="",F763=""),"",ROUND(MOD(F763-E763,1)*24-N(G763),2))</f>
        <v/>
      </c>
      <c r="I763" s="33">
        <f>IF(H763="","",ROUND(MAX(0,H763-8),2))</f>
        <v/>
      </c>
      <c r="J763" s="33">
        <f>IF(OR(E763="",F763=""),"",ROUND(IF(MOD(F763,1)&gt;=TIME(22,0,0),(MOD(F763,1)-TIME(22,0,0))*24,IF(MOD(F763,1)&lt;TIME(6,0,0),(MOD(F763,1)+1-TIME(22,0,0))*24,0)),2))</f>
        <v/>
      </c>
      <c r="K763" s="33">
        <f>IF(H763="","",ROUND(IF(L763="휴일근로",MIN(H763,8)*1.5+MAX(0,H763-8)*2,I763*1.5)+N(J763)*0.5,2))</f>
        <v/>
      </c>
      <c r="L763" s="18" t="n"/>
      <c r="M763" s="18" t="n"/>
      <c r="N763" s="22" t="n"/>
    </row>
    <row r="764">
      <c r="A764" s="19" t="n"/>
      <c r="B764" s="25">
        <f>IF(A764="","",CHOOSE(WEEKDAY(A764,2),"월","화","수","목","금","토","일"))</f>
        <v/>
      </c>
      <c r="C764" s="18" t="n"/>
      <c r="D764" s="25">
        <f>IFERROR(IF(C764="","",INDEX(직원명부!$B$5:$B$24,MATCH(C764,직원명부!$A$5:$A$24,0))),"사번 확인")</f>
        <v/>
      </c>
      <c r="E764" s="34" t="n"/>
      <c r="F764" s="34" t="n"/>
      <c r="G764" s="28" t="n"/>
      <c r="H764" s="33">
        <f>IF(OR(E764="",F764=""),"",ROUND(MOD(F764-E764,1)*24-N(G764),2))</f>
        <v/>
      </c>
      <c r="I764" s="33">
        <f>IF(H764="","",ROUND(MAX(0,H764-8),2))</f>
        <v/>
      </c>
      <c r="J764" s="33">
        <f>IF(OR(E764="",F764=""),"",ROUND(IF(MOD(F764,1)&gt;=TIME(22,0,0),(MOD(F764,1)-TIME(22,0,0))*24,IF(MOD(F764,1)&lt;TIME(6,0,0),(MOD(F764,1)+1-TIME(22,0,0))*24,0)),2))</f>
        <v/>
      </c>
      <c r="K764" s="33">
        <f>IF(H764="","",ROUND(IF(L764="휴일근로",MIN(H764,8)*1.5+MAX(0,H764-8)*2,I764*1.5)+N(J764)*0.5,2))</f>
        <v/>
      </c>
      <c r="L764" s="18" t="n"/>
      <c r="M764" s="18" t="n"/>
      <c r="N764" s="22" t="n"/>
    </row>
    <row r="765">
      <c r="A765" s="19" t="n"/>
      <c r="B765" s="25">
        <f>IF(A765="","",CHOOSE(WEEKDAY(A765,2),"월","화","수","목","금","토","일"))</f>
        <v/>
      </c>
      <c r="C765" s="18" t="n"/>
      <c r="D765" s="25">
        <f>IFERROR(IF(C765="","",INDEX(직원명부!$B$5:$B$24,MATCH(C765,직원명부!$A$5:$A$24,0))),"사번 확인")</f>
        <v/>
      </c>
      <c r="E765" s="34" t="n"/>
      <c r="F765" s="34" t="n"/>
      <c r="G765" s="28" t="n"/>
      <c r="H765" s="33">
        <f>IF(OR(E765="",F765=""),"",ROUND(MOD(F765-E765,1)*24-N(G765),2))</f>
        <v/>
      </c>
      <c r="I765" s="33">
        <f>IF(H765="","",ROUND(MAX(0,H765-8),2))</f>
        <v/>
      </c>
      <c r="J765" s="33">
        <f>IF(OR(E765="",F765=""),"",ROUND(IF(MOD(F765,1)&gt;=TIME(22,0,0),(MOD(F765,1)-TIME(22,0,0))*24,IF(MOD(F765,1)&lt;TIME(6,0,0),(MOD(F765,1)+1-TIME(22,0,0))*24,0)),2))</f>
        <v/>
      </c>
      <c r="K765" s="33">
        <f>IF(H765="","",ROUND(IF(L765="휴일근로",MIN(H765,8)*1.5+MAX(0,H765-8)*2,I765*1.5)+N(J765)*0.5,2))</f>
        <v/>
      </c>
      <c r="L765" s="18" t="n"/>
      <c r="M765" s="18" t="n"/>
      <c r="N765" s="22" t="n"/>
    </row>
    <row r="766">
      <c r="A766" s="19" t="n"/>
      <c r="B766" s="25">
        <f>IF(A766="","",CHOOSE(WEEKDAY(A766,2),"월","화","수","목","금","토","일"))</f>
        <v/>
      </c>
      <c r="C766" s="18" t="n"/>
      <c r="D766" s="25">
        <f>IFERROR(IF(C766="","",INDEX(직원명부!$B$5:$B$24,MATCH(C766,직원명부!$A$5:$A$24,0))),"사번 확인")</f>
        <v/>
      </c>
      <c r="E766" s="34" t="n"/>
      <c r="F766" s="34" t="n"/>
      <c r="G766" s="28" t="n"/>
      <c r="H766" s="33">
        <f>IF(OR(E766="",F766=""),"",ROUND(MOD(F766-E766,1)*24-N(G766),2))</f>
        <v/>
      </c>
      <c r="I766" s="33">
        <f>IF(H766="","",ROUND(MAX(0,H766-8),2))</f>
        <v/>
      </c>
      <c r="J766" s="33">
        <f>IF(OR(E766="",F766=""),"",ROUND(IF(MOD(F766,1)&gt;=TIME(22,0,0),(MOD(F766,1)-TIME(22,0,0))*24,IF(MOD(F766,1)&lt;TIME(6,0,0),(MOD(F766,1)+1-TIME(22,0,0))*24,0)),2))</f>
        <v/>
      </c>
      <c r="K766" s="33">
        <f>IF(H766="","",ROUND(IF(L766="휴일근로",MIN(H766,8)*1.5+MAX(0,H766-8)*2,I766*1.5)+N(J766)*0.5,2))</f>
        <v/>
      </c>
      <c r="L766" s="18" t="n"/>
      <c r="M766" s="18" t="n"/>
      <c r="N766" s="22" t="n"/>
    </row>
    <row r="767">
      <c r="A767" s="19" t="n"/>
      <c r="B767" s="25">
        <f>IF(A767="","",CHOOSE(WEEKDAY(A767,2),"월","화","수","목","금","토","일"))</f>
        <v/>
      </c>
      <c r="C767" s="18" t="n"/>
      <c r="D767" s="25">
        <f>IFERROR(IF(C767="","",INDEX(직원명부!$B$5:$B$24,MATCH(C767,직원명부!$A$5:$A$24,0))),"사번 확인")</f>
        <v/>
      </c>
      <c r="E767" s="34" t="n"/>
      <c r="F767" s="34" t="n"/>
      <c r="G767" s="28" t="n"/>
      <c r="H767" s="33">
        <f>IF(OR(E767="",F767=""),"",ROUND(MOD(F767-E767,1)*24-N(G767),2))</f>
        <v/>
      </c>
      <c r="I767" s="33">
        <f>IF(H767="","",ROUND(MAX(0,H767-8),2))</f>
        <v/>
      </c>
      <c r="J767" s="33">
        <f>IF(OR(E767="",F767=""),"",ROUND(IF(MOD(F767,1)&gt;=TIME(22,0,0),(MOD(F767,1)-TIME(22,0,0))*24,IF(MOD(F767,1)&lt;TIME(6,0,0),(MOD(F767,1)+1-TIME(22,0,0))*24,0)),2))</f>
        <v/>
      </c>
      <c r="K767" s="33">
        <f>IF(H767="","",ROUND(IF(L767="휴일근로",MIN(H767,8)*1.5+MAX(0,H767-8)*2,I767*1.5)+N(J767)*0.5,2))</f>
        <v/>
      </c>
      <c r="L767" s="18" t="n"/>
      <c r="M767" s="18" t="n"/>
      <c r="N767" s="22" t="n"/>
    </row>
    <row r="768">
      <c r="A768" s="19" t="n"/>
      <c r="B768" s="25">
        <f>IF(A768="","",CHOOSE(WEEKDAY(A768,2),"월","화","수","목","금","토","일"))</f>
        <v/>
      </c>
      <c r="C768" s="18" t="n"/>
      <c r="D768" s="25">
        <f>IFERROR(IF(C768="","",INDEX(직원명부!$B$5:$B$24,MATCH(C768,직원명부!$A$5:$A$24,0))),"사번 확인")</f>
        <v/>
      </c>
      <c r="E768" s="34" t="n"/>
      <c r="F768" s="34" t="n"/>
      <c r="G768" s="28" t="n"/>
      <c r="H768" s="33">
        <f>IF(OR(E768="",F768=""),"",ROUND(MOD(F768-E768,1)*24-N(G768),2))</f>
        <v/>
      </c>
      <c r="I768" s="33">
        <f>IF(H768="","",ROUND(MAX(0,H768-8),2))</f>
        <v/>
      </c>
      <c r="J768" s="33">
        <f>IF(OR(E768="",F768=""),"",ROUND(IF(MOD(F768,1)&gt;=TIME(22,0,0),(MOD(F768,1)-TIME(22,0,0))*24,IF(MOD(F768,1)&lt;TIME(6,0,0),(MOD(F768,1)+1-TIME(22,0,0))*24,0)),2))</f>
        <v/>
      </c>
      <c r="K768" s="33">
        <f>IF(H768="","",ROUND(IF(L768="휴일근로",MIN(H768,8)*1.5+MAX(0,H768-8)*2,I768*1.5)+N(J768)*0.5,2))</f>
        <v/>
      </c>
      <c r="L768" s="18" t="n"/>
      <c r="M768" s="18" t="n"/>
      <c r="N768" s="22" t="n"/>
    </row>
    <row r="769">
      <c r="A769" s="19" t="n"/>
      <c r="B769" s="25">
        <f>IF(A769="","",CHOOSE(WEEKDAY(A769,2),"월","화","수","목","금","토","일"))</f>
        <v/>
      </c>
      <c r="C769" s="18" t="n"/>
      <c r="D769" s="25">
        <f>IFERROR(IF(C769="","",INDEX(직원명부!$B$5:$B$24,MATCH(C769,직원명부!$A$5:$A$24,0))),"사번 확인")</f>
        <v/>
      </c>
      <c r="E769" s="34" t="n"/>
      <c r="F769" s="34" t="n"/>
      <c r="G769" s="28" t="n"/>
      <c r="H769" s="33">
        <f>IF(OR(E769="",F769=""),"",ROUND(MOD(F769-E769,1)*24-N(G769),2))</f>
        <v/>
      </c>
      <c r="I769" s="33">
        <f>IF(H769="","",ROUND(MAX(0,H769-8),2))</f>
        <v/>
      </c>
      <c r="J769" s="33">
        <f>IF(OR(E769="",F769=""),"",ROUND(IF(MOD(F769,1)&gt;=TIME(22,0,0),(MOD(F769,1)-TIME(22,0,0))*24,IF(MOD(F769,1)&lt;TIME(6,0,0),(MOD(F769,1)+1-TIME(22,0,0))*24,0)),2))</f>
        <v/>
      </c>
      <c r="K769" s="33">
        <f>IF(H769="","",ROUND(IF(L769="휴일근로",MIN(H769,8)*1.5+MAX(0,H769-8)*2,I769*1.5)+N(J769)*0.5,2))</f>
        <v/>
      </c>
      <c r="L769" s="18" t="n"/>
      <c r="M769" s="18" t="n"/>
      <c r="N769" s="22" t="n"/>
    </row>
    <row r="770">
      <c r="A770" s="19" t="n"/>
      <c r="B770" s="25">
        <f>IF(A770="","",CHOOSE(WEEKDAY(A770,2),"월","화","수","목","금","토","일"))</f>
        <v/>
      </c>
      <c r="C770" s="18" t="n"/>
      <c r="D770" s="25">
        <f>IFERROR(IF(C770="","",INDEX(직원명부!$B$5:$B$24,MATCH(C770,직원명부!$A$5:$A$24,0))),"사번 확인")</f>
        <v/>
      </c>
      <c r="E770" s="34" t="n"/>
      <c r="F770" s="34" t="n"/>
      <c r="G770" s="28" t="n"/>
      <c r="H770" s="33">
        <f>IF(OR(E770="",F770=""),"",ROUND(MOD(F770-E770,1)*24-N(G770),2))</f>
        <v/>
      </c>
      <c r="I770" s="33">
        <f>IF(H770="","",ROUND(MAX(0,H770-8),2))</f>
        <v/>
      </c>
      <c r="J770" s="33">
        <f>IF(OR(E770="",F770=""),"",ROUND(IF(MOD(F770,1)&gt;=TIME(22,0,0),(MOD(F770,1)-TIME(22,0,0))*24,IF(MOD(F770,1)&lt;TIME(6,0,0),(MOD(F770,1)+1-TIME(22,0,0))*24,0)),2))</f>
        <v/>
      </c>
      <c r="K770" s="33">
        <f>IF(H770="","",ROUND(IF(L770="휴일근로",MIN(H770,8)*1.5+MAX(0,H770-8)*2,I770*1.5)+N(J770)*0.5,2))</f>
        <v/>
      </c>
      <c r="L770" s="18" t="n"/>
      <c r="M770" s="18" t="n"/>
      <c r="N770" s="22" t="n"/>
    </row>
    <row r="771">
      <c r="A771" s="19" t="n"/>
      <c r="B771" s="25">
        <f>IF(A771="","",CHOOSE(WEEKDAY(A771,2),"월","화","수","목","금","토","일"))</f>
        <v/>
      </c>
      <c r="C771" s="18" t="n"/>
      <c r="D771" s="25">
        <f>IFERROR(IF(C771="","",INDEX(직원명부!$B$5:$B$24,MATCH(C771,직원명부!$A$5:$A$24,0))),"사번 확인")</f>
        <v/>
      </c>
      <c r="E771" s="34" t="n"/>
      <c r="F771" s="34" t="n"/>
      <c r="G771" s="28" t="n"/>
      <c r="H771" s="33">
        <f>IF(OR(E771="",F771=""),"",ROUND(MOD(F771-E771,1)*24-N(G771),2))</f>
        <v/>
      </c>
      <c r="I771" s="33">
        <f>IF(H771="","",ROUND(MAX(0,H771-8),2))</f>
        <v/>
      </c>
      <c r="J771" s="33">
        <f>IF(OR(E771="",F771=""),"",ROUND(IF(MOD(F771,1)&gt;=TIME(22,0,0),(MOD(F771,1)-TIME(22,0,0))*24,IF(MOD(F771,1)&lt;TIME(6,0,0),(MOD(F771,1)+1-TIME(22,0,0))*24,0)),2))</f>
        <v/>
      </c>
      <c r="K771" s="33">
        <f>IF(H771="","",ROUND(IF(L771="휴일근로",MIN(H771,8)*1.5+MAX(0,H771-8)*2,I771*1.5)+N(J771)*0.5,2))</f>
        <v/>
      </c>
      <c r="L771" s="18" t="n"/>
      <c r="M771" s="18" t="n"/>
      <c r="N771" s="22" t="n"/>
    </row>
    <row r="772">
      <c r="A772" s="19" t="n"/>
      <c r="B772" s="25">
        <f>IF(A772="","",CHOOSE(WEEKDAY(A772,2),"월","화","수","목","금","토","일"))</f>
        <v/>
      </c>
      <c r="C772" s="18" t="n"/>
      <c r="D772" s="25">
        <f>IFERROR(IF(C772="","",INDEX(직원명부!$B$5:$B$24,MATCH(C772,직원명부!$A$5:$A$24,0))),"사번 확인")</f>
        <v/>
      </c>
      <c r="E772" s="34" t="n"/>
      <c r="F772" s="34" t="n"/>
      <c r="G772" s="28" t="n"/>
      <c r="H772" s="33">
        <f>IF(OR(E772="",F772=""),"",ROUND(MOD(F772-E772,1)*24-N(G772),2))</f>
        <v/>
      </c>
      <c r="I772" s="33">
        <f>IF(H772="","",ROUND(MAX(0,H772-8),2))</f>
        <v/>
      </c>
      <c r="J772" s="33">
        <f>IF(OR(E772="",F772=""),"",ROUND(IF(MOD(F772,1)&gt;=TIME(22,0,0),(MOD(F772,1)-TIME(22,0,0))*24,IF(MOD(F772,1)&lt;TIME(6,0,0),(MOD(F772,1)+1-TIME(22,0,0))*24,0)),2))</f>
        <v/>
      </c>
      <c r="K772" s="33">
        <f>IF(H772="","",ROUND(IF(L772="휴일근로",MIN(H772,8)*1.5+MAX(0,H772-8)*2,I772*1.5)+N(J772)*0.5,2))</f>
        <v/>
      </c>
      <c r="L772" s="18" t="n"/>
      <c r="M772" s="18" t="n"/>
      <c r="N772" s="22" t="n"/>
    </row>
    <row r="773">
      <c r="A773" s="19" t="n"/>
      <c r="B773" s="25">
        <f>IF(A773="","",CHOOSE(WEEKDAY(A773,2),"월","화","수","목","금","토","일"))</f>
        <v/>
      </c>
      <c r="C773" s="18" t="n"/>
      <c r="D773" s="25">
        <f>IFERROR(IF(C773="","",INDEX(직원명부!$B$5:$B$24,MATCH(C773,직원명부!$A$5:$A$24,0))),"사번 확인")</f>
        <v/>
      </c>
      <c r="E773" s="34" t="n"/>
      <c r="F773" s="34" t="n"/>
      <c r="G773" s="28" t="n"/>
      <c r="H773" s="33">
        <f>IF(OR(E773="",F773=""),"",ROUND(MOD(F773-E773,1)*24-N(G773),2))</f>
        <v/>
      </c>
      <c r="I773" s="33">
        <f>IF(H773="","",ROUND(MAX(0,H773-8),2))</f>
        <v/>
      </c>
      <c r="J773" s="33">
        <f>IF(OR(E773="",F773=""),"",ROUND(IF(MOD(F773,1)&gt;=TIME(22,0,0),(MOD(F773,1)-TIME(22,0,0))*24,IF(MOD(F773,1)&lt;TIME(6,0,0),(MOD(F773,1)+1-TIME(22,0,0))*24,0)),2))</f>
        <v/>
      </c>
      <c r="K773" s="33">
        <f>IF(H773="","",ROUND(IF(L773="휴일근로",MIN(H773,8)*1.5+MAX(0,H773-8)*2,I773*1.5)+N(J773)*0.5,2))</f>
        <v/>
      </c>
      <c r="L773" s="18" t="n"/>
      <c r="M773" s="18" t="n"/>
      <c r="N773" s="22" t="n"/>
    </row>
    <row r="774">
      <c r="A774" s="19" t="n"/>
      <c r="B774" s="25">
        <f>IF(A774="","",CHOOSE(WEEKDAY(A774,2),"월","화","수","목","금","토","일"))</f>
        <v/>
      </c>
      <c r="C774" s="18" t="n"/>
      <c r="D774" s="25">
        <f>IFERROR(IF(C774="","",INDEX(직원명부!$B$5:$B$24,MATCH(C774,직원명부!$A$5:$A$24,0))),"사번 확인")</f>
        <v/>
      </c>
      <c r="E774" s="34" t="n"/>
      <c r="F774" s="34" t="n"/>
      <c r="G774" s="28" t="n"/>
      <c r="H774" s="33">
        <f>IF(OR(E774="",F774=""),"",ROUND(MOD(F774-E774,1)*24-N(G774),2))</f>
        <v/>
      </c>
      <c r="I774" s="33">
        <f>IF(H774="","",ROUND(MAX(0,H774-8),2))</f>
        <v/>
      </c>
      <c r="J774" s="33">
        <f>IF(OR(E774="",F774=""),"",ROUND(IF(MOD(F774,1)&gt;=TIME(22,0,0),(MOD(F774,1)-TIME(22,0,0))*24,IF(MOD(F774,1)&lt;TIME(6,0,0),(MOD(F774,1)+1-TIME(22,0,0))*24,0)),2))</f>
        <v/>
      </c>
      <c r="K774" s="33">
        <f>IF(H774="","",ROUND(IF(L774="휴일근로",MIN(H774,8)*1.5+MAX(0,H774-8)*2,I774*1.5)+N(J774)*0.5,2))</f>
        <v/>
      </c>
      <c r="L774" s="18" t="n"/>
      <c r="M774" s="18" t="n"/>
      <c r="N774" s="22" t="n"/>
    </row>
    <row r="775">
      <c r="A775" s="19" t="n"/>
      <c r="B775" s="25">
        <f>IF(A775="","",CHOOSE(WEEKDAY(A775,2),"월","화","수","목","금","토","일"))</f>
        <v/>
      </c>
      <c r="C775" s="18" t="n"/>
      <c r="D775" s="25">
        <f>IFERROR(IF(C775="","",INDEX(직원명부!$B$5:$B$24,MATCH(C775,직원명부!$A$5:$A$24,0))),"사번 확인")</f>
        <v/>
      </c>
      <c r="E775" s="34" t="n"/>
      <c r="F775" s="34" t="n"/>
      <c r="G775" s="28" t="n"/>
      <c r="H775" s="33">
        <f>IF(OR(E775="",F775=""),"",ROUND(MOD(F775-E775,1)*24-N(G775),2))</f>
        <v/>
      </c>
      <c r="I775" s="33">
        <f>IF(H775="","",ROUND(MAX(0,H775-8),2))</f>
        <v/>
      </c>
      <c r="J775" s="33">
        <f>IF(OR(E775="",F775=""),"",ROUND(IF(MOD(F775,1)&gt;=TIME(22,0,0),(MOD(F775,1)-TIME(22,0,0))*24,IF(MOD(F775,1)&lt;TIME(6,0,0),(MOD(F775,1)+1-TIME(22,0,0))*24,0)),2))</f>
        <v/>
      </c>
      <c r="K775" s="33">
        <f>IF(H775="","",ROUND(IF(L775="휴일근로",MIN(H775,8)*1.5+MAX(0,H775-8)*2,I775*1.5)+N(J775)*0.5,2))</f>
        <v/>
      </c>
      <c r="L775" s="18" t="n"/>
      <c r="M775" s="18" t="n"/>
      <c r="N775" s="22" t="n"/>
    </row>
    <row r="776">
      <c r="A776" s="19" t="n"/>
      <c r="B776" s="25">
        <f>IF(A776="","",CHOOSE(WEEKDAY(A776,2),"월","화","수","목","금","토","일"))</f>
        <v/>
      </c>
      <c r="C776" s="18" t="n"/>
      <c r="D776" s="25">
        <f>IFERROR(IF(C776="","",INDEX(직원명부!$B$5:$B$24,MATCH(C776,직원명부!$A$5:$A$24,0))),"사번 확인")</f>
        <v/>
      </c>
      <c r="E776" s="34" t="n"/>
      <c r="F776" s="34" t="n"/>
      <c r="G776" s="28" t="n"/>
      <c r="H776" s="33">
        <f>IF(OR(E776="",F776=""),"",ROUND(MOD(F776-E776,1)*24-N(G776),2))</f>
        <v/>
      </c>
      <c r="I776" s="33">
        <f>IF(H776="","",ROUND(MAX(0,H776-8),2))</f>
        <v/>
      </c>
      <c r="J776" s="33">
        <f>IF(OR(E776="",F776=""),"",ROUND(IF(MOD(F776,1)&gt;=TIME(22,0,0),(MOD(F776,1)-TIME(22,0,0))*24,IF(MOD(F776,1)&lt;TIME(6,0,0),(MOD(F776,1)+1-TIME(22,0,0))*24,0)),2))</f>
        <v/>
      </c>
      <c r="K776" s="33">
        <f>IF(H776="","",ROUND(IF(L776="휴일근로",MIN(H776,8)*1.5+MAX(0,H776-8)*2,I776*1.5)+N(J776)*0.5,2))</f>
        <v/>
      </c>
      <c r="L776" s="18" t="n"/>
      <c r="M776" s="18" t="n"/>
      <c r="N776" s="22" t="n"/>
    </row>
    <row r="777">
      <c r="A777" s="19" t="n"/>
      <c r="B777" s="25">
        <f>IF(A777="","",CHOOSE(WEEKDAY(A777,2),"월","화","수","목","금","토","일"))</f>
        <v/>
      </c>
      <c r="C777" s="18" t="n"/>
      <c r="D777" s="25">
        <f>IFERROR(IF(C777="","",INDEX(직원명부!$B$5:$B$24,MATCH(C777,직원명부!$A$5:$A$24,0))),"사번 확인")</f>
        <v/>
      </c>
      <c r="E777" s="34" t="n"/>
      <c r="F777" s="34" t="n"/>
      <c r="G777" s="28" t="n"/>
      <c r="H777" s="33">
        <f>IF(OR(E777="",F777=""),"",ROUND(MOD(F777-E777,1)*24-N(G777),2))</f>
        <v/>
      </c>
      <c r="I777" s="33">
        <f>IF(H777="","",ROUND(MAX(0,H777-8),2))</f>
        <v/>
      </c>
      <c r="J777" s="33">
        <f>IF(OR(E777="",F777=""),"",ROUND(IF(MOD(F777,1)&gt;=TIME(22,0,0),(MOD(F777,1)-TIME(22,0,0))*24,IF(MOD(F777,1)&lt;TIME(6,0,0),(MOD(F777,1)+1-TIME(22,0,0))*24,0)),2))</f>
        <v/>
      </c>
      <c r="K777" s="33">
        <f>IF(H777="","",ROUND(IF(L777="휴일근로",MIN(H777,8)*1.5+MAX(0,H777-8)*2,I777*1.5)+N(J777)*0.5,2))</f>
        <v/>
      </c>
      <c r="L777" s="18" t="n"/>
      <c r="M777" s="18" t="n"/>
      <c r="N777" s="22" t="n"/>
    </row>
    <row r="778">
      <c r="A778" s="19" t="n"/>
      <c r="B778" s="25">
        <f>IF(A778="","",CHOOSE(WEEKDAY(A778,2),"월","화","수","목","금","토","일"))</f>
        <v/>
      </c>
      <c r="C778" s="18" t="n"/>
      <c r="D778" s="25">
        <f>IFERROR(IF(C778="","",INDEX(직원명부!$B$5:$B$24,MATCH(C778,직원명부!$A$5:$A$24,0))),"사번 확인")</f>
        <v/>
      </c>
      <c r="E778" s="34" t="n"/>
      <c r="F778" s="34" t="n"/>
      <c r="G778" s="28" t="n"/>
      <c r="H778" s="33">
        <f>IF(OR(E778="",F778=""),"",ROUND(MOD(F778-E778,1)*24-N(G778),2))</f>
        <v/>
      </c>
      <c r="I778" s="33">
        <f>IF(H778="","",ROUND(MAX(0,H778-8),2))</f>
        <v/>
      </c>
      <c r="J778" s="33">
        <f>IF(OR(E778="",F778=""),"",ROUND(IF(MOD(F778,1)&gt;=TIME(22,0,0),(MOD(F778,1)-TIME(22,0,0))*24,IF(MOD(F778,1)&lt;TIME(6,0,0),(MOD(F778,1)+1-TIME(22,0,0))*24,0)),2))</f>
        <v/>
      </c>
      <c r="K778" s="33">
        <f>IF(H778="","",ROUND(IF(L778="휴일근로",MIN(H778,8)*1.5+MAX(0,H778-8)*2,I778*1.5)+N(J778)*0.5,2))</f>
        <v/>
      </c>
      <c r="L778" s="18" t="n"/>
      <c r="M778" s="18" t="n"/>
      <c r="N778" s="22" t="n"/>
    </row>
    <row r="779">
      <c r="A779" s="19" t="n"/>
      <c r="B779" s="25">
        <f>IF(A779="","",CHOOSE(WEEKDAY(A779,2),"월","화","수","목","금","토","일"))</f>
        <v/>
      </c>
      <c r="C779" s="18" t="n"/>
      <c r="D779" s="25">
        <f>IFERROR(IF(C779="","",INDEX(직원명부!$B$5:$B$24,MATCH(C779,직원명부!$A$5:$A$24,0))),"사번 확인")</f>
        <v/>
      </c>
      <c r="E779" s="34" t="n"/>
      <c r="F779" s="34" t="n"/>
      <c r="G779" s="28" t="n"/>
      <c r="H779" s="33">
        <f>IF(OR(E779="",F779=""),"",ROUND(MOD(F779-E779,1)*24-N(G779),2))</f>
        <v/>
      </c>
      <c r="I779" s="33">
        <f>IF(H779="","",ROUND(MAX(0,H779-8),2))</f>
        <v/>
      </c>
      <c r="J779" s="33">
        <f>IF(OR(E779="",F779=""),"",ROUND(IF(MOD(F779,1)&gt;=TIME(22,0,0),(MOD(F779,1)-TIME(22,0,0))*24,IF(MOD(F779,1)&lt;TIME(6,0,0),(MOD(F779,1)+1-TIME(22,0,0))*24,0)),2))</f>
        <v/>
      </c>
      <c r="K779" s="33">
        <f>IF(H779="","",ROUND(IF(L779="휴일근로",MIN(H779,8)*1.5+MAX(0,H779-8)*2,I779*1.5)+N(J779)*0.5,2))</f>
        <v/>
      </c>
      <c r="L779" s="18" t="n"/>
      <c r="M779" s="18" t="n"/>
      <c r="N779" s="22" t="n"/>
    </row>
    <row r="780">
      <c r="A780" s="19" t="n"/>
      <c r="B780" s="25">
        <f>IF(A780="","",CHOOSE(WEEKDAY(A780,2),"월","화","수","목","금","토","일"))</f>
        <v/>
      </c>
      <c r="C780" s="18" t="n"/>
      <c r="D780" s="25">
        <f>IFERROR(IF(C780="","",INDEX(직원명부!$B$5:$B$24,MATCH(C780,직원명부!$A$5:$A$24,0))),"사번 확인")</f>
        <v/>
      </c>
      <c r="E780" s="34" t="n"/>
      <c r="F780" s="34" t="n"/>
      <c r="G780" s="28" t="n"/>
      <c r="H780" s="33">
        <f>IF(OR(E780="",F780=""),"",ROUND(MOD(F780-E780,1)*24-N(G780),2))</f>
        <v/>
      </c>
      <c r="I780" s="33">
        <f>IF(H780="","",ROUND(MAX(0,H780-8),2))</f>
        <v/>
      </c>
      <c r="J780" s="33">
        <f>IF(OR(E780="",F780=""),"",ROUND(IF(MOD(F780,1)&gt;=TIME(22,0,0),(MOD(F780,1)-TIME(22,0,0))*24,IF(MOD(F780,1)&lt;TIME(6,0,0),(MOD(F780,1)+1-TIME(22,0,0))*24,0)),2))</f>
        <v/>
      </c>
      <c r="K780" s="33">
        <f>IF(H780="","",ROUND(IF(L780="휴일근로",MIN(H780,8)*1.5+MAX(0,H780-8)*2,I780*1.5)+N(J780)*0.5,2))</f>
        <v/>
      </c>
      <c r="L780" s="18" t="n"/>
      <c r="M780" s="18" t="n"/>
      <c r="N780" s="22" t="n"/>
    </row>
    <row r="781">
      <c r="A781" s="19" t="n"/>
      <c r="B781" s="25">
        <f>IF(A781="","",CHOOSE(WEEKDAY(A781,2),"월","화","수","목","금","토","일"))</f>
        <v/>
      </c>
      <c r="C781" s="18" t="n"/>
      <c r="D781" s="25">
        <f>IFERROR(IF(C781="","",INDEX(직원명부!$B$5:$B$24,MATCH(C781,직원명부!$A$5:$A$24,0))),"사번 확인")</f>
        <v/>
      </c>
      <c r="E781" s="34" t="n"/>
      <c r="F781" s="34" t="n"/>
      <c r="G781" s="28" t="n"/>
      <c r="H781" s="33">
        <f>IF(OR(E781="",F781=""),"",ROUND(MOD(F781-E781,1)*24-N(G781),2))</f>
        <v/>
      </c>
      <c r="I781" s="33">
        <f>IF(H781="","",ROUND(MAX(0,H781-8),2))</f>
        <v/>
      </c>
      <c r="J781" s="33">
        <f>IF(OR(E781="",F781=""),"",ROUND(IF(MOD(F781,1)&gt;=TIME(22,0,0),(MOD(F781,1)-TIME(22,0,0))*24,IF(MOD(F781,1)&lt;TIME(6,0,0),(MOD(F781,1)+1-TIME(22,0,0))*24,0)),2))</f>
        <v/>
      </c>
      <c r="K781" s="33">
        <f>IF(H781="","",ROUND(IF(L781="휴일근로",MIN(H781,8)*1.5+MAX(0,H781-8)*2,I781*1.5)+N(J781)*0.5,2))</f>
        <v/>
      </c>
      <c r="L781" s="18" t="n"/>
      <c r="M781" s="18" t="n"/>
      <c r="N781" s="22" t="n"/>
    </row>
    <row r="782">
      <c r="A782" s="19" t="n"/>
      <c r="B782" s="25">
        <f>IF(A782="","",CHOOSE(WEEKDAY(A782,2),"월","화","수","목","금","토","일"))</f>
        <v/>
      </c>
      <c r="C782" s="18" t="n"/>
      <c r="D782" s="25">
        <f>IFERROR(IF(C782="","",INDEX(직원명부!$B$5:$B$24,MATCH(C782,직원명부!$A$5:$A$24,0))),"사번 확인")</f>
        <v/>
      </c>
      <c r="E782" s="34" t="n"/>
      <c r="F782" s="34" t="n"/>
      <c r="G782" s="28" t="n"/>
      <c r="H782" s="33">
        <f>IF(OR(E782="",F782=""),"",ROUND(MOD(F782-E782,1)*24-N(G782),2))</f>
        <v/>
      </c>
      <c r="I782" s="33">
        <f>IF(H782="","",ROUND(MAX(0,H782-8),2))</f>
        <v/>
      </c>
      <c r="J782" s="33">
        <f>IF(OR(E782="",F782=""),"",ROUND(IF(MOD(F782,1)&gt;=TIME(22,0,0),(MOD(F782,1)-TIME(22,0,0))*24,IF(MOD(F782,1)&lt;TIME(6,0,0),(MOD(F782,1)+1-TIME(22,0,0))*24,0)),2))</f>
        <v/>
      </c>
      <c r="K782" s="33">
        <f>IF(H782="","",ROUND(IF(L782="휴일근로",MIN(H782,8)*1.5+MAX(0,H782-8)*2,I782*1.5)+N(J782)*0.5,2))</f>
        <v/>
      </c>
      <c r="L782" s="18" t="n"/>
      <c r="M782" s="18" t="n"/>
      <c r="N782" s="22" t="n"/>
    </row>
    <row r="783">
      <c r="A783" s="19" t="n"/>
      <c r="B783" s="25">
        <f>IF(A783="","",CHOOSE(WEEKDAY(A783,2),"월","화","수","목","금","토","일"))</f>
        <v/>
      </c>
      <c r="C783" s="18" t="n"/>
      <c r="D783" s="25">
        <f>IFERROR(IF(C783="","",INDEX(직원명부!$B$5:$B$24,MATCH(C783,직원명부!$A$5:$A$24,0))),"사번 확인")</f>
        <v/>
      </c>
      <c r="E783" s="34" t="n"/>
      <c r="F783" s="34" t="n"/>
      <c r="G783" s="28" t="n"/>
      <c r="H783" s="33">
        <f>IF(OR(E783="",F783=""),"",ROUND(MOD(F783-E783,1)*24-N(G783),2))</f>
        <v/>
      </c>
      <c r="I783" s="33">
        <f>IF(H783="","",ROUND(MAX(0,H783-8),2))</f>
        <v/>
      </c>
      <c r="J783" s="33">
        <f>IF(OR(E783="",F783=""),"",ROUND(IF(MOD(F783,1)&gt;=TIME(22,0,0),(MOD(F783,1)-TIME(22,0,0))*24,IF(MOD(F783,1)&lt;TIME(6,0,0),(MOD(F783,1)+1-TIME(22,0,0))*24,0)),2))</f>
        <v/>
      </c>
      <c r="K783" s="33">
        <f>IF(H783="","",ROUND(IF(L783="휴일근로",MIN(H783,8)*1.5+MAX(0,H783-8)*2,I783*1.5)+N(J783)*0.5,2))</f>
        <v/>
      </c>
      <c r="L783" s="18" t="n"/>
      <c r="M783" s="18" t="n"/>
      <c r="N783" s="22" t="n"/>
    </row>
    <row r="784">
      <c r="A784" s="19" t="n"/>
      <c r="B784" s="25">
        <f>IF(A784="","",CHOOSE(WEEKDAY(A784,2),"월","화","수","목","금","토","일"))</f>
        <v/>
      </c>
      <c r="C784" s="18" t="n"/>
      <c r="D784" s="25">
        <f>IFERROR(IF(C784="","",INDEX(직원명부!$B$5:$B$24,MATCH(C784,직원명부!$A$5:$A$24,0))),"사번 확인")</f>
        <v/>
      </c>
      <c r="E784" s="34" t="n"/>
      <c r="F784" s="34" t="n"/>
      <c r="G784" s="28" t="n"/>
      <c r="H784" s="33">
        <f>IF(OR(E784="",F784=""),"",ROUND(MOD(F784-E784,1)*24-N(G784),2))</f>
        <v/>
      </c>
      <c r="I784" s="33">
        <f>IF(H784="","",ROUND(MAX(0,H784-8),2))</f>
        <v/>
      </c>
      <c r="J784" s="33">
        <f>IF(OR(E784="",F784=""),"",ROUND(IF(MOD(F784,1)&gt;=TIME(22,0,0),(MOD(F784,1)-TIME(22,0,0))*24,IF(MOD(F784,1)&lt;TIME(6,0,0),(MOD(F784,1)+1-TIME(22,0,0))*24,0)),2))</f>
        <v/>
      </c>
      <c r="K784" s="33">
        <f>IF(H784="","",ROUND(IF(L784="휴일근로",MIN(H784,8)*1.5+MAX(0,H784-8)*2,I784*1.5)+N(J784)*0.5,2))</f>
        <v/>
      </c>
      <c r="L784" s="18" t="n"/>
      <c r="M784" s="18" t="n"/>
      <c r="N784" s="22" t="n"/>
    </row>
    <row r="785">
      <c r="A785" s="19" t="n"/>
      <c r="B785" s="25">
        <f>IF(A785="","",CHOOSE(WEEKDAY(A785,2),"월","화","수","목","금","토","일"))</f>
        <v/>
      </c>
      <c r="C785" s="18" t="n"/>
      <c r="D785" s="25">
        <f>IFERROR(IF(C785="","",INDEX(직원명부!$B$5:$B$24,MATCH(C785,직원명부!$A$5:$A$24,0))),"사번 확인")</f>
        <v/>
      </c>
      <c r="E785" s="34" t="n"/>
      <c r="F785" s="34" t="n"/>
      <c r="G785" s="28" t="n"/>
      <c r="H785" s="33">
        <f>IF(OR(E785="",F785=""),"",ROUND(MOD(F785-E785,1)*24-N(G785),2))</f>
        <v/>
      </c>
      <c r="I785" s="33">
        <f>IF(H785="","",ROUND(MAX(0,H785-8),2))</f>
        <v/>
      </c>
      <c r="J785" s="33">
        <f>IF(OR(E785="",F785=""),"",ROUND(IF(MOD(F785,1)&gt;=TIME(22,0,0),(MOD(F785,1)-TIME(22,0,0))*24,IF(MOD(F785,1)&lt;TIME(6,0,0),(MOD(F785,1)+1-TIME(22,0,0))*24,0)),2))</f>
        <v/>
      </c>
      <c r="K785" s="33">
        <f>IF(H785="","",ROUND(IF(L785="휴일근로",MIN(H785,8)*1.5+MAX(0,H785-8)*2,I785*1.5)+N(J785)*0.5,2))</f>
        <v/>
      </c>
      <c r="L785" s="18" t="n"/>
      <c r="M785" s="18" t="n"/>
      <c r="N785" s="22" t="n"/>
    </row>
    <row r="786">
      <c r="A786" s="19" t="n"/>
      <c r="B786" s="25">
        <f>IF(A786="","",CHOOSE(WEEKDAY(A786,2),"월","화","수","목","금","토","일"))</f>
        <v/>
      </c>
      <c r="C786" s="18" t="n"/>
      <c r="D786" s="25">
        <f>IFERROR(IF(C786="","",INDEX(직원명부!$B$5:$B$24,MATCH(C786,직원명부!$A$5:$A$24,0))),"사번 확인")</f>
        <v/>
      </c>
      <c r="E786" s="34" t="n"/>
      <c r="F786" s="34" t="n"/>
      <c r="G786" s="28" t="n"/>
      <c r="H786" s="33">
        <f>IF(OR(E786="",F786=""),"",ROUND(MOD(F786-E786,1)*24-N(G786),2))</f>
        <v/>
      </c>
      <c r="I786" s="33">
        <f>IF(H786="","",ROUND(MAX(0,H786-8),2))</f>
        <v/>
      </c>
      <c r="J786" s="33">
        <f>IF(OR(E786="",F786=""),"",ROUND(IF(MOD(F786,1)&gt;=TIME(22,0,0),(MOD(F786,1)-TIME(22,0,0))*24,IF(MOD(F786,1)&lt;TIME(6,0,0),(MOD(F786,1)+1-TIME(22,0,0))*24,0)),2))</f>
        <v/>
      </c>
      <c r="K786" s="33">
        <f>IF(H786="","",ROUND(IF(L786="휴일근로",MIN(H786,8)*1.5+MAX(0,H786-8)*2,I786*1.5)+N(J786)*0.5,2))</f>
        <v/>
      </c>
      <c r="L786" s="18" t="n"/>
      <c r="M786" s="18" t="n"/>
      <c r="N786" s="22" t="n"/>
    </row>
    <row r="787">
      <c r="A787" s="19" t="n"/>
      <c r="B787" s="25">
        <f>IF(A787="","",CHOOSE(WEEKDAY(A787,2),"월","화","수","목","금","토","일"))</f>
        <v/>
      </c>
      <c r="C787" s="18" t="n"/>
      <c r="D787" s="25">
        <f>IFERROR(IF(C787="","",INDEX(직원명부!$B$5:$B$24,MATCH(C787,직원명부!$A$5:$A$24,0))),"사번 확인")</f>
        <v/>
      </c>
      <c r="E787" s="34" t="n"/>
      <c r="F787" s="34" t="n"/>
      <c r="G787" s="28" t="n"/>
      <c r="H787" s="33">
        <f>IF(OR(E787="",F787=""),"",ROUND(MOD(F787-E787,1)*24-N(G787),2))</f>
        <v/>
      </c>
      <c r="I787" s="33">
        <f>IF(H787="","",ROUND(MAX(0,H787-8),2))</f>
        <v/>
      </c>
      <c r="J787" s="33">
        <f>IF(OR(E787="",F787=""),"",ROUND(IF(MOD(F787,1)&gt;=TIME(22,0,0),(MOD(F787,1)-TIME(22,0,0))*24,IF(MOD(F787,1)&lt;TIME(6,0,0),(MOD(F787,1)+1-TIME(22,0,0))*24,0)),2))</f>
        <v/>
      </c>
      <c r="K787" s="33">
        <f>IF(H787="","",ROUND(IF(L787="휴일근로",MIN(H787,8)*1.5+MAX(0,H787-8)*2,I787*1.5)+N(J787)*0.5,2))</f>
        <v/>
      </c>
      <c r="L787" s="18" t="n"/>
      <c r="M787" s="18" t="n"/>
      <c r="N787" s="22" t="n"/>
    </row>
    <row r="788">
      <c r="A788" s="19" t="n"/>
      <c r="B788" s="25">
        <f>IF(A788="","",CHOOSE(WEEKDAY(A788,2),"월","화","수","목","금","토","일"))</f>
        <v/>
      </c>
      <c r="C788" s="18" t="n"/>
      <c r="D788" s="25">
        <f>IFERROR(IF(C788="","",INDEX(직원명부!$B$5:$B$24,MATCH(C788,직원명부!$A$5:$A$24,0))),"사번 확인")</f>
        <v/>
      </c>
      <c r="E788" s="34" t="n"/>
      <c r="F788" s="34" t="n"/>
      <c r="G788" s="28" t="n"/>
      <c r="H788" s="33">
        <f>IF(OR(E788="",F788=""),"",ROUND(MOD(F788-E788,1)*24-N(G788),2))</f>
        <v/>
      </c>
      <c r="I788" s="33">
        <f>IF(H788="","",ROUND(MAX(0,H788-8),2))</f>
        <v/>
      </c>
      <c r="J788" s="33">
        <f>IF(OR(E788="",F788=""),"",ROUND(IF(MOD(F788,1)&gt;=TIME(22,0,0),(MOD(F788,1)-TIME(22,0,0))*24,IF(MOD(F788,1)&lt;TIME(6,0,0),(MOD(F788,1)+1-TIME(22,0,0))*24,0)),2))</f>
        <v/>
      </c>
      <c r="K788" s="33">
        <f>IF(H788="","",ROUND(IF(L788="휴일근로",MIN(H788,8)*1.5+MAX(0,H788-8)*2,I788*1.5)+N(J788)*0.5,2))</f>
        <v/>
      </c>
      <c r="L788" s="18" t="n"/>
      <c r="M788" s="18" t="n"/>
      <c r="N788" s="22" t="n"/>
    </row>
    <row r="789">
      <c r="A789" s="19" t="n"/>
      <c r="B789" s="25">
        <f>IF(A789="","",CHOOSE(WEEKDAY(A789,2),"월","화","수","목","금","토","일"))</f>
        <v/>
      </c>
      <c r="C789" s="18" t="n"/>
      <c r="D789" s="25">
        <f>IFERROR(IF(C789="","",INDEX(직원명부!$B$5:$B$24,MATCH(C789,직원명부!$A$5:$A$24,0))),"사번 확인")</f>
        <v/>
      </c>
      <c r="E789" s="34" t="n"/>
      <c r="F789" s="34" t="n"/>
      <c r="G789" s="28" t="n"/>
      <c r="H789" s="33">
        <f>IF(OR(E789="",F789=""),"",ROUND(MOD(F789-E789,1)*24-N(G789),2))</f>
        <v/>
      </c>
      <c r="I789" s="33">
        <f>IF(H789="","",ROUND(MAX(0,H789-8),2))</f>
        <v/>
      </c>
      <c r="J789" s="33">
        <f>IF(OR(E789="",F789=""),"",ROUND(IF(MOD(F789,1)&gt;=TIME(22,0,0),(MOD(F789,1)-TIME(22,0,0))*24,IF(MOD(F789,1)&lt;TIME(6,0,0),(MOD(F789,1)+1-TIME(22,0,0))*24,0)),2))</f>
        <v/>
      </c>
      <c r="K789" s="33">
        <f>IF(H789="","",ROUND(IF(L789="휴일근로",MIN(H789,8)*1.5+MAX(0,H789-8)*2,I789*1.5)+N(J789)*0.5,2))</f>
        <v/>
      </c>
      <c r="L789" s="18" t="n"/>
      <c r="M789" s="18" t="n"/>
      <c r="N789" s="22" t="n"/>
    </row>
    <row r="790">
      <c r="A790" s="19" t="n"/>
      <c r="B790" s="25">
        <f>IF(A790="","",CHOOSE(WEEKDAY(A790,2),"월","화","수","목","금","토","일"))</f>
        <v/>
      </c>
      <c r="C790" s="18" t="n"/>
      <c r="D790" s="25">
        <f>IFERROR(IF(C790="","",INDEX(직원명부!$B$5:$B$24,MATCH(C790,직원명부!$A$5:$A$24,0))),"사번 확인")</f>
        <v/>
      </c>
      <c r="E790" s="34" t="n"/>
      <c r="F790" s="34" t="n"/>
      <c r="G790" s="28" t="n"/>
      <c r="H790" s="33">
        <f>IF(OR(E790="",F790=""),"",ROUND(MOD(F790-E790,1)*24-N(G790),2))</f>
        <v/>
      </c>
      <c r="I790" s="33">
        <f>IF(H790="","",ROUND(MAX(0,H790-8),2))</f>
        <v/>
      </c>
      <c r="J790" s="33">
        <f>IF(OR(E790="",F790=""),"",ROUND(IF(MOD(F790,1)&gt;=TIME(22,0,0),(MOD(F790,1)-TIME(22,0,0))*24,IF(MOD(F790,1)&lt;TIME(6,0,0),(MOD(F790,1)+1-TIME(22,0,0))*24,0)),2))</f>
        <v/>
      </c>
      <c r="K790" s="33">
        <f>IF(H790="","",ROUND(IF(L790="휴일근로",MIN(H790,8)*1.5+MAX(0,H790-8)*2,I790*1.5)+N(J790)*0.5,2))</f>
        <v/>
      </c>
      <c r="L790" s="18" t="n"/>
      <c r="M790" s="18" t="n"/>
      <c r="N790" s="22" t="n"/>
    </row>
    <row r="791">
      <c r="A791" s="19" t="n"/>
      <c r="B791" s="25">
        <f>IF(A791="","",CHOOSE(WEEKDAY(A791,2),"월","화","수","목","금","토","일"))</f>
        <v/>
      </c>
      <c r="C791" s="18" t="n"/>
      <c r="D791" s="25">
        <f>IFERROR(IF(C791="","",INDEX(직원명부!$B$5:$B$24,MATCH(C791,직원명부!$A$5:$A$24,0))),"사번 확인")</f>
        <v/>
      </c>
      <c r="E791" s="34" t="n"/>
      <c r="F791" s="34" t="n"/>
      <c r="G791" s="28" t="n"/>
      <c r="H791" s="33">
        <f>IF(OR(E791="",F791=""),"",ROUND(MOD(F791-E791,1)*24-N(G791),2))</f>
        <v/>
      </c>
      <c r="I791" s="33">
        <f>IF(H791="","",ROUND(MAX(0,H791-8),2))</f>
        <v/>
      </c>
      <c r="J791" s="33">
        <f>IF(OR(E791="",F791=""),"",ROUND(IF(MOD(F791,1)&gt;=TIME(22,0,0),(MOD(F791,1)-TIME(22,0,0))*24,IF(MOD(F791,1)&lt;TIME(6,0,0),(MOD(F791,1)+1-TIME(22,0,0))*24,0)),2))</f>
        <v/>
      </c>
      <c r="K791" s="33">
        <f>IF(H791="","",ROUND(IF(L791="휴일근로",MIN(H791,8)*1.5+MAX(0,H791-8)*2,I791*1.5)+N(J791)*0.5,2))</f>
        <v/>
      </c>
      <c r="L791" s="18" t="n"/>
      <c r="M791" s="18" t="n"/>
      <c r="N791" s="22" t="n"/>
    </row>
    <row r="792">
      <c r="A792" s="19" t="n"/>
      <c r="B792" s="25">
        <f>IF(A792="","",CHOOSE(WEEKDAY(A792,2),"월","화","수","목","금","토","일"))</f>
        <v/>
      </c>
      <c r="C792" s="18" t="n"/>
      <c r="D792" s="25">
        <f>IFERROR(IF(C792="","",INDEX(직원명부!$B$5:$B$24,MATCH(C792,직원명부!$A$5:$A$24,0))),"사번 확인")</f>
        <v/>
      </c>
      <c r="E792" s="34" t="n"/>
      <c r="F792" s="34" t="n"/>
      <c r="G792" s="28" t="n"/>
      <c r="H792" s="33">
        <f>IF(OR(E792="",F792=""),"",ROUND(MOD(F792-E792,1)*24-N(G792),2))</f>
        <v/>
      </c>
      <c r="I792" s="33">
        <f>IF(H792="","",ROUND(MAX(0,H792-8),2))</f>
        <v/>
      </c>
      <c r="J792" s="33">
        <f>IF(OR(E792="",F792=""),"",ROUND(IF(MOD(F792,1)&gt;=TIME(22,0,0),(MOD(F792,1)-TIME(22,0,0))*24,IF(MOD(F792,1)&lt;TIME(6,0,0),(MOD(F792,1)+1-TIME(22,0,0))*24,0)),2))</f>
        <v/>
      </c>
      <c r="K792" s="33">
        <f>IF(H792="","",ROUND(IF(L792="휴일근로",MIN(H792,8)*1.5+MAX(0,H792-8)*2,I792*1.5)+N(J792)*0.5,2))</f>
        <v/>
      </c>
      <c r="L792" s="18" t="n"/>
      <c r="M792" s="18" t="n"/>
      <c r="N792" s="22" t="n"/>
    </row>
    <row r="793">
      <c r="A793" s="19" t="n"/>
      <c r="B793" s="25">
        <f>IF(A793="","",CHOOSE(WEEKDAY(A793,2),"월","화","수","목","금","토","일"))</f>
        <v/>
      </c>
      <c r="C793" s="18" t="n"/>
      <c r="D793" s="25">
        <f>IFERROR(IF(C793="","",INDEX(직원명부!$B$5:$B$24,MATCH(C793,직원명부!$A$5:$A$24,0))),"사번 확인")</f>
        <v/>
      </c>
      <c r="E793" s="34" t="n"/>
      <c r="F793" s="34" t="n"/>
      <c r="G793" s="28" t="n"/>
      <c r="H793" s="33">
        <f>IF(OR(E793="",F793=""),"",ROUND(MOD(F793-E793,1)*24-N(G793),2))</f>
        <v/>
      </c>
      <c r="I793" s="33">
        <f>IF(H793="","",ROUND(MAX(0,H793-8),2))</f>
        <v/>
      </c>
      <c r="J793" s="33">
        <f>IF(OR(E793="",F793=""),"",ROUND(IF(MOD(F793,1)&gt;=TIME(22,0,0),(MOD(F793,1)-TIME(22,0,0))*24,IF(MOD(F793,1)&lt;TIME(6,0,0),(MOD(F793,1)+1-TIME(22,0,0))*24,0)),2))</f>
        <v/>
      </c>
      <c r="K793" s="33">
        <f>IF(H793="","",ROUND(IF(L793="휴일근로",MIN(H793,8)*1.5+MAX(0,H793-8)*2,I793*1.5)+N(J793)*0.5,2))</f>
        <v/>
      </c>
      <c r="L793" s="18" t="n"/>
      <c r="M793" s="18" t="n"/>
      <c r="N793" s="22" t="n"/>
    </row>
    <row r="794">
      <c r="A794" s="19" t="n"/>
      <c r="B794" s="25">
        <f>IF(A794="","",CHOOSE(WEEKDAY(A794,2),"월","화","수","목","금","토","일"))</f>
        <v/>
      </c>
      <c r="C794" s="18" t="n"/>
      <c r="D794" s="25">
        <f>IFERROR(IF(C794="","",INDEX(직원명부!$B$5:$B$24,MATCH(C794,직원명부!$A$5:$A$24,0))),"사번 확인")</f>
        <v/>
      </c>
      <c r="E794" s="34" t="n"/>
      <c r="F794" s="34" t="n"/>
      <c r="G794" s="28" t="n"/>
      <c r="H794" s="33">
        <f>IF(OR(E794="",F794=""),"",ROUND(MOD(F794-E794,1)*24-N(G794),2))</f>
        <v/>
      </c>
      <c r="I794" s="33">
        <f>IF(H794="","",ROUND(MAX(0,H794-8),2))</f>
        <v/>
      </c>
      <c r="J794" s="33">
        <f>IF(OR(E794="",F794=""),"",ROUND(IF(MOD(F794,1)&gt;=TIME(22,0,0),(MOD(F794,1)-TIME(22,0,0))*24,IF(MOD(F794,1)&lt;TIME(6,0,0),(MOD(F794,1)+1-TIME(22,0,0))*24,0)),2))</f>
        <v/>
      </c>
      <c r="K794" s="33">
        <f>IF(H794="","",ROUND(IF(L794="휴일근로",MIN(H794,8)*1.5+MAX(0,H794-8)*2,I794*1.5)+N(J794)*0.5,2))</f>
        <v/>
      </c>
      <c r="L794" s="18" t="n"/>
      <c r="M794" s="18" t="n"/>
      <c r="N794" s="22" t="n"/>
    </row>
    <row r="795">
      <c r="A795" s="19" t="n"/>
      <c r="B795" s="25">
        <f>IF(A795="","",CHOOSE(WEEKDAY(A795,2),"월","화","수","목","금","토","일"))</f>
        <v/>
      </c>
      <c r="C795" s="18" t="n"/>
      <c r="D795" s="25">
        <f>IFERROR(IF(C795="","",INDEX(직원명부!$B$5:$B$24,MATCH(C795,직원명부!$A$5:$A$24,0))),"사번 확인")</f>
        <v/>
      </c>
      <c r="E795" s="34" t="n"/>
      <c r="F795" s="34" t="n"/>
      <c r="G795" s="28" t="n"/>
      <c r="H795" s="33">
        <f>IF(OR(E795="",F795=""),"",ROUND(MOD(F795-E795,1)*24-N(G795),2))</f>
        <v/>
      </c>
      <c r="I795" s="33">
        <f>IF(H795="","",ROUND(MAX(0,H795-8),2))</f>
        <v/>
      </c>
      <c r="J795" s="33">
        <f>IF(OR(E795="",F795=""),"",ROUND(IF(MOD(F795,1)&gt;=TIME(22,0,0),(MOD(F795,1)-TIME(22,0,0))*24,IF(MOD(F795,1)&lt;TIME(6,0,0),(MOD(F795,1)+1-TIME(22,0,0))*24,0)),2))</f>
        <v/>
      </c>
      <c r="K795" s="33">
        <f>IF(H795="","",ROUND(IF(L795="휴일근로",MIN(H795,8)*1.5+MAX(0,H795-8)*2,I795*1.5)+N(J795)*0.5,2))</f>
        <v/>
      </c>
      <c r="L795" s="18" t="n"/>
      <c r="M795" s="18" t="n"/>
      <c r="N795" s="22" t="n"/>
    </row>
    <row r="796">
      <c r="A796" s="19" t="n"/>
      <c r="B796" s="25">
        <f>IF(A796="","",CHOOSE(WEEKDAY(A796,2),"월","화","수","목","금","토","일"))</f>
        <v/>
      </c>
      <c r="C796" s="18" t="n"/>
      <c r="D796" s="25">
        <f>IFERROR(IF(C796="","",INDEX(직원명부!$B$5:$B$24,MATCH(C796,직원명부!$A$5:$A$24,0))),"사번 확인")</f>
        <v/>
      </c>
      <c r="E796" s="34" t="n"/>
      <c r="F796" s="34" t="n"/>
      <c r="G796" s="28" t="n"/>
      <c r="H796" s="33">
        <f>IF(OR(E796="",F796=""),"",ROUND(MOD(F796-E796,1)*24-N(G796),2))</f>
        <v/>
      </c>
      <c r="I796" s="33">
        <f>IF(H796="","",ROUND(MAX(0,H796-8),2))</f>
        <v/>
      </c>
      <c r="J796" s="33">
        <f>IF(OR(E796="",F796=""),"",ROUND(IF(MOD(F796,1)&gt;=TIME(22,0,0),(MOD(F796,1)-TIME(22,0,0))*24,IF(MOD(F796,1)&lt;TIME(6,0,0),(MOD(F796,1)+1-TIME(22,0,0))*24,0)),2))</f>
        <v/>
      </c>
      <c r="K796" s="33">
        <f>IF(H796="","",ROUND(IF(L796="휴일근로",MIN(H796,8)*1.5+MAX(0,H796-8)*2,I796*1.5)+N(J796)*0.5,2))</f>
        <v/>
      </c>
      <c r="L796" s="18" t="n"/>
      <c r="M796" s="18" t="n"/>
      <c r="N796" s="22" t="n"/>
    </row>
    <row r="797">
      <c r="A797" s="19" t="n"/>
      <c r="B797" s="25">
        <f>IF(A797="","",CHOOSE(WEEKDAY(A797,2),"월","화","수","목","금","토","일"))</f>
        <v/>
      </c>
      <c r="C797" s="18" t="n"/>
      <c r="D797" s="25">
        <f>IFERROR(IF(C797="","",INDEX(직원명부!$B$5:$B$24,MATCH(C797,직원명부!$A$5:$A$24,0))),"사번 확인")</f>
        <v/>
      </c>
      <c r="E797" s="34" t="n"/>
      <c r="F797" s="34" t="n"/>
      <c r="G797" s="28" t="n"/>
      <c r="H797" s="33">
        <f>IF(OR(E797="",F797=""),"",ROUND(MOD(F797-E797,1)*24-N(G797),2))</f>
        <v/>
      </c>
      <c r="I797" s="33">
        <f>IF(H797="","",ROUND(MAX(0,H797-8),2))</f>
        <v/>
      </c>
      <c r="J797" s="33">
        <f>IF(OR(E797="",F797=""),"",ROUND(IF(MOD(F797,1)&gt;=TIME(22,0,0),(MOD(F797,1)-TIME(22,0,0))*24,IF(MOD(F797,1)&lt;TIME(6,0,0),(MOD(F797,1)+1-TIME(22,0,0))*24,0)),2))</f>
        <v/>
      </c>
      <c r="K797" s="33">
        <f>IF(H797="","",ROUND(IF(L797="휴일근로",MIN(H797,8)*1.5+MAX(0,H797-8)*2,I797*1.5)+N(J797)*0.5,2))</f>
        <v/>
      </c>
      <c r="L797" s="18" t="n"/>
      <c r="M797" s="18" t="n"/>
      <c r="N797" s="22" t="n"/>
    </row>
    <row r="798">
      <c r="A798" s="19" t="n"/>
      <c r="B798" s="25">
        <f>IF(A798="","",CHOOSE(WEEKDAY(A798,2),"월","화","수","목","금","토","일"))</f>
        <v/>
      </c>
      <c r="C798" s="18" t="n"/>
      <c r="D798" s="25">
        <f>IFERROR(IF(C798="","",INDEX(직원명부!$B$5:$B$24,MATCH(C798,직원명부!$A$5:$A$24,0))),"사번 확인")</f>
        <v/>
      </c>
      <c r="E798" s="34" t="n"/>
      <c r="F798" s="34" t="n"/>
      <c r="G798" s="28" t="n"/>
      <c r="H798" s="33">
        <f>IF(OR(E798="",F798=""),"",ROUND(MOD(F798-E798,1)*24-N(G798),2))</f>
        <v/>
      </c>
      <c r="I798" s="33">
        <f>IF(H798="","",ROUND(MAX(0,H798-8),2))</f>
        <v/>
      </c>
      <c r="J798" s="33">
        <f>IF(OR(E798="",F798=""),"",ROUND(IF(MOD(F798,1)&gt;=TIME(22,0,0),(MOD(F798,1)-TIME(22,0,0))*24,IF(MOD(F798,1)&lt;TIME(6,0,0),(MOD(F798,1)+1-TIME(22,0,0))*24,0)),2))</f>
        <v/>
      </c>
      <c r="K798" s="33">
        <f>IF(H798="","",ROUND(IF(L798="휴일근로",MIN(H798,8)*1.5+MAX(0,H798-8)*2,I798*1.5)+N(J798)*0.5,2))</f>
        <v/>
      </c>
      <c r="L798" s="18" t="n"/>
      <c r="M798" s="18" t="n"/>
      <c r="N798" s="22" t="n"/>
    </row>
    <row r="799">
      <c r="A799" s="19" t="n"/>
      <c r="B799" s="25">
        <f>IF(A799="","",CHOOSE(WEEKDAY(A799,2),"월","화","수","목","금","토","일"))</f>
        <v/>
      </c>
      <c r="C799" s="18" t="n"/>
      <c r="D799" s="25">
        <f>IFERROR(IF(C799="","",INDEX(직원명부!$B$5:$B$24,MATCH(C799,직원명부!$A$5:$A$24,0))),"사번 확인")</f>
        <v/>
      </c>
      <c r="E799" s="34" t="n"/>
      <c r="F799" s="34" t="n"/>
      <c r="G799" s="28" t="n"/>
      <c r="H799" s="33">
        <f>IF(OR(E799="",F799=""),"",ROUND(MOD(F799-E799,1)*24-N(G799),2))</f>
        <v/>
      </c>
      <c r="I799" s="33">
        <f>IF(H799="","",ROUND(MAX(0,H799-8),2))</f>
        <v/>
      </c>
      <c r="J799" s="33">
        <f>IF(OR(E799="",F799=""),"",ROUND(IF(MOD(F799,1)&gt;=TIME(22,0,0),(MOD(F799,1)-TIME(22,0,0))*24,IF(MOD(F799,1)&lt;TIME(6,0,0),(MOD(F799,1)+1-TIME(22,0,0))*24,0)),2))</f>
        <v/>
      </c>
      <c r="K799" s="33">
        <f>IF(H799="","",ROUND(IF(L799="휴일근로",MIN(H799,8)*1.5+MAX(0,H799-8)*2,I799*1.5)+N(J799)*0.5,2))</f>
        <v/>
      </c>
      <c r="L799" s="18" t="n"/>
      <c r="M799" s="18" t="n"/>
      <c r="N799" s="22" t="n"/>
    </row>
    <row r="800">
      <c r="A800" s="19" t="n"/>
      <c r="B800" s="25">
        <f>IF(A800="","",CHOOSE(WEEKDAY(A800,2),"월","화","수","목","금","토","일"))</f>
        <v/>
      </c>
      <c r="C800" s="18" t="n"/>
      <c r="D800" s="25">
        <f>IFERROR(IF(C800="","",INDEX(직원명부!$B$5:$B$24,MATCH(C800,직원명부!$A$5:$A$24,0))),"사번 확인")</f>
        <v/>
      </c>
      <c r="E800" s="34" t="n"/>
      <c r="F800" s="34" t="n"/>
      <c r="G800" s="28" t="n"/>
      <c r="H800" s="33">
        <f>IF(OR(E800="",F800=""),"",ROUND(MOD(F800-E800,1)*24-N(G800),2))</f>
        <v/>
      </c>
      <c r="I800" s="33">
        <f>IF(H800="","",ROUND(MAX(0,H800-8),2))</f>
        <v/>
      </c>
      <c r="J800" s="33">
        <f>IF(OR(E800="",F800=""),"",ROUND(IF(MOD(F800,1)&gt;=TIME(22,0,0),(MOD(F800,1)-TIME(22,0,0))*24,IF(MOD(F800,1)&lt;TIME(6,0,0),(MOD(F800,1)+1-TIME(22,0,0))*24,0)),2))</f>
        <v/>
      </c>
      <c r="K800" s="33">
        <f>IF(H800="","",ROUND(IF(L800="휴일근로",MIN(H800,8)*1.5+MAX(0,H800-8)*2,I800*1.5)+N(J800)*0.5,2))</f>
        <v/>
      </c>
      <c r="L800" s="18" t="n"/>
      <c r="M800" s="18" t="n"/>
      <c r="N800" s="22" t="n"/>
    </row>
    <row r="801">
      <c r="A801" s="19" t="n"/>
      <c r="B801" s="25">
        <f>IF(A801="","",CHOOSE(WEEKDAY(A801,2),"월","화","수","목","금","토","일"))</f>
        <v/>
      </c>
      <c r="C801" s="18" t="n"/>
      <c r="D801" s="25">
        <f>IFERROR(IF(C801="","",INDEX(직원명부!$B$5:$B$24,MATCH(C801,직원명부!$A$5:$A$24,0))),"사번 확인")</f>
        <v/>
      </c>
      <c r="E801" s="34" t="n"/>
      <c r="F801" s="34" t="n"/>
      <c r="G801" s="28" t="n"/>
      <c r="H801" s="33">
        <f>IF(OR(E801="",F801=""),"",ROUND(MOD(F801-E801,1)*24-N(G801),2))</f>
        <v/>
      </c>
      <c r="I801" s="33">
        <f>IF(H801="","",ROUND(MAX(0,H801-8),2))</f>
        <v/>
      </c>
      <c r="J801" s="33">
        <f>IF(OR(E801="",F801=""),"",ROUND(IF(MOD(F801,1)&gt;=TIME(22,0,0),(MOD(F801,1)-TIME(22,0,0))*24,IF(MOD(F801,1)&lt;TIME(6,0,0),(MOD(F801,1)+1-TIME(22,0,0))*24,0)),2))</f>
        <v/>
      </c>
      <c r="K801" s="33">
        <f>IF(H801="","",ROUND(IF(L801="휴일근로",MIN(H801,8)*1.5+MAX(0,H801-8)*2,I801*1.5)+N(J801)*0.5,2))</f>
        <v/>
      </c>
      <c r="L801" s="18" t="n"/>
      <c r="M801" s="18" t="n"/>
      <c r="N801" s="22" t="n"/>
    </row>
    <row r="802">
      <c r="A802" s="19" t="n"/>
      <c r="B802" s="25">
        <f>IF(A802="","",CHOOSE(WEEKDAY(A802,2),"월","화","수","목","금","토","일"))</f>
        <v/>
      </c>
      <c r="C802" s="18" t="n"/>
      <c r="D802" s="25">
        <f>IFERROR(IF(C802="","",INDEX(직원명부!$B$5:$B$24,MATCH(C802,직원명부!$A$5:$A$24,0))),"사번 확인")</f>
        <v/>
      </c>
      <c r="E802" s="34" t="n"/>
      <c r="F802" s="34" t="n"/>
      <c r="G802" s="28" t="n"/>
      <c r="H802" s="33">
        <f>IF(OR(E802="",F802=""),"",ROUND(MOD(F802-E802,1)*24-N(G802),2))</f>
        <v/>
      </c>
      <c r="I802" s="33">
        <f>IF(H802="","",ROUND(MAX(0,H802-8),2))</f>
        <v/>
      </c>
      <c r="J802" s="33">
        <f>IF(OR(E802="",F802=""),"",ROUND(IF(MOD(F802,1)&gt;=TIME(22,0,0),(MOD(F802,1)-TIME(22,0,0))*24,IF(MOD(F802,1)&lt;TIME(6,0,0),(MOD(F802,1)+1-TIME(22,0,0))*24,0)),2))</f>
        <v/>
      </c>
      <c r="K802" s="33">
        <f>IF(H802="","",ROUND(IF(L802="휴일근로",MIN(H802,8)*1.5+MAX(0,H802-8)*2,I802*1.5)+N(J802)*0.5,2))</f>
        <v/>
      </c>
      <c r="L802" s="18" t="n"/>
      <c r="M802" s="18" t="n"/>
      <c r="N802" s="22" t="n"/>
    </row>
    <row r="803">
      <c r="A803" s="19" t="n"/>
      <c r="B803" s="25">
        <f>IF(A803="","",CHOOSE(WEEKDAY(A803,2),"월","화","수","목","금","토","일"))</f>
        <v/>
      </c>
      <c r="C803" s="18" t="n"/>
      <c r="D803" s="25">
        <f>IFERROR(IF(C803="","",INDEX(직원명부!$B$5:$B$24,MATCH(C803,직원명부!$A$5:$A$24,0))),"사번 확인")</f>
        <v/>
      </c>
      <c r="E803" s="34" t="n"/>
      <c r="F803" s="34" t="n"/>
      <c r="G803" s="28" t="n"/>
      <c r="H803" s="33">
        <f>IF(OR(E803="",F803=""),"",ROUND(MOD(F803-E803,1)*24-N(G803),2))</f>
        <v/>
      </c>
      <c r="I803" s="33">
        <f>IF(H803="","",ROUND(MAX(0,H803-8),2))</f>
        <v/>
      </c>
      <c r="J803" s="33">
        <f>IF(OR(E803="",F803=""),"",ROUND(IF(MOD(F803,1)&gt;=TIME(22,0,0),(MOD(F803,1)-TIME(22,0,0))*24,IF(MOD(F803,1)&lt;TIME(6,0,0),(MOD(F803,1)+1-TIME(22,0,0))*24,0)),2))</f>
        <v/>
      </c>
      <c r="K803" s="33">
        <f>IF(H803="","",ROUND(IF(L803="휴일근로",MIN(H803,8)*1.5+MAX(0,H803-8)*2,I803*1.5)+N(J803)*0.5,2))</f>
        <v/>
      </c>
      <c r="L803" s="18" t="n"/>
      <c r="M803" s="18" t="n"/>
      <c r="N803" s="22" t="n"/>
    </row>
    <row r="804">
      <c r="A804" s="19" t="n"/>
      <c r="B804" s="25">
        <f>IF(A804="","",CHOOSE(WEEKDAY(A804,2),"월","화","수","목","금","토","일"))</f>
        <v/>
      </c>
      <c r="C804" s="18" t="n"/>
      <c r="D804" s="25">
        <f>IFERROR(IF(C804="","",INDEX(직원명부!$B$5:$B$24,MATCH(C804,직원명부!$A$5:$A$24,0))),"사번 확인")</f>
        <v/>
      </c>
      <c r="E804" s="34" t="n"/>
      <c r="F804" s="34" t="n"/>
      <c r="G804" s="28" t="n"/>
      <c r="H804" s="33">
        <f>IF(OR(E804="",F804=""),"",ROUND(MOD(F804-E804,1)*24-N(G804),2))</f>
        <v/>
      </c>
      <c r="I804" s="33">
        <f>IF(H804="","",ROUND(MAX(0,H804-8),2))</f>
        <v/>
      </c>
      <c r="J804" s="33">
        <f>IF(OR(E804="",F804=""),"",ROUND(IF(MOD(F804,1)&gt;=TIME(22,0,0),(MOD(F804,1)-TIME(22,0,0))*24,IF(MOD(F804,1)&lt;TIME(6,0,0),(MOD(F804,1)+1-TIME(22,0,0))*24,0)),2))</f>
        <v/>
      </c>
      <c r="K804" s="33">
        <f>IF(H804="","",ROUND(IF(L804="휴일근로",MIN(H804,8)*1.5+MAX(0,H804-8)*2,I804*1.5)+N(J804)*0.5,2))</f>
        <v/>
      </c>
      <c r="L804" s="18" t="n"/>
      <c r="M804" s="18" t="n"/>
      <c r="N804" s="22" t="n"/>
    </row>
    <row r="805">
      <c r="A805" s="19" t="n"/>
      <c r="B805" s="25">
        <f>IF(A805="","",CHOOSE(WEEKDAY(A805,2),"월","화","수","목","금","토","일"))</f>
        <v/>
      </c>
      <c r="C805" s="18" t="n"/>
      <c r="D805" s="25">
        <f>IFERROR(IF(C805="","",INDEX(직원명부!$B$5:$B$24,MATCH(C805,직원명부!$A$5:$A$24,0))),"사번 확인")</f>
        <v/>
      </c>
      <c r="E805" s="34" t="n"/>
      <c r="F805" s="34" t="n"/>
      <c r="G805" s="28" t="n"/>
      <c r="H805" s="33">
        <f>IF(OR(E805="",F805=""),"",ROUND(MOD(F805-E805,1)*24-N(G805),2))</f>
        <v/>
      </c>
      <c r="I805" s="33">
        <f>IF(H805="","",ROUND(MAX(0,H805-8),2))</f>
        <v/>
      </c>
      <c r="J805" s="33">
        <f>IF(OR(E805="",F805=""),"",ROUND(IF(MOD(F805,1)&gt;=TIME(22,0,0),(MOD(F805,1)-TIME(22,0,0))*24,IF(MOD(F805,1)&lt;TIME(6,0,0),(MOD(F805,1)+1-TIME(22,0,0))*24,0)),2))</f>
        <v/>
      </c>
      <c r="K805" s="33">
        <f>IF(H805="","",ROUND(IF(L805="휴일근로",MIN(H805,8)*1.5+MAX(0,H805-8)*2,I805*1.5)+N(J805)*0.5,2))</f>
        <v/>
      </c>
      <c r="L805" s="18" t="n"/>
      <c r="M805" s="18" t="n"/>
      <c r="N805" s="22" t="n"/>
    </row>
    <row r="806">
      <c r="A806" s="19" t="n"/>
      <c r="B806" s="25">
        <f>IF(A806="","",CHOOSE(WEEKDAY(A806,2),"월","화","수","목","금","토","일"))</f>
        <v/>
      </c>
      <c r="C806" s="18" t="n"/>
      <c r="D806" s="25">
        <f>IFERROR(IF(C806="","",INDEX(직원명부!$B$5:$B$24,MATCH(C806,직원명부!$A$5:$A$24,0))),"사번 확인")</f>
        <v/>
      </c>
      <c r="E806" s="34" t="n"/>
      <c r="F806" s="34" t="n"/>
      <c r="G806" s="28" t="n"/>
      <c r="H806" s="33">
        <f>IF(OR(E806="",F806=""),"",ROUND(MOD(F806-E806,1)*24-N(G806),2))</f>
        <v/>
      </c>
      <c r="I806" s="33">
        <f>IF(H806="","",ROUND(MAX(0,H806-8),2))</f>
        <v/>
      </c>
      <c r="J806" s="33">
        <f>IF(OR(E806="",F806=""),"",ROUND(IF(MOD(F806,1)&gt;=TIME(22,0,0),(MOD(F806,1)-TIME(22,0,0))*24,IF(MOD(F806,1)&lt;TIME(6,0,0),(MOD(F806,1)+1-TIME(22,0,0))*24,0)),2))</f>
        <v/>
      </c>
      <c r="K806" s="33">
        <f>IF(H806="","",ROUND(IF(L806="휴일근로",MIN(H806,8)*1.5+MAX(0,H806-8)*2,I806*1.5)+N(J806)*0.5,2))</f>
        <v/>
      </c>
      <c r="L806" s="18" t="n"/>
      <c r="M806" s="18" t="n"/>
      <c r="N806" s="22" t="n"/>
    </row>
    <row r="807">
      <c r="A807" s="19" t="n"/>
      <c r="B807" s="25">
        <f>IF(A807="","",CHOOSE(WEEKDAY(A807,2),"월","화","수","목","금","토","일"))</f>
        <v/>
      </c>
      <c r="C807" s="18" t="n"/>
      <c r="D807" s="25">
        <f>IFERROR(IF(C807="","",INDEX(직원명부!$B$5:$B$24,MATCH(C807,직원명부!$A$5:$A$24,0))),"사번 확인")</f>
        <v/>
      </c>
      <c r="E807" s="34" t="n"/>
      <c r="F807" s="34" t="n"/>
      <c r="G807" s="28" t="n"/>
      <c r="H807" s="33">
        <f>IF(OR(E807="",F807=""),"",ROUND(MOD(F807-E807,1)*24-N(G807),2))</f>
        <v/>
      </c>
      <c r="I807" s="33">
        <f>IF(H807="","",ROUND(MAX(0,H807-8),2))</f>
        <v/>
      </c>
      <c r="J807" s="33">
        <f>IF(OR(E807="",F807=""),"",ROUND(IF(MOD(F807,1)&gt;=TIME(22,0,0),(MOD(F807,1)-TIME(22,0,0))*24,IF(MOD(F807,1)&lt;TIME(6,0,0),(MOD(F807,1)+1-TIME(22,0,0))*24,0)),2))</f>
        <v/>
      </c>
      <c r="K807" s="33">
        <f>IF(H807="","",ROUND(IF(L807="휴일근로",MIN(H807,8)*1.5+MAX(0,H807-8)*2,I807*1.5)+N(J807)*0.5,2))</f>
        <v/>
      </c>
      <c r="L807" s="18" t="n"/>
      <c r="M807" s="18" t="n"/>
      <c r="N807" s="22" t="n"/>
    </row>
    <row r="808">
      <c r="A808" s="19" t="n"/>
      <c r="B808" s="25">
        <f>IF(A808="","",CHOOSE(WEEKDAY(A808,2),"월","화","수","목","금","토","일"))</f>
        <v/>
      </c>
      <c r="C808" s="18" t="n"/>
      <c r="D808" s="25">
        <f>IFERROR(IF(C808="","",INDEX(직원명부!$B$5:$B$24,MATCH(C808,직원명부!$A$5:$A$24,0))),"사번 확인")</f>
        <v/>
      </c>
      <c r="E808" s="34" t="n"/>
      <c r="F808" s="34" t="n"/>
      <c r="G808" s="28" t="n"/>
      <c r="H808" s="33">
        <f>IF(OR(E808="",F808=""),"",ROUND(MOD(F808-E808,1)*24-N(G808),2))</f>
        <v/>
      </c>
      <c r="I808" s="33">
        <f>IF(H808="","",ROUND(MAX(0,H808-8),2))</f>
        <v/>
      </c>
      <c r="J808" s="33">
        <f>IF(OR(E808="",F808=""),"",ROUND(IF(MOD(F808,1)&gt;=TIME(22,0,0),(MOD(F808,1)-TIME(22,0,0))*24,IF(MOD(F808,1)&lt;TIME(6,0,0),(MOD(F808,1)+1-TIME(22,0,0))*24,0)),2))</f>
        <v/>
      </c>
      <c r="K808" s="33">
        <f>IF(H808="","",ROUND(IF(L808="휴일근로",MIN(H808,8)*1.5+MAX(0,H808-8)*2,I808*1.5)+N(J808)*0.5,2))</f>
        <v/>
      </c>
      <c r="L808" s="18" t="n"/>
      <c r="M808" s="18" t="n"/>
      <c r="N808" s="22" t="n"/>
    </row>
    <row r="809">
      <c r="A809" s="19" t="n"/>
      <c r="B809" s="25">
        <f>IF(A809="","",CHOOSE(WEEKDAY(A809,2),"월","화","수","목","금","토","일"))</f>
        <v/>
      </c>
      <c r="C809" s="18" t="n"/>
      <c r="D809" s="25">
        <f>IFERROR(IF(C809="","",INDEX(직원명부!$B$5:$B$24,MATCH(C809,직원명부!$A$5:$A$24,0))),"사번 확인")</f>
        <v/>
      </c>
      <c r="E809" s="34" t="n"/>
      <c r="F809" s="34" t="n"/>
      <c r="G809" s="28" t="n"/>
      <c r="H809" s="33">
        <f>IF(OR(E809="",F809=""),"",ROUND(MOD(F809-E809,1)*24-N(G809),2))</f>
        <v/>
      </c>
      <c r="I809" s="33">
        <f>IF(H809="","",ROUND(MAX(0,H809-8),2))</f>
        <v/>
      </c>
      <c r="J809" s="33">
        <f>IF(OR(E809="",F809=""),"",ROUND(IF(MOD(F809,1)&gt;=TIME(22,0,0),(MOD(F809,1)-TIME(22,0,0))*24,IF(MOD(F809,1)&lt;TIME(6,0,0),(MOD(F809,1)+1-TIME(22,0,0))*24,0)),2))</f>
        <v/>
      </c>
      <c r="K809" s="33">
        <f>IF(H809="","",ROUND(IF(L809="휴일근로",MIN(H809,8)*1.5+MAX(0,H809-8)*2,I809*1.5)+N(J809)*0.5,2))</f>
        <v/>
      </c>
      <c r="L809" s="18" t="n"/>
      <c r="M809" s="18" t="n"/>
      <c r="N809" s="22" t="n"/>
    </row>
    <row r="810">
      <c r="A810" s="19" t="n"/>
      <c r="B810" s="25">
        <f>IF(A810="","",CHOOSE(WEEKDAY(A810,2),"월","화","수","목","금","토","일"))</f>
        <v/>
      </c>
      <c r="C810" s="18" t="n"/>
      <c r="D810" s="25">
        <f>IFERROR(IF(C810="","",INDEX(직원명부!$B$5:$B$24,MATCH(C810,직원명부!$A$5:$A$24,0))),"사번 확인")</f>
        <v/>
      </c>
      <c r="E810" s="34" t="n"/>
      <c r="F810" s="34" t="n"/>
      <c r="G810" s="28" t="n"/>
      <c r="H810" s="33">
        <f>IF(OR(E810="",F810=""),"",ROUND(MOD(F810-E810,1)*24-N(G810),2))</f>
        <v/>
      </c>
      <c r="I810" s="33">
        <f>IF(H810="","",ROUND(MAX(0,H810-8),2))</f>
        <v/>
      </c>
      <c r="J810" s="33">
        <f>IF(OR(E810="",F810=""),"",ROUND(IF(MOD(F810,1)&gt;=TIME(22,0,0),(MOD(F810,1)-TIME(22,0,0))*24,IF(MOD(F810,1)&lt;TIME(6,0,0),(MOD(F810,1)+1-TIME(22,0,0))*24,0)),2))</f>
        <v/>
      </c>
      <c r="K810" s="33">
        <f>IF(H810="","",ROUND(IF(L810="휴일근로",MIN(H810,8)*1.5+MAX(0,H810-8)*2,I810*1.5)+N(J810)*0.5,2))</f>
        <v/>
      </c>
      <c r="L810" s="18" t="n"/>
      <c r="M810" s="18" t="n"/>
      <c r="N810" s="22" t="n"/>
    </row>
    <row r="811">
      <c r="A811" s="19" t="n"/>
      <c r="B811" s="25">
        <f>IF(A811="","",CHOOSE(WEEKDAY(A811,2),"월","화","수","목","금","토","일"))</f>
        <v/>
      </c>
      <c r="C811" s="18" t="n"/>
      <c r="D811" s="25">
        <f>IFERROR(IF(C811="","",INDEX(직원명부!$B$5:$B$24,MATCH(C811,직원명부!$A$5:$A$24,0))),"사번 확인")</f>
        <v/>
      </c>
      <c r="E811" s="34" t="n"/>
      <c r="F811" s="34" t="n"/>
      <c r="G811" s="28" t="n"/>
      <c r="H811" s="33">
        <f>IF(OR(E811="",F811=""),"",ROUND(MOD(F811-E811,1)*24-N(G811),2))</f>
        <v/>
      </c>
      <c r="I811" s="33">
        <f>IF(H811="","",ROUND(MAX(0,H811-8),2))</f>
        <v/>
      </c>
      <c r="J811" s="33">
        <f>IF(OR(E811="",F811=""),"",ROUND(IF(MOD(F811,1)&gt;=TIME(22,0,0),(MOD(F811,1)-TIME(22,0,0))*24,IF(MOD(F811,1)&lt;TIME(6,0,0),(MOD(F811,1)+1-TIME(22,0,0))*24,0)),2))</f>
        <v/>
      </c>
      <c r="K811" s="33">
        <f>IF(H811="","",ROUND(IF(L811="휴일근로",MIN(H811,8)*1.5+MAX(0,H811-8)*2,I811*1.5)+N(J811)*0.5,2))</f>
        <v/>
      </c>
      <c r="L811" s="18" t="n"/>
      <c r="M811" s="18" t="n"/>
      <c r="N811" s="22" t="n"/>
    </row>
    <row r="812">
      <c r="A812" s="19" t="n"/>
      <c r="B812" s="25">
        <f>IF(A812="","",CHOOSE(WEEKDAY(A812,2),"월","화","수","목","금","토","일"))</f>
        <v/>
      </c>
      <c r="C812" s="18" t="n"/>
      <c r="D812" s="25">
        <f>IFERROR(IF(C812="","",INDEX(직원명부!$B$5:$B$24,MATCH(C812,직원명부!$A$5:$A$24,0))),"사번 확인")</f>
        <v/>
      </c>
      <c r="E812" s="34" t="n"/>
      <c r="F812" s="34" t="n"/>
      <c r="G812" s="28" t="n"/>
      <c r="H812" s="33">
        <f>IF(OR(E812="",F812=""),"",ROUND(MOD(F812-E812,1)*24-N(G812),2))</f>
        <v/>
      </c>
      <c r="I812" s="33">
        <f>IF(H812="","",ROUND(MAX(0,H812-8),2))</f>
        <v/>
      </c>
      <c r="J812" s="33">
        <f>IF(OR(E812="",F812=""),"",ROUND(IF(MOD(F812,1)&gt;=TIME(22,0,0),(MOD(F812,1)-TIME(22,0,0))*24,IF(MOD(F812,1)&lt;TIME(6,0,0),(MOD(F812,1)+1-TIME(22,0,0))*24,0)),2))</f>
        <v/>
      </c>
      <c r="K812" s="33">
        <f>IF(H812="","",ROUND(IF(L812="휴일근로",MIN(H812,8)*1.5+MAX(0,H812-8)*2,I812*1.5)+N(J812)*0.5,2))</f>
        <v/>
      </c>
      <c r="L812" s="18" t="n"/>
      <c r="M812" s="18" t="n"/>
      <c r="N812" s="22" t="n"/>
    </row>
    <row r="813">
      <c r="A813" s="19" t="n"/>
      <c r="B813" s="25">
        <f>IF(A813="","",CHOOSE(WEEKDAY(A813,2),"월","화","수","목","금","토","일"))</f>
        <v/>
      </c>
      <c r="C813" s="18" t="n"/>
      <c r="D813" s="25">
        <f>IFERROR(IF(C813="","",INDEX(직원명부!$B$5:$B$24,MATCH(C813,직원명부!$A$5:$A$24,0))),"사번 확인")</f>
        <v/>
      </c>
      <c r="E813" s="34" t="n"/>
      <c r="F813" s="34" t="n"/>
      <c r="G813" s="28" t="n"/>
      <c r="H813" s="33">
        <f>IF(OR(E813="",F813=""),"",ROUND(MOD(F813-E813,1)*24-N(G813),2))</f>
        <v/>
      </c>
      <c r="I813" s="33">
        <f>IF(H813="","",ROUND(MAX(0,H813-8),2))</f>
        <v/>
      </c>
      <c r="J813" s="33">
        <f>IF(OR(E813="",F813=""),"",ROUND(IF(MOD(F813,1)&gt;=TIME(22,0,0),(MOD(F813,1)-TIME(22,0,0))*24,IF(MOD(F813,1)&lt;TIME(6,0,0),(MOD(F813,1)+1-TIME(22,0,0))*24,0)),2))</f>
        <v/>
      </c>
      <c r="K813" s="33">
        <f>IF(H813="","",ROUND(IF(L813="휴일근로",MIN(H813,8)*1.5+MAX(0,H813-8)*2,I813*1.5)+N(J813)*0.5,2))</f>
        <v/>
      </c>
      <c r="L813" s="18" t="n"/>
      <c r="M813" s="18" t="n"/>
      <c r="N813" s="22" t="n"/>
    </row>
    <row r="814">
      <c r="A814" s="19" t="n"/>
      <c r="B814" s="25">
        <f>IF(A814="","",CHOOSE(WEEKDAY(A814,2),"월","화","수","목","금","토","일"))</f>
        <v/>
      </c>
      <c r="C814" s="18" t="n"/>
      <c r="D814" s="25">
        <f>IFERROR(IF(C814="","",INDEX(직원명부!$B$5:$B$24,MATCH(C814,직원명부!$A$5:$A$24,0))),"사번 확인")</f>
        <v/>
      </c>
      <c r="E814" s="34" t="n"/>
      <c r="F814" s="34" t="n"/>
      <c r="G814" s="28" t="n"/>
      <c r="H814" s="33">
        <f>IF(OR(E814="",F814=""),"",ROUND(MOD(F814-E814,1)*24-N(G814),2))</f>
        <v/>
      </c>
      <c r="I814" s="33">
        <f>IF(H814="","",ROUND(MAX(0,H814-8),2))</f>
        <v/>
      </c>
      <c r="J814" s="33">
        <f>IF(OR(E814="",F814=""),"",ROUND(IF(MOD(F814,1)&gt;=TIME(22,0,0),(MOD(F814,1)-TIME(22,0,0))*24,IF(MOD(F814,1)&lt;TIME(6,0,0),(MOD(F814,1)+1-TIME(22,0,0))*24,0)),2))</f>
        <v/>
      </c>
      <c r="K814" s="33">
        <f>IF(H814="","",ROUND(IF(L814="휴일근로",MIN(H814,8)*1.5+MAX(0,H814-8)*2,I814*1.5)+N(J814)*0.5,2))</f>
        <v/>
      </c>
      <c r="L814" s="18" t="n"/>
      <c r="M814" s="18" t="n"/>
      <c r="N814" s="22" t="n"/>
    </row>
    <row r="815">
      <c r="A815" s="19" t="n"/>
      <c r="B815" s="25">
        <f>IF(A815="","",CHOOSE(WEEKDAY(A815,2),"월","화","수","목","금","토","일"))</f>
        <v/>
      </c>
      <c r="C815" s="18" t="n"/>
      <c r="D815" s="25">
        <f>IFERROR(IF(C815="","",INDEX(직원명부!$B$5:$B$24,MATCH(C815,직원명부!$A$5:$A$24,0))),"사번 확인")</f>
        <v/>
      </c>
      <c r="E815" s="34" t="n"/>
      <c r="F815" s="34" t="n"/>
      <c r="G815" s="28" t="n"/>
      <c r="H815" s="33">
        <f>IF(OR(E815="",F815=""),"",ROUND(MOD(F815-E815,1)*24-N(G815),2))</f>
        <v/>
      </c>
      <c r="I815" s="33">
        <f>IF(H815="","",ROUND(MAX(0,H815-8),2))</f>
        <v/>
      </c>
      <c r="J815" s="33">
        <f>IF(OR(E815="",F815=""),"",ROUND(IF(MOD(F815,1)&gt;=TIME(22,0,0),(MOD(F815,1)-TIME(22,0,0))*24,IF(MOD(F815,1)&lt;TIME(6,0,0),(MOD(F815,1)+1-TIME(22,0,0))*24,0)),2))</f>
        <v/>
      </c>
      <c r="K815" s="33">
        <f>IF(H815="","",ROUND(IF(L815="휴일근로",MIN(H815,8)*1.5+MAX(0,H815-8)*2,I815*1.5)+N(J815)*0.5,2))</f>
        <v/>
      </c>
      <c r="L815" s="18" t="n"/>
      <c r="M815" s="18" t="n"/>
      <c r="N815" s="22" t="n"/>
    </row>
    <row r="816">
      <c r="A816" s="19" t="n"/>
      <c r="B816" s="25">
        <f>IF(A816="","",CHOOSE(WEEKDAY(A816,2),"월","화","수","목","금","토","일"))</f>
        <v/>
      </c>
      <c r="C816" s="18" t="n"/>
      <c r="D816" s="25">
        <f>IFERROR(IF(C816="","",INDEX(직원명부!$B$5:$B$24,MATCH(C816,직원명부!$A$5:$A$24,0))),"사번 확인")</f>
        <v/>
      </c>
      <c r="E816" s="34" t="n"/>
      <c r="F816" s="34" t="n"/>
      <c r="G816" s="28" t="n"/>
      <c r="H816" s="33">
        <f>IF(OR(E816="",F816=""),"",ROUND(MOD(F816-E816,1)*24-N(G816),2))</f>
        <v/>
      </c>
      <c r="I816" s="33">
        <f>IF(H816="","",ROUND(MAX(0,H816-8),2))</f>
        <v/>
      </c>
      <c r="J816" s="33">
        <f>IF(OR(E816="",F816=""),"",ROUND(IF(MOD(F816,1)&gt;=TIME(22,0,0),(MOD(F816,1)-TIME(22,0,0))*24,IF(MOD(F816,1)&lt;TIME(6,0,0),(MOD(F816,1)+1-TIME(22,0,0))*24,0)),2))</f>
        <v/>
      </c>
      <c r="K816" s="33">
        <f>IF(H816="","",ROUND(IF(L816="휴일근로",MIN(H816,8)*1.5+MAX(0,H816-8)*2,I816*1.5)+N(J816)*0.5,2))</f>
        <v/>
      </c>
      <c r="L816" s="18" t="n"/>
      <c r="M816" s="18" t="n"/>
      <c r="N816" s="22" t="n"/>
    </row>
    <row r="817">
      <c r="A817" s="19" t="n"/>
      <c r="B817" s="25">
        <f>IF(A817="","",CHOOSE(WEEKDAY(A817,2),"월","화","수","목","금","토","일"))</f>
        <v/>
      </c>
      <c r="C817" s="18" t="n"/>
      <c r="D817" s="25">
        <f>IFERROR(IF(C817="","",INDEX(직원명부!$B$5:$B$24,MATCH(C817,직원명부!$A$5:$A$24,0))),"사번 확인")</f>
        <v/>
      </c>
      <c r="E817" s="34" t="n"/>
      <c r="F817" s="34" t="n"/>
      <c r="G817" s="28" t="n"/>
      <c r="H817" s="33">
        <f>IF(OR(E817="",F817=""),"",ROUND(MOD(F817-E817,1)*24-N(G817),2))</f>
        <v/>
      </c>
      <c r="I817" s="33">
        <f>IF(H817="","",ROUND(MAX(0,H817-8),2))</f>
        <v/>
      </c>
      <c r="J817" s="33">
        <f>IF(OR(E817="",F817=""),"",ROUND(IF(MOD(F817,1)&gt;=TIME(22,0,0),(MOD(F817,1)-TIME(22,0,0))*24,IF(MOD(F817,1)&lt;TIME(6,0,0),(MOD(F817,1)+1-TIME(22,0,0))*24,0)),2))</f>
        <v/>
      </c>
      <c r="K817" s="33">
        <f>IF(H817="","",ROUND(IF(L817="휴일근로",MIN(H817,8)*1.5+MAX(0,H817-8)*2,I817*1.5)+N(J817)*0.5,2))</f>
        <v/>
      </c>
      <c r="L817" s="18" t="n"/>
      <c r="M817" s="18" t="n"/>
      <c r="N817" s="22" t="n"/>
    </row>
    <row r="818">
      <c r="A818" s="19" t="n"/>
      <c r="B818" s="25">
        <f>IF(A818="","",CHOOSE(WEEKDAY(A818,2),"월","화","수","목","금","토","일"))</f>
        <v/>
      </c>
      <c r="C818" s="18" t="n"/>
      <c r="D818" s="25">
        <f>IFERROR(IF(C818="","",INDEX(직원명부!$B$5:$B$24,MATCH(C818,직원명부!$A$5:$A$24,0))),"사번 확인")</f>
        <v/>
      </c>
      <c r="E818" s="34" t="n"/>
      <c r="F818" s="34" t="n"/>
      <c r="G818" s="28" t="n"/>
      <c r="H818" s="33">
        <f>IF(OR(E818="",F818=""),"",ROUND(MOD(F818-E818,1)*24-N(G818),2))</f>
        <v/>
      </c>
      <c r="I818" s="33">
        <f>IF(H818="","",ROUND(MAX(0,H818-8),2))</f>
        <v/>
      </c>
      <c r="J818" s="33">
        <f>IF(OR(E818="",F818=""),"",ROUND(IF(MOD(F818,1)&gt;=TIME(22,0,0),(MOD(F818,1)-TIME(22,0,0))*24,IF(MOD(F818,1)&lt;TIME(6,0,0),(MOD(F818,1)+1-TIME(22,0,0))*24,0)),2))</f>
        <v/>
      </c>
      <c r="K818" s="33">
        <f>IF(H818="","",ROUND(IF(L818="휴일근로",MIN(H818,8)*1.5+MAX(0,H818-8)*2,I818*1.5)+N(J818)*0.5,2))</f>
        <v/>
      </c>
      <c r="L818" s="18" t="n"/>
      <c r="M818" s="18" t="n"/>
      <c r="N818" s="22" t="n"/>
    </row>
    <row r="819">
      <c r="A819" s="19" t="n"/>
      <c r="B819" s="25">
        <f>IF(A819="","",CHOOSE(WEEKDAY(A819,2),"월","화","수","목","금","토","일"))</f>
        <v/>
      </c>
      <c r="C819" s="18" t="n"/>
      <c r="D819" s="25">
        <f>IFERROR(IF(C819="","",INDEX(직원명부!$B$5:$B$24,MATCH(C819,직원명부!$A$5:$A$24,0))),"사번 확인")</f>
        <v/>
      </c>
      <c r="E819" s="34" t="n"/>
      <c r="F819" s="34" t="n"/>
      <c r="G819" s="28" t="n"/>
      <c r="H819" s="33">
        <f>IF(OR(E819="",F819=""),"",ROUND(MOD(F819-E819,1)*24-N(G819),2))</f>
        <v/>
      </c>
      <c r="I819" s="33">
        <f>IF(H819="","",ROUND(MAX(0,H819-8),2))</f>
        <v/>
      </c>
      <c r="J819" s="33">
        <f>IF(OR(E819="",F819=""),"",ROUND(IF(MOD(F819,1)&gt;=TIME(22,0,0),(MOD(F819,1)-TIME(22,0,0))*24,IF(MOD(F819,1)&lt;TIME(6,0,0),(MOD(F819,1)+1-TIME(22,0,0))*24,0)),2))</f>
        <v/>
      </c>
      <c r="K819" s="33">
        <f>IF(H819="","",ROUND(IF(L819="휴일근로",MIN(H819,8)*1.5+MAX(0,H819-8)*2,I819*1.5)+N(J819)*0.5,2))</f>
        <v/>
      </c>
      <c r="L819" s="18" t="n"/>
      <c r="M819" s="18" t="n"/>
      <c r="N819" s="22" t="n"/>
    </row>
    <row r="820">
      <c r="A820" s="19" t="n"/>
      <c r="B820" s="25">
        <f>IF(A820="","",CHOOSE(WEEKDAY(A820,2),"월","화","수","목","금","토","일"))</f>
        <v/>
      </c>
      <c r="C820" s="18" t="n"/>
      <c r="D820" s="25">
        <f>IFERROR(IF(C820="","",INDEX(직원명부!$B$5:$B$24,MATCH(C820,직원명부!$A$5:$A$24,0))),"사번 확인")</f>
        <v/>
      </c>
      <c r="E820" s="34" t="n"/>
      <c r="F820" s="34" t="n"/>
      <c r="G820" s="28" t="n"/>
      <c r="H820" s="33">
        <f>IF(OR(E820="",F820=""),"",ROUND(MOD(F820-E820,1)*24-N(G820),2))</f>
        <v/>
      </c>
      <c r="I820" s="33">
        <f>IF(H820="","",ROUND(MAX(0,H820-8),2))</f>
        <v/>
      </c>
      <c r="J820" s="33">
        <f>IF(OR(E820="",F820=""),"",ROUND(IF(MOD(F820,1)&gt;=TIME(22,0,0),(MOD(F820,1)-TIME(22,0,0))*24,IF(MOD(F820,1)&lt;TIME(6,0,0),(MOD(F820,1)+1-TIME(22,0,0))*24,0)),2))</f>
        <v/>
      </c>
      <c r="K820" s="33">
        <f>IF(H820="","",ROUND(IF(L820="휴일근로",MIN(H820,8)*1.5+MAX(0,H820-8)*2,I820*1.5)+N(J820)*0.5,2))</f>
        <v/>
      </c>
      <c r="L820" s="18" t="n"/>
      <c r="M820" s="18" t="n"/>
      <c r="N820" s="22" t="n"/>
    </row>
    <row r="821">
      <c r="A821" s="19" t="n"/>
      <c r="B821" s="25">
        <f>IF(A821="","",CHOOSE(WEEKDAY(A821,2),"월","화","수","목","금","토","일"))</f>
        <v/>
      </c>
      <c r="C821" s="18" t="n"/>
      <c r="D821" s="25">
        <f>IFERROR(IF(C821="","",INDEX(직원명부!$B$5:$B$24,MATCH(C821,직원명부!$A$5:$A$24,0))),"사번 확인")</f>
        <v/>
      </c>
      <c r="E821" s="34" t="n"/>
      <c r="F821" s="34" t="n"/>
      <c r="G821" s="28" t="n"/>
      <c r="H821" s="33">
        <f>IF(OR(E821="",F821=""),"",ROUND(MOD(F821-E821,1)*24-N(G821),2))</f>
        <v/>
      </c>
      <c r="I821" s="33">
        <f>IF(H821="","",ROUND(MAX(0,H821-8),2))</f>
        <v/>
      </c>
      <c r="J821" s="33">
        <f>IF(OR(E821="",F821=""),"",ROUND(IF(MOD(F821,1)&gt;=TIME(22,0,0),(MOD(F821,1)-TIME(22,0,0))*24,IF(MOD(F821,1)&lt;TIME(6,0,0),(MOD(F821,1)+1-TIME(22,0,0))*24,0)),2))</f>
        <v/>
      </c>
      <c r="K821" s="33">
        <f>IF(H821="","",ROUND(IF(L821="휴일근로",MIN(H821,8)*1.5+MAX(0,H821-8)*2,I821*1.5)+N(J821)*0.5,2))</f>
        <v/>
      </c>
      <c r="L821" s="18" t="n"/>
      <c r="M821" s="18" t="n"/>
      <c r="N821" s="22" t="n"/>
    </row>
    <row r="822">
      <c r="A822" s="19" t="n"/>
      <c r="B822" s="25">
        <f>IF(A822="","",CHOOSE(WEEKDAY(A822,2),"월","화","수","목","금","토","일"))</f>
        <v/>
      </c>
      <c r="C822" s="18" t="n"/>
      <c r="D822" s="25">
        <f>IFERROR(IF(C822="","",INDEX(직원명부!$B$5:$B$24,MATCH(C822,직원명부!$A$5:$A$24,0))),"사번 확인")</f>
        <v/>
      </c>
      <c r="E822" s="34" t="n"/>
      <c r="F822" s="34" t="n"/>
      <c r="G822" s="28" t="n"/>
      <c r="H822" s="33">
        <f>IF(OR(E822="",F822=""),"",ROUND(MOD(F822-E822,1)*24-N(G822),2))</f>
        <v/>
      </c>
      <c r="I822" s="33">
        <f>IF(H822="","",ROUND(MAX(0,H822-8),2))</f>
        <v/>
      </c>
      <c r="J822" s="33">
        <f>IF(OR(E822="",F822=""),"",ROUND(IF(MOD(F822,1)&gt;=TIME(22,0,0),(MOD(F822,1)-TIME(22,0,0))*24,IF(MOD(F822,1)&lt;TIME(6,0,0),(MOD(F822,1)+1-TIME(22,0,0))*24,0)),2))</f>
        <v/>
      </c>
      <c r="K822" s="33">
        <f>IF(H822="","",ROUND(IF(L822="휴일근로",MIN(H822,8)*1.5+MAX(0,H822-8)*2,I822*1.5)+N(J822)*0.5,2))</f>
        <v/>
      </c>
      <c r="L822" s="18" t="n"/>
      <c r="M822" s="18" t="n"/>
      <c r="N822" s="22" t="n"/>
    </row>
    <row r="823">
      <c r="A823" s="19" t="n"/>
      <c r="B823" s="25">
        <f>IF(A823="","",CHOOSE(WEEKDAY(A823,2),"월","화","수","목","금","토","일"))</f>
        <v/>
      </c>
      <c r="C823" s="18" t="n"/>
      <c r="D823" s="25">
        <f>IFERROR(IF(C823="","",INDEX(직원명부!$B$5:$B$24,MATCH(C823,직원명부!$A$5:$A$24,0))),"사번 확인")</f>
        <v/>
      </c>
      <c r="E823" s="34" t="n"/>
      <c r="F823" s="34" t="n"/>
      <c r="G823" s="28" t="n"/>
      <c r="H823" s="33">
        <f>IF(OR(E823="",F823=""),"",ROUND(MOD(F823-E823,1)*24-N(G823),2))</f>
        <v/>
      </c>
      <c r="I823" s="33">
        <f>IF(H823="","",ROUND(MAX(0,H823-8),2))</f>
        <v/>
      </c>
      <c r="J823" s="33">
        <f>IF(OR(E823="",F823=""),"",ROUND(IF(MOD(F823,1)&gt;=TIME(22,0,0),(MOD(F823,1)-TIME(22,0,0))*24,IF(MOD(F823,1)&lt;TIME(6,0,0),(MOD(F823,1)+1-TIME(22,0,0))*24,0)),2))</f>
        <v/>
      </c>
      <c r="K823" s="33">
        <f>IF(H823="","",ROUND(IF(L823="휴일근로",MIN(H823,8)*1.5+MAX(0,H823-8)*2,I823*1.5)+N(J823)*0.5,2))</f>
        <v/>
      </c>
      <c r="L823" s="18" t="n"/>
      <c r="M823" s="18" t="n"/>
      <c r="N823" s="22" t="n"/>
    </row>
    <row r="824">
      <c r="A824" s="19" t="n"/>
      <c r="B824" s="25">
        <f>IF(A824="","",CHOOSE(WEEKDAY(A824,2),"월","화","수","목","금","토","일"))</f>
        <v/>
      </c>
      <c r="C824" s="18" t="n"/>
      <c r="D824" s="25">
        <f>IFERROR(IF(C824="","",INDEX(직원명부!$B$5:$B$24,MATCH(C824,직원명부!$A$5:$A$24,0))),"사번 확인")</f>
        <v/>
      </c>
      <c r="E824" s="34" t="n"/>
      <c r="F824" s="34" t="n"/>
      <c r="G824" s="28" t="n"/>
      <c r="H824" s="33">
        <f>IF(OR(E824="",F824=""),"",ROUND(MOD(F824-E824,1)*24-N(G824),2))</f>
        <v/>
      </c>
      <c r="I824" s="33">
        <f>IF(H824="","",ROUND(MAX(0,H824-8),2))</f>
        <v/>
      </c>
      <c r="J824" s="33">
        <f>IF(OR(E824="",F824=""),"",ROUND(IF(MOD(F824,1)&gt;=TIME(22,0,0),(MOD(F824,1)-TIME(22,0,0))*24,IF(MOD(F824,1)&lt;TIME(6,0,0),(MOD(F824,1)+1-TIME(22,0,0))*24,0)),2))</f>
        <v/>
      </c>
      <c r="K824" s="33">
        <f>IF(H824="","",ROUND(IF(L824="휴일근로",MIN(H824,8)*1.5+MAX(0,H824-8)*2,I824*1.5)+N(J824)*0.5,2))</f>
        <v/>
      </c>
      <c r="L824" s="18" t="n"/>
      <c r="M824" s="18" t="n"/>
      <c r="N824" s="22" t="n"/>
    </row>
    <row r="825">
      <c r="A825" s="19" t="n"/>
      <c r="B825" s="25">
        <f>IF(A825="","",CHOOSE(WEEKDAY(A825,2),"월","화","수","목","금","토","일"))</f>
        <v/>
      </c>
      <c r="C825" s="18" t="n"/>
      <c r="D825" s="25">
        <f>IFERROR(IF(C825="","",INDEX(직원명부!$B$5:$B$24,MATCH(C825,직원명부!$A$5:$A$24,0))),"사번 확인")</f>
        <v/>
      </c>
      <c r="E825" s="34" t="n"/>
      <c r="F825" s="34" t="n"/>
      <c r="G825" s="28" t="n"/>
      <c r="H825" s="33">
        <f>IF(OR(E825="",F825=""),"",ROUND(MOD(F825-E825,1)*24-N(G825),2))</f>
        <v/>
      </c>
      <c r="I825" s="33">
        <f>IF(H825="","",ROUND(MAX(0,H825-8),2))</f>
        <v/>
      </c>
      <c r="J825" s="33">
        <f>IF(OR(E825="",F825=""),"",ROUND(IF(MOD(F825,1)&gt;=TIME(22,0,0),(MOD(F825,1)-TIME(22,0,0))*24,IF(MOD(F825,1)&lt;TIME(6,0,0),(MOD(F825,1)+1-TIME(22,0,0))*24,0)),2))</f>
        <v/>
      </c>
      <c r="K825" s="33">
        <f>IF(H825="","",ROUND(IF(L825="휴일근로",MIN(H825,8)*1.5+MAX(0,H825-8)*2,I825*1.5)+N(J825)*0.5,2))</f>
        <v/>
      </c>
      <c r="L825" s="18" t="n"/>
      <c r="M825" s="18" t="n"/>
      <c r="N825" s="22" t="n"/>
    </row>
    <row r="826">
      <c r="A826" s="19" t="n"/>
      <c r="B826" s="25">
        <f>IF(A826="","",CHOOSE(WEEKDAY(A826,2),"월","화","수","목","금","토","일"))</f>
        <v/>
      </c>
      <c r="C826" s="18" t="n"/>
      <c r="D826" s="25">
        <f>IFERROR(IF(C826="","",INDEX(직원명부!$B$5:$B$24,MATCH(C826,직원명부!$A$5:$A$24,0))),"사번 확인")</f>
        <v/>
      </c>
      <c r="E826" s="34" t="n"/>
      <c r="F826" s="34" t="n"/>
      <c r="G826" s="28" t="n"/>
      <c r="H826" s="33">
        <f>IF(OR(E826="",F826=""),"",ROUND(MOD(F826-E826,1)*24-N(G826),2))</f>
        <v/>
      </c>
      <c r="I826" s="33">
        <f>IF(H826="","",ROUND(MAX(0,H826-8),2))</f>
        <v/>
      </c>
      <c r="J826" s="33">
        <f>IF(OR(E826="",F826=""),"",ROUND(IF(MOD(F826,1)&gt;=TIME(22,0,0),(MOD(F826,1)-TIME(22,0,0))*24,IF(MOD(F826,1)&lt;TIME(6,0,0),(MOD(F826,1)+1-TIME(22,0,0))*24,0)),2))</f>
        <v/>
      </c>
      <c r="K826" s="33">
        <f>IF(H826="","",ROUND(IF(L826="휴일근로",MIN(H826,8)*1.5+MAX(0,H826-8)*2,I826*1.5)+N(J826)*0.5,2))</f>
        <v/>
      </c>
      <c r="L826" s="18" t="n"/>
      <c r="M826" s="18" t="n"/>
      <c r="N826" s="22" t="n"/>
    </row>
    <row r="827">
      <c r="A827" s="19" t="n"/>
      <c r="B827" s="25">
        <f>IF(A827="","",CHOOSE(WEEKDAY(A827,2),"월","화","수","목","금","토","일"))</f>
        <v/>
      </c>
      <c r="C827" s="18" t="n"/>
      <c r="D827" s="25">
        <f>IFERROR(IF(C827="","",INDEX(직원명부!$B$5:$B$24,MATCH(C827,직원명부!$A$5:$A$24,0))),"사번 확인")</f>
        <v/>
      </c>
      <c r="E827" s="34" t="n"/>
      <c r="F827" s="34" t="n"/>
      <c r="G827" s="28" t="n"/>
      <c r="H827" s="33">
        <f>IF(OR(E827="",F827=""),"",ROUND(MOD(F827-E827,1)*24-N(G827),2))</f>
        <v/>
      </c>
      <c r="I827" s="33">
        <f>IF(H827="","",ROUND(MAX(0,H827-8),2))</f>
        <v/>
      </c>
      <c r="J827" s="33">
        <f>IF(OR(E827="",F827=""),"",ROUND(IF(MOD(F827,1)&gt;=TIME(22,0,0),(MOD(F827,1)-TIME(22,0,0))*24,IF(MOD(F827,1)&lt;TIME(6,0,0),(MOD(F827,1)+1-TIME(22,0,0))*24,0)),2))</f>
        <v/>
      </c>
      <c r="K827" s="33">
        <f>IF(H827="","",ROUND(IF(L827="휴일근로",MIN(H827,8)*1.5+MAX(0,H827-8)*2,I827*1.5)+N(J827)*0.5,2))</f>
        <v/>
      </c>
      <c r="L827" s="18" t="n"/>
      <c r="M827" s="18" t="n"/>
      <c r="N827" s="22" t="n"/>
    </row>
    <row r="828">
      <c r="A828" s="19" t="n"/>
      <c r="B828" s="25">
        <f>IF(A828="","",CHOOSE(WEEKDAY(A828,2),"월","화","수","목","금","토","일"))</f>
        <v/>
      </c>
      <c r="C828" s="18" t="n"/>
      <c r="D828" s="25">
        <f>IFERROR(IF(C828="","",INDEX(직원명부!$B$5:$B$24,MATCH(C828,직원명부!$A$5:$A$24,0))),"사번 확인")</f>
        <v/>
      </c>
      <c r="E828" s="34" t="n"/>
      <c r="F828" s="34" t="n"/>
      <c r="G828" s="28" t="n"/>
      <c r="H828" s="33">
        <f>IF(OR(E828="",F828=""),"",ROUND(MOD(F828-E828,1)*24-N(G828),2))</f>
        <v/>
      </c>
      <c r="I828" s="33">
        <f>IF(H828="","",ROUND(MAX(0,H828-8),2))</f>
        <v/>
      </c>
      <c r="J828" s="33">
        <f>IF(OR(E828="",F828=""),"",ROUND(IF(MOD(F828,1)&gt;=TIME(22,0,0),(MOD(F828,1)-TIME(22,0,0))*24,IF(MOD(F828,1)&lt;TIME(6,0,0),(MOD(F828,1)+1-TIME(22,0,0))*24,0)),2))</f>
        <v/>
      </c>
      <c r="K828" s="33">
        <f>IF(H828="","",ROUND(IF(L828="휴일근로",MIN(H828,8)*1.5+MAX(0,H828-8)*2,I828*1.5)+N(J828)*0.5,2))</f>
        <v/>
      </c>
      <c r="L828" s="18" t="n"/>
      <c r="M828" s="18" t="n"/>
      <c r="N828" s="22" t="n"/>
    </row>
    <row r="829">
      <c r="A829" s="19" t="n"/>
      <c r="B829" s="25">
        <f>IF(A829="","",CHOOSE(WEEKDAY(A829,2),"월","화","수","목","금","토","일"))</f>
        <v/>
      </c>
      <c r="C829" s="18" t="n"/>
      <c r="D829" s="25">
        <f>IFERROR(IF(C829="","",INDEX(직원명부!$B$5:$B$24,MATCH(C829,직원명부!$A$5:$A$24,0))),"사번 확인")</f>
        <v/>
      </c>
      <c r="E829" s="34" t="n"/>
      <c r="F829" s="34" t="n"/>
      <c r="G829" s="28" t="n"/>
      <c r="H829" s="33">
        <f>IF(OR(E829="",F829=""),"",ROUND(MOD(F829-E829,1)*24-N(G829),2))</f>
        <v/>
      </c>
      <c r="I829" s="33">
        <f>IF(H829="","",ROUND(MAX(0,H829-8),2))</f>
        <v/>
      </c>
      <c r="J829" s="33">
        <f>IF(OR(E829="",F829=""),"",ROUND(IF(MOD(F829,1)&gt;=TIME(22,0,0),(MOD(F829,1)-TIME(22,0,0))*24,IF(MOD(F829,1)&lt;TIME(6,0,0),(MOD(F829,1)+1-TIME(22,0,0))*24,0)),2))</f>
        <v/>
      </c>
      <c r="K829" s="33">
        <f>IF(H829="","",ROUND(IF(L829="휴일근로",MIN(H829,8)*1.5+MAX(0,H829-8)*2,I829*1.5)+N(J829)*0.5,2))</f>
        <v/>
      </c>
      <c r="L829" s="18" t="n"/>
      <c r="M829" s="18" t="n"/>
      <c r="N829" s="22" t="n"/>
    </row>
    <row r="830">
      <c r="A830" s="19" t="n"/>
      <c r="B830" s="25">
        <f>IF(A830="","",CHOOSE(WEEKDAY(A830,2),"월","화","수","목","금","토","일"))</f>
        <v/>
      </c>
      <c r="C830" s="18" t="n"/>
      <c r="D830" s="25">
        <f>IFERROR(IF(C830="","",INDEX(직원명부!$B$5:$B$24,MATCH(C830,직원명부!$A$5:$A$24,0))),"사번 확인")</f>
        <v/>
      </c>
      <c r="E830" s="34" t="n"/>
      <c r="F830" s="34" t="n"/>
      <c r="G830" s="28" t="n"/>
      <c r="H830" s="33">
        <f>IF(OR(E830="",F830=""),"",ROUND(MOD(F830-E830,1)*24-N(G830),2))</f>
        <v/>
      </c>
      <c r="I830" s="33">
        <f>IF(H830="","",ROUND(MAX(0,H830-8),2))</f>
        <v/>
      </c>
      <c r="J830" s="33">
        <f>IF(OR(E830="",F830=""),"",ROUND(IF(MOD(F830,1)&gt;=TIME(22,0,0),(MOD(F830,1)-TIME(22,0,0))*24,IF(MOD(F830,1)&lt;TIME(6,0,0),(MOD(F830,1)+1-TIME(22,0,0))*24,0)),2))</f>
        <v/>
      </c>
      <c r="K830" s="33">
        <f>IF(H830="","",ROUND(IF(L830="휴일근로",MIN(H830,8)*1.5+MAX(0,H830-8)*2,I830*1.5)+N(J830)*0.5,2))</f>
        <v/>
      </c>
      <c r="L830" s="18" t="n"/>
      <c r="M830" s="18" t="n"/>
      <c r="N830" s="22" t="n"/>
    </row>
    <row r="831">
      <c r="A831" s="19" t="n"/>
      <c r="B831" s="25">
        <f>IF(A831="","",CHOOSE(WEEKDAY(A831,2),"월","화","수","목","금","토","일"))</f>
        <v/>
      </c>
      <c r="C831" s="18" t="n"/>
      <c r="D831" s="25">
        <f>IFERROR(IF(C831="","",INDEX(직원명부!$B$5:$B$24,MATCH(C831,직원명부!$A$5:$A$24,0))),"사번 확인")</f>
        <v/>
      </c>
      <c r="E831" s="34" t="n"/>
      <c r="F831" s="34" t="n"/>
      <c r="G831" s="28" t="n"/>
      <c r="H831" s="33">
        <f>IF(OR(E831="",F831=""),"",ROUND(MOD(F831-E831,1)*24-N(G831),2))</f>
        <v/>
      </c>
      <c r="I831" s="33">
        <f>IF(H831="","",ROUND(MAX(0,H831-8),2))</f>
        <v/>
      </c>
      <c r="J831" s="33">
        <f>IF(OR(E831="",F831=""),"",ROUND(IF(MOD(F831,1)&gt;=TIME(22,0,0),(MOD(F831,1)-TIME(22,0,0))*24,IF(MOD(F831,1)&lt;TIME(6,0,0),(MOD(F831,1)+1-TIME(22,0,0))*24,0)),2))</f>
        <v/>
      </c>
      <c r="K831" s="33">
        <f>IF(H831="","",ROUND(IF(L831="휴일근로",MIN(H831,8)*1.5+MAX(0,H831-8)*2,I831*1.5)+N(J831)*0.5,2))</f>
        <v/>
      </c>
      <c r="L831" s="18" t="n"/>
      <c r="M831" s="18" t="n"/>
      <c r="N831" s="22" t="n"/>
    </row>
    <row r="832">
      <c r="A832" s="19" t="n"/>
      <c r="B832" s="25">
        <f>IF(A832="","",CHOOSE(WEEKDAY(A832,2),"월","화","수","목","금","토","일"))</f>
        <v/>
      </c>
      <c r="C832" s="18" t="n"/>
      <c r="D832" s="25">
        <f>IFERROR(IF(C832="","",INDEX(직원명부!$B$5:$B$24,MATCH(C832,직원명부!$A$5:$A$24,0))),"사번 확인")</f>
        <v/>
      </c>
      <c r="E832" s="34" t="n"/>
      <c r="F832" s="34" t="n"/>
      <c r="G832" s="28" t="n"/>
      <c r="H832" s="33">
        <f>IF(OR(E832="",F832=""),"",ROUND(MOD(F832-E832,1)*24-N(G832),2))</f>
        <v/>
      </c>
      <c r="I832" s="33">
        <f>IF(H832="","",ROUND(MAX(0,H832-8),2))</f>
        <v/>
      </c>
      <c r="J832" s="33">
        <f>IF(OR(E832="",F832=""),"",ROUND(IF(MOD(F832,1)&gt;=TIME(22,0,0),(MOD(F832,1)-TIME(22,0,0))*24,IF(MOD(F832,1)&lt;TIME(6,0,0),(MOD(F832,1)+1-TIME(22,0,0))*24,0)),2))</f>
        <v/>
      </c>
      <c r="K832" s="33">
        <f>IF(H832="","",ROUND(IF(L832="휴일근로",MIN(H832,8)*1.5+MAX(0,H832-8)*2,I832*1.5)+N(J832)*0.5,2))</f>
        <v/>
      </c>
      <c r="L832" s="18" t="n"/>
      <c r="M832" s="18" t="n"/>
      <c r="N832" s="22" t="n"/>
    </row>
    <row r="833">
      <c r="A833" s="19" t="n"/>
      <c r="B833" s="25">
        <f>IF(A833="","",CHOOSE(WEEKDAY(A833,2),"월","화","수","목","금","토","일"))</f>
        <v/>
      </c>
      <c r="C833" s="18" t="n"/>
      <c r="D833" s="25">
        <f>IFERROR(IF(C833="","",INDEX(직원명부!$B$5:$B$24,MATCH(C833,직원명부!$A$5:$A$24,0))),"사번 확인")</f>
        <v/>
      </c>
      <c r="E833" s="34" t="n"/>
      <c r="F833" s="34" t="n"/>
      <c r="G833" s="28" t="n"/>
      <c r="H833" s="33">
        <f>IF(OR(E833="",F833=""),"",ROUND(MOD(F833-E833,1)*24-N(G833),2))</f>
        <v/>
      </c>
      <c r="I833" s="33">
        <f>IF(H833="","",ROUND(MAX(0,H833-8),2))</f>
        <v/>
      </c>
      <c r="J833" s="33">
        <f>IF(OR(E833="",F833=""),"",ROUND(IF(MOD(F833,1)&gt;=TIME(22,0,0),(MOD(F833,1)-TIME(22,0,0))*24,IF(MOD(F833,1)&lt;TIME(6,0,0),(MOD(F833,1)+1-TIME(22,0,0))*24,0)),2))</f>
        <v/>
      </c>
      <c r="K833" s="33">
        <f>IF(H833="","",ROUND(IF(L833="휴일근로",MIN(H833,8)*1.5+MAX(0,H833-8)*2,I833*1.5)+N(J833)*0.5,2))</f>
        <v/>
      </c>
      <c r="L833" s="18" t="n"/>
      <c r="M833" s="18" t="n"/>
      <c r="N833" s="22" t="n"/>
    </row>
    <row r="834">
      <c r="A834" s="19" t="n"/>
      <c r="B834" s="25">
        <f>IF(A834="","",CHOOSE(WEEKDAY(A834,2),"월","화","수","목","금","토","일"))</f>
        <v/>
      </c>
      <c r="C834" s="18" t="n"/>
      <c r="D834" s="25">
        <f>IFERROR(IF(C834="","",INDEX(직원명부!$B$5:$B$24,MATCH(C834,직원명부!$A$5:$A$24,0))),"사번 확인")</f>
        <v/>
      </c>
      <c r="E834" s="34" t="n"/>
      <c r="F834" s="34" t="n"/>
      <c r="G834" s="28" t="n"/>
      <c r="H834" s="33">
        <f>IF(OR(E834="",F834=""),"",ROUND(MOD(F834-E834,1)*24-N(G834),2))</f>
        <v/>
      </c>
      <c r="I834" s="33">
        <f>IF(H834="","",ROUND(MAX(0,H834-8),2))</f>
        <v/>
      </c>
      <c r="J834" s="33">
        <f>IF(OR(E834="",F834=""),"",ROUND(IF(MOD(F834,1)&gt;=TIME(22,0,0),(MOD(F834,1)-TIME(22,0,0))*24,IF(MOD(F834,1)&lt;TIME(6,0,0),(MOD(F834,1)+1-TIME(22,0,0))*24,0)),2))</f>
        <v/>
      </c>
      <c r="K834" s="33">
        <f>IF(H834="","",ROUND(IF(L834="휴일근로",MIN(H834,8)*1.5+MAX(0,H834-8)*2,I834*1.5)+N(J834)*0.5,2))</f>
        <v/>
      </c>
      <c r="L834" s="18" t="n"/>
      <c r="M834" s="18" t="n"/>
      <c r="N834" s="22" t="n"/>
    </row>
    <row r="835">
      <c r="A835" s="19" t="n"/>
      <c r="B835" s="25">
        <f>IF(A835="","",CHOOSE(WEEKDAY(A835,2),"월","화","수","목","금","토","일"))</f>
        <v/>
      </c>
      <c r="C835" s="18" t="n"/>
      <c r="D835" s="25">
        <f>IFERROR(IF(C835="","",INDEX(직원명부!$B$5:$B$24,MATCH(C835,직원명부!$A$5:$A$24,0))),"사번 확인")</f>
        <v/>
      </c>
      <c r="E835" s="34" t="n"/>
      <c r="F835" s="34" t="n"/>
      <c r="G835" s="28" t="n"/>
      <c r="H835" s="33">
        <f>IF(OR(E835="",F835=""),"",ROUND(MOD(F835-E835,1)*24-N(G835),2))</f>
        <v/>
      </c>
      <c r="I835" s="33">
        <f>IF(H835="","",ROUND(MAX(0,H835-8),2))</f>
        <v/>
      </c>
      <c r="J835" s="33">
        <f>IF(OR(E835="",F835=""),"",ROUND(IF(MOD(F835,1)&gt;=TIME(22,0,0),(MOD(F835,1)-TIME(22,0,0))*24,IF(MOD(F835,1)&lt;TIME(6,0,0),(MOD(F835,1)+1-TIME(22,0,0))*24,0)),2))</f>
        <v/>
      </c>
      <c r="K835" s="33">
        <f>IF(H835="","",ROUND(IF(L835="휴일근로",MIN(H835,8)*1.5+MAX(0,H835-8)*2,I835*1.5)+N(J835)*0.5,2))</f>
        <v/>
      </c>
      <c r="L835" s="18" t="n"/>
      <c r="M835" s="18" t="n"/>
      <c r="N835" s="22" t="n"/>
    </row>
    <row r="836">
      <c r="A836" s="19" t="n"/>
      <c r="B836" s="25">
        <f>IF(A836="","",CHOOSE(WEEKDAY(A836,2),"월","화","수","목","금","토","일"))</f>
        <v/>
      </c>
      <c r="C836" s="18" t="n"/>
      <c r="D836" s="25">
        <f>IFERROR(IF(C836="","",INDEX(직원명부!$B$5:$B$24,MATCH(C836,직원명부!$A$5:$A$24,0))),"사번 확인")</f>
        <v/>
      </c>
      <c r="E836" s="34" t="n"/>
      <c r="F836" s="34" t="n"/>
      <c r="G836" s="28" t="n"/>
      <c r="H836" s="33">
        <f>IF(OR(E836="",F836=""),"",ROUND(MOD(F836-E836,1)*24-N(G836),2))</f>
        <v/>
      </c>
      <c r="I836" s="33">
        <f>IF(H836="","",ROUND(MAX(0,H836-8),2))</f>
        <v/>
      </c>
      <c r="J836" s="33">
        <f>IF(OR(E836="",F836=""),"",ROUND(IF(MOD(F836,1)&gt;=TIME(22,0,0),(MOD(F836,1)-TIME(22,0,0))*24,IF(MOD(F836,1)&lt;TIME(6,0,0),(MOD(F836,1)+1-TIME(22,0,0))*24,0)),2))</f>
        <v/>
      </c>
      <c r="K836" s="33">
        <f>IF(H836="","",ROUND(IF(L836="휴일근로",MIN(H836,8)*1.5+MAX(0,H836-8)*2,I836*1.5)+N(J836)*0.5,2))</f>
        <v/>
      </c>
      <c r="L836" s="18" t="n"/>
      <c r="M836" s="18" t="n"/>
      <c r="N836" s="22" t="n"/>
    </row>
    <row r="837">
      <c r="A837" s="19" t="n"/>
      <c r="B837" s="25">
        <f>IF(A837="","",CHOOSE(WEEKDAY(A837,2),"월","화","수","목","금","토","일"))</f>
        <v/>
      </c>
      <c r="C837" s="18" t="n"/>
      <c r="D837" s="25">
        <f>IFERROR(IF(C837="","",INDEX(직원명부!$B$5:$B$24,MATCH(C837,직원명부!$A$5:$A$24,0))),"사번 확인")</f>
        <v/>
      </c>
      <c r="E837" s="34" t="n"/>
      <c r="F837" s="34" t="n"/>
      <c r="G837" s="28" t="n"/>
      <c r="H837" s="33">
        <f>IF(OR(E837="",F837=""),"",ROUND(MOD(F837-E837,1)*24-N(G837),2))</f>
        <v/>
      </c>
      <c r="I837" s="33">
        <f>IF(H837="","",ROUND(MAX(0,H837-8),2))</f>
        <v/>
      </c>
      <c r="J837" s="33">
        <f>IF(OR(E837="",F837=""),"",ROUND(IF(MOD(F837,1)&gt;=TIME(22,0,0),(MOD(F837,1)-TIME(22,0,0))*24,IF(MOD(F837,1)&lt;TIME(6,0,0),(MOD(F837,1)+1-TIME(22,0,0))*24,0)),2))</f>
        <v/>
      </c>
      <c r="K837" s="33">
        <f>IF(H837="","",ROUND(IF(L837="휴일근로",MIN(H837,8)*1.5+MAX(0,H837-8)*2,I837*1.5)+N(J837)*0.5,2))</f>
        <v/>
      </c>
      <c r="L837" s="18" t="n"/>
      <c r="M837" s="18" t="n"/>
      <c r="N837" s="22" t="n"/>
    </row>
    <row r="838">
      <c r="A838" s="19" t="n"/>
      <c r="B838" s="25">
        <f>IF(A838="","",CHOOSE(WEEKDAY(A838,2),"월","화","수","목","금","토","일"))</f>
        <v/>
      </c>
      <c r="C838" s="18" t="n"/>
      <c r="D838" s="25">
        <f>IFERROR(IF(C838="","",INDEX(직원명부!$B$5:$B$24,MATCH(C838,직원명부!$A$5:$A$24,0))),"사번 확인")</f>
        <v/>
      </c>
      <c r="E838" s="34" t="n"/>
      <c r="F838" s="34" t="n"/>
      <c r="G838" s="28" t="n"/>
      <c r="H838" s="33">
        <f>IF(OR(E838="",F838=""),"",ROUND(MOD(F838-E838,1)*24-N(G838),2))</f>
        <v/>
      </c>
      <c r="I838" s="33">
        <f>IF(H838="","",ROUND(MAX(0,H838-8),2))</f>
        <v/>
      </c>
      <c r="J838" s="33">
        <f>IF(OR(E838="",F838=""),"",ROUND(IF(MOD(F838,1)&gt;=TIME(22,0,0),(MOD(F838,1)-TIME(22,0,0))*24,IF(MOD(F838,1)&lt;TIME(6,0,0),(MOD(F838,1)+1-TIME(22,0,0))*24,0)),2))</f>
        <v/>
      </c>
      <c r="K838" s="33">
        <f>IF(H838="","",ROUND(IF(L838="휴일근로",MIN(H838,8)*1.5+MAX(0,H838-8)*2,I838*1.5)+N(J838)*0.5,2))</f>
        <v/>
      </c>
      <c r="L838" s="18" t="n"/>
      <c r="M838" s="18" t="n"/>
      <c r="N838" s="22" t="n"/>
    </row>
    <row r="839">
      <c r="A839" s="19" t="n"/>
      <c r="B839" s="25">
        <f>IF(A839="","",CHOOSE(WEEKDAY(A839,2),"월","화","수","목","금","토","일"))</f>
        <v/>
      </c>
      <c r="C839" s="18" t="n"/>
      <c r="D839" s="25">
        <f>IFERROR(IF(C839="","",INDEX(직원명부!$B$5:$B$24,MATCH(C839,직원명부!$A$5:$A$24,0))),"사번 확인")</f>
        <v/>
      </c>
      <c r="E839" s="34" t="n"/>
      <c r="F839" s="34" t="n"/>
      <c r="G839" s="28" t="n"/>
      <c r="H839" s="33">
        <f>IF(OR(E839="",F839=""),"",ROUND(MOD(F839-E839,1)*24-N(G839),2))</f>
        <v/>
      </c>
      <c r="I839" s="33">
        <f>IF(H839="","",ROUND(MAX(0,H839-8),2))</f>
        <v/>
      </c>
      <c r="J839" s="33">
        <f>IF(OR(E839="",F839=""),"",ROUND(IF(MOD(F839,1)&gt;=TIME(22,0,0),(MOD(F839,1)-TIME(22,0,0))*24,IF(MOD(F839,1)&lt;TIME(6,0,0),(MOD(F839,1)+1-TIME(22,0,0))*24,0)),2))</f>
        <v/>
      </c>
      <c r="K839" s="33">
        <f>IF(H839="","",ROUND(IF(L839="휴일근로",MIN(H839,8)*1.5+MAX(0,H839-8)*2,I839*1.5)+N(J839)*0.5,2))</f>
        <v/>
      </c>
      <c r="L839" s="18" t="n"/>
      <c r="M839" s="18" t="n"/>
      <c r="N839" s="22" t="n"/>
    </row>
    <row r="840">
      <c r="A840" s="19" t="n"/>
      <c r="B840" s="25">
        <f>IF(A840="","",CHOOSE(WEEKDAY(A840,2),"월","화","수","목","금","토","일"))</f>
        <v/>
      </c>
      <c r="C840" s="18" t="n"/>
      <c r="D840" s="25">
        <f>IFERROR(IF(C840="","",INDEX(직원명부!$B$5:$B$24,MATCH(C840,직원명부!$A$5:$A$24,0))),"사번 확인")</f>
        <v/>
      </c>
      <c r="E840" s="34" t="n"/>
      <c r="F840" s="34" t="n"/>
      <c r="G840" s="28" t="n"/>
      <c r="H840" s="33">
        <f>IF(OR(E840="",F840=""),"",ROUND(MOD(F840-E840,1)*24-N(G840),2))</f>
        <v/>
      </c>
      <c r="I840" s="33">
        <f>IF(H840="","",ROUND(MAX(0,H840-8),2))</f>
        <v/>
      </c>
      <c r="J840" s="33">
        <f>IF(OR(E840="",F840=""),"",ROUND(IF(MOD(F840,1)&gt;=TIME(22,0,0),(MOD(F840,1)-TIME(22,0,0))*24,IF(MOD(F840,1)&lt;TIME(6,0,0),(MOD(F840,1)+1-TIME(22,0,0))*24,0)),2))</f>
        <v/>
      </c>
      <c r="K840" s="33">
        <f>IF(H840="","",ROUND(IF(L840="휴일근로",MIN(H840,8)*1.5+MAX(0,H840-8)*2,I840*1.5)+N(J840)*0.5,2))</f>
        <v/>
      </c>
      <c r="L840" s="18" t="n"/>
      <c r="M840" s="18" t="n"/>
      <c r="N840" s="22" t="n"/>
    </row>
    <row r="841">
      <c r="A841" s="19" t="n"/>
      <c r="B841" s="25">
        <f>IF(A841="","",CHOOSE(WEEKDAY(A841,2),"월","화","수","목","금","토","일"))</f>
        <v/>
      </c>
      <c r="C841" s="18" t="n"/>
      <c r="D841" s="25">
        <f>IFERROR(IF(C841="","",INDEX(직원명부!$B$5:$B$24,MATCH(C841,직원명부!$A$5:$A$24,0))),"사번 확인")</f>
        <v/>
      </c>
      <c r="E841" s="34" t="n"/>
      <c r="F841" s="34" t="n"/>
      <c r="G841" s="28" t="n"/>
      <c r="H841" s="33">
        <f>IF(OR(E841="",F841=""),"",ROUND(MOD(F841-E841,1)*24-N(G841),2))</f>
        <v/>
      </c>
      <c r="I841" s="33">
        <f>IF(H841="","",ROUND(MAX(0,H841-8),2))</f>
        <v/>
      </c>
      <c r="J841" s="33">
        <f>IF(OR(E841="",F841=""),"",ROUND(IF(MOD(F841,1)&gt;=TIME(22,0,0),(MOD(F841,1)-TIME(22,0,0))*24,IF(MOD(F841,1)&lt;TIME(6,0,0),(MOD(F841,1)+1-TIME(22,0,0))*24,0)),2))</f>
        <v/>
      </c>
      <c r="K841" s="33">
        <f>IF(H841="","",ROUND(IF(L841="휴일근로",MIN(H841,8)*1.5+MAX(0,H841-8)*2,I841*1.5)+N(J841)*0.5,2))</f>
        <v/>
      </c>
      <c r="L841" s="18" t="n"/>
      <c r="M841" s="18" t="n"/>
      <c r="N841" s="22" t="n"/>
    </row>
    <row r="842">
      <c r="A842" s="19" t="n"/>
      <c r="B842" s="25">
        <f>IF(A842="","",CHOOSE(WEEKDAY(A842,2),"월","화","수","목","금","토","일"))</f>
        <v/>
      </c>
      <c r="C842" s="18" t="n"/>
      <c r="D842" s="25">
        <f>IFERROR(IF(C842="","",INDEX(직원명부!$B$5:$B$24,MATCH(C842,직원명부!$A$5:$A$24,0))),"사번 확인")</f>
        <v/>
      </c>
      <c r="E842" s="34" t="n"/>
      <c r="F842" s="34" t="n"/>
      <c r="G842" s="28" t="n"/>
      <c r="H842" s="33">
        <f>IF(OR(E842="",F842=""),"",ROUND(MOD(F842-E842,1)*24-N(G842),2))</f>
        <v/>
      </c>
      <c r="I842" s="33">
        <f>IF(H842="","",ROUND(MAX(0,H842-8),2))</f>
        <v/>
      </c>
      <c r="J842" s="33">
        <f>IF(OR(E842="",F842=""),"",ROUND(IF(MOD(F842,1)&gt;=TIME(22,0,0),(MOD(F842,1)-TIME(22,0,0))*24,IF(MOD(F842,1)&lt;TIME(6,0,0),(MOD(F842,1)+1-TIME(22,0,0))*24,0)),2))</f>
        <v/>
      </c>
      <c r="K842" s="33">
        <f>IF(H842="","",ROUND(IF(L842="휴일근로",MIN(H842,8)*1.5+MAX(0,H842-8)*2,I842*1.5)+N(J842)*0.5,2))</f>
        <v/>
      </c>
      <c r="L842" s="18" t="n"/>
      <c r="M842" s="18" t="n"/>
      <c r="N842" s="22" t="n"/>
    </row>
    <row r="843">
      <c r="A843" s="19" t="n"/>
      <c r="B843" s="25">
        <f>IF(A843="","",CHOOSE(WEEKDAY(A843,2),"월","화","수","목","금","토","일"))</f>
        <v/>
      </c>
      <c r="C843" s="18" t="n"/>
      <c r="D843" s="25">
        <f>IFERROR(IF(C843="","",INDEX(직원명부!$B$5:$B$24,MATCH(C843,직원명부!$A$5:$A$24,0))),"사번 확인")</f>
        <v/>
      </c>
      <c r="E843" s="34" t="n"/>
      <c r="F843" s="34" t="n"/>
      <c r="G843" s="28" t="n"/>
      <c r="H843" s="33">
        <f>IF(OR(E843="",F843=""),"",ROUND(MOD(F843-E843,1)*24-N(G843),2))</f>
        <v/>
      </c>
      <c r="I843" s="33">
        <f>IF(H843="","",ROUND(MAX(0,H843-8),2))</f>
        <v/>
      </c>
      <c r="J843" s="33">
        <f>IF(OR(E843="",F843=""),"",ROUND(IF(MOD(F843,1)&gt;=TIME(22,0,0),(MOD(F843,1)-TIME(22,0,0))*24,IF(MOD(F843,1)&lt;TIME(6,0,0),(MOD(F843,1)+1-TIME(22,0,0))*24,0)),2))</f>
        <v/>
      </c>
      <c r="K843" s="33">
        <f>IF(H843="","",ROUND(IF(L843="휴일근로",MIN(H843,8)*1.5+MAX(0,H843-8)*2,I843*1.5)+N(J843)*0.5,2))</f>
        <v/>
      </c>
      <c r="L843" s="18" t="n"/>
      <c r="M843" s="18" t="n"/>
      <c r="N843" s="22" t="n"/>
    </row>
    <row r="844">
      <c r="A844" s="19" t="n"/>
      <c r="B844" s="25">
        <f>IF(A844="","",CHOOSE(WEEKDAY(A844,2),"월","화","수","목","금","토","일"))</f>
        <v/>
      </c>
      <c r="C844" s="18" t="n"/>
      <c r="D844" s="25">
        <f>IFERROR(IF(C844="","",INDEX(직원명부!$B$5:$B$24,MATCH(C844,직원명부!$A$5:$A$24,0))),"사번 확인")</f>
        <v/>
      </c>
      <c r="E844" s="34" t="n"/>
      <c r="F844" s="34" t="n"/>
      <c r="G844" s="28" t="n"/>
      <c r="H844" s="33">
        <f>IF(OR(E844="",F844=""),"",ROUND(MOD(F844-E844,1)*24-N(G844),2))</f>
        <v/>
      </c>
      <c r="I844" s="33">
        <f>IF(H844="","",ROUND(MAX(0,H844-8),2))</f>
        <v/>
      </c>
      <c r="J844" s="33">
        <f>IF(OR(E844="",F844=""),"",ROUND(IF(MOD(F844,1)&gt;=TIME(22,0,0),(MOD(F844,1)-TIME(22,0,0))*24,IF(MOD(F844,1)&lt;TIME(6,0,0),(MOD(F844,1)+1-TIME(22,0,0))*24,0)),2))</f>
        <v/>
      </c>
      <c r="K844" s="33">
        <f>IF(H844="","",ROUND(IF(L844="휴일근로",MIN(H844,8)*1.5+MAX(0,H844-8)*2,I844*1.5)+N(J844)*0.5,2))</f>
        <v/>
      </c>
      <c r="L844" s="18" t="n"/>
      <c r="M844" s="18" t="n"/>
      <c r="N844" s="22" t="n"/>
    </row>
    <row r="845">
      <c r="A845" s="19" t="n"/>
      <c r="B845" s="25">
        <f>IF(A845="","",CHOOSE(WEEKDAY(A845,2),"월","화","수","목","금","토","일"))</f>
        <v/>
      </c>
      <c r="C845" s="18" t="n"/>
      <c r="D845" s="25">
        <f>IFERROR(IF(C845="","",INDEX(직원명부!$B$5:$B$24,MATCH(C845,직원명부!$A$5:$A$24,0))),"사번 확인")</f>
        <v/>
      </c>
      <c r="E845" s="34" t="n"/>
      <c r="F845" s="34" t="n"/>
      <c r="G845" s="28" t="n"/>
      <c r="H845" s="33">
        <f>IF(OR(E845="",F845=""),"",ROUND(MOD(F845-E845,1)*24-N(G845),2))</f>
        <v/>
      </c>
      <c r="I845" s="33">
        <f>IF(H845="","",ROUND(MAX(0,H845-8),2))</f>
        <v/>
      </c>
      <c r="J845" s="33">
        <f>IF(OR(E845="",F845=""),"",ROUND(IF(MOD(F845,1)&gt;=TIME(22,0,0),(MOD(F845,1)-TIME(22,0,0))*24,IF(MOD(F845,1)&lt;TIME(6,0,0),(MOD(F845,1)+1-TIME(22,0,0))*24,0)),2))</f>
        <v/>
      </c>
      <c r="K845" s="33">
        <f>IF(H845="","",ROUND(IF(L845="휴일근로",MIN(H845,8)*1.5+MAX(0,H845-8)*2,I845*1.5)+N(J845)*0.5,2))</f>
        <v/>
      </c>
      <c r="L845" s="18" t="n"/>
      <c r="M845" s="18" t="n"/>
      <c r="N845" s="22" t="n"/>
    </row>
    <row r="846">
      <c r="A846" s="19" t="n"/>
      <c r="B846" s="25">
        <f>IF(A846="","",CHOOSE(WEEKDAY(A846,2),"월","화","수","목","금","토","일"))</f>
        <v/>
      </c>
      <c r="C846" s="18" t="n"/>
      <c r="D846" s="25">
        <f>IFERROR(IF(C846="","",INDEX(직원명부!$B$5:$B$24,MATCH(C846,직원명부!$A$5:$A$24,0))),"사번 확인")</f>
        <v/>
      </c>
      <c r="E846" s="34" t="n"/>
      <c r="F846" s="34" t="n"/>
      <c r="G846" s="28" t="n"/>
      <c r="H846" s="33">
        <f>IF(OR(E846="",F846=""),"",ROUND(MOD(F846-E846,1)*24-N(G846),2))</f>
        <v/>
      </c>
      <c r="I846" s="33">
        <f>IF(H846="","",ROUND(MAX(0,H846-8),2))</f>
        <v/>
      </c>
      <c r="J846" s="33">
        <f>IF(OR(E846="",F846=""),"",ROUND(IF(MOD(F846,1)&gt;=TIME(22,0,0),(MOD(F846,1)-TIME(22,0,0))*24,IF(MOD(F846,1)&lt;TIME(6,0,0),(MOD(F846,1)+1-TIME(22,0,0))*24,0)),2))</f>
        <v/>
      </c>
      <c r="K846" s="33">
        <f>IF(H846="","",ROUND(IF(L846="휴일근로",MIN(H846,8)*1.5+MAX(0,H846-8)*2,I846*1.5)+N(J846)*0.5,2))</f>
        <v/>
      </c>
      <c r="L846" s="18" t="n"/>
      <c r="M846" s="18" t="n"/>
      <c r="N846" s="22" t="n"/>
    </row>
    <row r="847">
      <c r="A847" s="19" t="n"/>
      <c r="B847" s="25">
        <f>IF(A847="","",CHOOSE(WEEKDAY(A847,2),"월","화","수","목","금","토","일"))</f>
        <v/>
      </c>
      <c r="C847" s="18" t="n"/>
      <c r="D847" s="25">
        <f>IFERROR(IF(C847="","",INDEX(직원명부!$B$5:$B$24,MATCH(C847,직원명부!$A$5:$A$24,0))),"사번 확인")</f>
        <v/>
      </c>
      <c r="E847" s="34" t="n"/>
      <c r="F847" s="34" t="n"/>
      <c r="G847" s="28" t="n"/>
      <c r="H847" s="33">
        <f>IF(OR(E847="",F847=""),"",ROUND(MOD(F847-E847,1)*24-N(G847),2))</f>
        <v/>
      </c>
      <c r="I847" s="33">
        <f>IF(H847="","",ROUND(MAX(0,H847-8),2))</f>
        <v/>
      </c>
      <c r="J847" s="33">
        <f>IF(OR(E847="",F847=""),"",ROUND(IF(MOD(F847,1)&gt;=TIME(22,0,0),(MOD(F847,1)-TIME(22,0,0))*24,IF(MOD(F847,1)&lt;TIME(6,0,0),(MOD(F847,1)+1-TIME(22,0,0))*24,0)),2))</f>
        <v/>
      </c>
      <c r="K847" s="33">
        <f>IF(H847="","",ROUND(IF(L847="휴일근로",MIN(H847,8)*1.5+MAX(0,H847-8)*2,I847*1.5)+N(J847)*0.5,2))</f>
        <v/>
      </c>
      <c r="L847" s="18" t="n"/>
      <c r="M847" s="18" t="n"/>
      <c r="N847" s="22" t="n"/>
    </row>
    <row r="848">
      <c r="A848" s="19" t="n"/>
      <c r="B848" s="25">
        <f>IF(A848="","",CHOOSE(WEEKDAY(A848,2),"월","화","수","목","금","토","일"))</f>
        <v/>
      </c>
      <c r="C848" s="18" t="n"/>
      <c r="D848" s="25">
        <f>IFERROR(IF(C848="","",INDEX(직원명부!$B$5:$B$24,MATCH(C848,직원명부!$A$5:$A$24,0))),"사번 확인")</f>
        <v/>
      </c>
      <c r="E848" s="34" t="n"/>
      <c r="F848" s="34" t="n"/>
      <c r="G848" s="28" t="n"/>
      <c r="H848" s="33">
        <f>IF(OR(E848="",F848=""),"",ROUND(MOD(F848-E848,1)*24-N(G848),2))</f>
        <v/>
      </c>
      <c r="I848" s="33">
        <f>IF(H848="","",ROUND(MAX(0,H848-8),2))</f>
        <v/>
      </c>
      <c r="J848" s="33">
        <f>IF(OR(E848="",F848=""),"",ROUND(IF(MOD(F848,1)&gt;=TIME(22,0,0),(MOD(F848,1)-TIME(22,0,0))*24,IF(MOD(F848,1)&lt;TIME(6,0,0),(MOD(F848,1)+1-TIME(22,0,0))*24,0)),2))</f>
        <v/>
      </c>
      <c r="K848" s="33">
        <f>IF(H848="","",ROUND(IF(L848="휴일근로",MIN(H848,8)*1.5+MAX(0,H848-8)*2,I848*1.5)+N(J848)*0.5,2))</f>
        <v/>
      </c>
      <c r="L848" s="18" t="n"/>
      <c r="M848" s="18" t="n"/>
      <c r="N848" s="22" t="n"/>
    </row>
    <row r="849">
      <c r="A849" s="19" t="n"/>
      <c r="B849" s="25">
        <f>IF(A849="","",CHOOSE(WEEKDAY(A849,2),"월","화","수","목","금","토","일"))</f>
        <v/>
      </c>
      <c r="C849" s="18" t="n"/>
      <c r="D849" s="25">
        <f>IFERROR(IF(C849="","",INDEX(직원명부!$B$5:$B$24,MATCH(C849,직원명부!$A$5:$A$24,0))),"사번 확인")</f>
        <v/>
      </c>
      <c r="E849" s="34" t="n"/>
      <c r="F849" s="34" t="n"/>
      <c r="G849" s="28" t="n"/>
      <c r="H849" s="33">
        <f>IF(OR(E849="",F849=""),"",ROUND(MOD(F849-E849,1)*24-N(G849),2))</f>
        <v/>
      </c>
      <c r="I849" s="33">
        <f>IF(H849="","",ROUND(MAX(0,H849-8),2))</f>
        <v/>
      </c>
      <c r="J849" s="33">
        <f>IF(OR(E849="",F849=""),"",ROUND(IF(MOD(F849,1)&gt;=TIME(22,0,0),(MOD(F849,1)-TIME(22,0,0))*24,IF(MOD(F849,1)&lt;TIME(6,0,0),(MOD(F849,1)+1-TIME(22,0,0))*24,0)),2))</f>
        <v/>
      </c>
      <c r="K849" s="33">
        <f>IF(H849="","",ROUND(IF(L849="휴일근로",MIN(H849,8)*1.5+MAX(0,H849-8)*2,I849*1.5)+N(J849)*0.5,2))</f>
        <v/>
      </c>
      <c r="L849" s="18" t="n"/>
      <c r="M849" s="18" t="n"/>
      <c r="N849" s="22" t="n"/>
    </row>
    <row r="850">
      <c r="A850" s="19" t="n"/>
      <c r="B850" s="25">
        <f>IF(A850="","",CHOOSE(WEEKDAY(A850,2),"월","화","수","목","금","토","일"))</f>
        <v/>
      </c>
      <c r="C850" s="18" t="n"/>
      <c r="D850" s="25">
        <f>IFERROR(IF(C850="","",INDEX(직원명부!$B$5:$B$24,MATCH(C850,직원명부!$A$5:$A$24,0))),"사번 확인")</f>
        <v/>
      </c>
      <c r="E850" s="34" t="n"/>
      <c r="F850" s="34" t="n"/>
      <c r="G850" s="28" t="n"/>
      <c r="H850" s="33">
        <f>IF(OR(E850="",F850=""),"",ROUND(MOD(F850-E850,1)*24-N(G850),2))</f>
        <v/>
      </c>
      <c r="I850" s="33">
        <f>IF(H850="","",ROUND(MAX(0,H850-8),2))</f>
        <v/>
      </c>
      <c r="J850" s="33">
        <f>IF(OR(E850="",F850=""),"",ROUND(IF(MOD(F850,1)&gt;=TIME(22,0,0),(MOD(F850,1)-TIME(22,0,0))*24,IF(MOD(F850,1)&lt;TIME(6,0,0),(MOD(F850,1)+1-TIME(22,0,0))*24,0)),2))</f>
        <v/>
      </c>
      <c r="K850" s="33">
        <f>IF(H850="","",ROUND(IF(L850="휴일근로",MIN(H850,8)*1.5+MAX(0,H850-8)*2,I850*1.5)+N(J850)*0.5,2))</f>
        <v/>
      </c>
      <c r="L850" s="18" t="n"/>
      <c r="M850" s="18" t="n"/>
      <c r="N850" s="22" t="n"/>
    </row>
    <row r="851">
      <c r="A851" s="19" t="n"/>
      <c r="B851" s="25">
        <f>IF(A851="","",CHOOSE(WEEKDAY(A851,2),"월","화","수","목","금","토","일"))</f>
        <v/>
      </c>
      <c r="C851" s="18" t="n"/>
      <c r="D851" s="25">
        <f>IFERROR(IF(C851="","",INDEX(직원명부!$B$5:$B$24,MATCH(C851,직원명부!$A$5:$A$24,0))),"사번 확인")</f>
        <v/>
      </c>
      <c r="E851" s="34" t="n"/>
      <c r="F851" s="34" t="n"/>
      <c r="G851" s="28" t="n"/>
      <c r="H851" s="33">
        <f>IF(OR(E851="",F851=""),"",ROUND(MOD(F851-E851,1)*24-N(G851),2))</f>
        <v/>
      </c>
      <c r="I851" s="33">
        <f>IF(H851="","",ROUND(MAX(0,H851-8),2))</f>
        <v/>
      </c>
      <c r="J851" s="33">
        <f>IF(OR(E851="",F851=""),"",ROUND(IF(MOD(F851,1)&gt;=TIME(22,0,0),(MOD(F851,1)-TIME(22,0,0))*24,IF(MOD(F851,1)&lt;TIME(6,0,0),(MOD(F851,1)+1-TIME(22,0,0))*24,0)),2))</f>
        <v/>
      </c>
      <c r="K851" s="33">
        <f>IF(H851="","",ROUND(IF(L851="휴일근로",MIN(H851,8)*1.5+MAX(0,H851-8)*2,I851*1.5)+N(J851)*0.5,2))</f>
        <v/>
      </c>
      <c r="L851" s="18" t="n"/>
      <c r="M851" s="18" t="n"/>
      <c r="N851" s="22" t="n"/>
    </row>
    <row r="852">
      <c r="A852" s="19" t="n"/>
      <c r="B852" s="25">
        <f>IF(A852="","",CHOOSE(WEEKDAY(A852,2),"월","화","수","목","금","토","일"))</f>
        <v/>
      </c>
      <c r="C852" s="18" t="n"/>
      <c r="D852" s="25">
        <f>IFERROR(IF(C852="","",INDEX(직원명부!$B$5:$B$24,MATCH(C852,직원명부!$A$5:$A$24,0))),"사번 확인")</f>
        <v/>
      </c>
      <c r="E852" s="34" t="n"/>
      <c r="F852" s="34" t="n"/>
      <c r="G852" s="28" t="n"/>
      <c r="H852" s="33">
        <f>IF(OR(E852="",F852=""),"",ROUND(MOD(F852-E852,1)*24-N(G852),2))</f>
        <v/>
      </c>
      <c r="I852" s="33">
        <f>IF(H852="","",ROUND(MAX(0,H852-8),2))</f>
        <v/>
      </c>
      <c r="J852" s="33">
        <f>IF(OR(E852="",F852=""),"",ROUND(IF(MOD(F852,1)&gt;=TIME(22,0,0),(MOD(F852,1)-TIME(22,0,0))*24,IF(MOD(F852,1)&lt;TIME(6,0,0),(MOD(F852,1)+1-TIME(22,0,0))*24,0)),2))</f>
        <v/>
      </c>
      <c r="K852" s="33">
        <f>IF(H852="","",ROUND(IF(L852="휴일근로",MIN(H852,8)*1.5+MAX(0,H852-8)*2,I852*1.5)+N(J852)*0.5,2))</f>
        <v/>
      </c>
      <c r="L852" s="18" t="n"/>
      <c r="M852" s="18" t="n"/>
      <c r="N852" s="22" t="n"/>
    </row>
    <row r="853">
      <c r="A853" s="19" t="n"/>
      <c r="B853" s="25">
        <f>IF(A853="","",CHOOSE(WEEKDAY(A853,2),"월","화","수","목","금","토","일"))</f>
        <v/>
      </c>
      <c r="C853" s="18" t="n"/>
      <c r="D853" s="25">
        <f>IFERROR(IF(C853="","",INDEX(직원명부!$B$5:$B$24,MATCH(C853,직원명부!$A$5:$A$24,0))),"사번 확인")</f>
        <v/>
      </c>
      <c r="E853" s="34" t="n"/>
      <c r="F853" s="34" t="n"/>
      <c r="G853" s="28" t="n"/>
      <c r="H853" s="33">
        <f>IF(OR(E853="",F853=""),"",ROUND(MOD(F853-E853,1)*24-N(G853),2))</f>
        <v/>
      </c>
      <c r="I853" s="33">
        <f>IF(H853="","",ROUND(MAX(0,H853-8),2))</f>
        <v/>
      </c>
      <c r="J853" s="33">
        <f>IF(OR(E853="",F853=""),"",ROUND(IF(MOD(F853,1)&gt;=TIME(22,0,0),(MOD(F853,1)-TIME(22,0,0))*24,IF(MOD(F853,1)&lt;TIME(6,0,0),(MOD(F853,1)+1-TIME(22,0,0))*24,0)),2))</f>
        <v/>
      </c>
      <c r="K853" s="33">
        <f>IF(H853="","",ROUND(IF(L853="휴일근로",MIN(H853,8)*1.5+MAX(0,H853-8)*2,I853*1.5)+N(J853)*0.5,2))</f>
        <v/>
      </c>
      <c r="L853" s="18" t="n"/>
      <c r="M853" s="18" t="n"/>
      <c r="N853" s="22" t="n"/>
    </row>
    <row r="854">
      <c r="A854" s="19" t="n"/>
      <c r="B854" s="25">
        <f>IF(A854="","",CHOOSE(WEEKDAY(A854,2),"월","화","수","목","금","토","일"))</f>
        <v/>
      </c>
      <c r="C854" s="18" t="n"/>
      <c r="D854" s="25">
        <f>IFERROR(IF(C854="","",INDEX(직원명부!$B$5:$B$24,MATCH(C854,직원명부!$A$5:$A$24,0))),"사번 확인")</f>
        <v/>
      </c>
      <c r="E854" s="34" t="n"/>
      <c r="F854" s="34" t="n"/>
      <c r="G854" s="28" t="n"/>
      <c r="H854" s="33">
        <f>IF(OR(E854="",F854=""),"",ROUND(MOD(F854-E854,1)*24-N(G854),2))</f>
        <v/>
      </c>
      <c r="I854" s="33">
        <f>IF(H854="","",ROUND(MAX(0,H854-8),2))</f>
        <v/>
      </c>
      <c r="J854" s="33">
        <f>IF(OR(E854="",F854=""),"",ROUND(IF(MOD(F854,1)&gt;=TIME(22,0,0),(MOD(F854,1)-TIME(22,0,0))*24,IF(MOD(F854,1)&lt;TIME(6,0,0),(MOD(F854,1)+1-TIME(22,0,0))*24,0)),2))</f>
        <v/>
      </c>
      <c r="K854" s="33">
        <f>IF(H854="","",ROUND(IF(L854="휴일근로",MIN(H854,8)*1.5+MAX(0,H854-8)*2,I854*1.5)+N(J854)*0.5,2))</f>
        <v/>
      </c>
      <c r="L854" s="18" t="n"/>
      <c r="M854" s="18" t="n"/>
      <c r="N854" s="22" t="n"/>
    </row>
    <row r="855">
      <c r="A855" s="19" t="n"/>
      <c r="B855" s="25">
        <f>IF(A855="","",CHOOSE(WEEKDAY(A855,2),"월","화","수","목","금","토","일"))</f>
        <v/>
      </c>
      <c r="C855" s="18" t="n"/>
      <c r="D855" s="25">
        <f>IFERROR(IF(C855="","",INDEX(직원명부!$B$5:$B$24,MATCH(C855,직원명부!$A$5:$A$24,0))),"사번 확인")</f>
        <v/>
      </c>
      <c r="E855" s="34" t="n"/>
      <c r="F855" s="34" t="n"/>
      <c r="G855" s="28" t="n"/>
      <c r="H855" s="33">
        <f>IF(OR(E855="",F855=""),"",ROUND(MOD(F855-E855,1)*24-N(G855),2))</f>
        <v/>
      </c>
      <c r="I855" s="33">
        <f>IF(H855="","",ROUND(MAX(0,H855-8),2))</f>
        <v/>
      </c>
      <c r="J855" s="33">
        <f>IF(OR(E855="",F855=""),"",ROUND(IF(MOD(F855,1)&gt;=TIME(22,0,0),(MOD(F855,1)-TIME(22,0,0))*24,IF(MOD(F855,1)&lt;TIME(6,0,0),(MOD(F855,1)+1-TIME(22,0,0))*24,0)),2))</f>
        <v/>
      </c>
      <c r="K855" s="33">
        <f>IF(H855="","",ROUND(IF(L855="휴일근로",MIN(H855,8)*1.5+MAX(0,H855-8)*2,I855*1.5)+N(J855)*0.5,2))</f>
        <v/>
      </c>
      <c r="L855" s="18" t="n"/>
      <c r="M855" s="18" t="n"/>
      <c r="N855" s="22" t="n"/>
    </row>
    <row r="856">
      <c r="A856" s="19" t="n"/>
      <c r="B856" s="25">
        <f>IF(A856="","",CHOOSE(WEEKDAY(A856,2),"월","화","수","목","금","토","일"))</f>
        <v/>
      </c>
      <c r="C856" s="18" t="n"/>
      <c r="D856" s="25">
        <f>IFERROR(IF(C856="","",INDEX(직원명부!$B$5:$B$24,MATCH(C856,직원명부!$A$5:$A$24,0))),"사번 확인")</f>
        <v/>
      </c>
      <c r="E856" s="34" t="n"/>
      <c r="F856" s="34" t="n"/>
      <c r="G856" s="28" t="n"/>
      <c r="H856" s="33">
        <f>IF(OR(E856="",F856=""),"",ROUND(MOD(F856-E856,1)*24-N(G856),2))</f>
        <v/>
      </c>
      <c r="I856" s="33">
        <f>IF(H856="","",ROUND(MAX(0,H856-8),2))</f>
        <v/>
      </c>
      <c r="J856" s="33">
        <f>IF(OR(E856="",F856=""),"",ROUND(IF(MOD(F856,1)&gt;=TIME(22,0,0),(MOD(F856,1)-TIME(22,0,0))*24,IF(MOD(F856,1)&lt;TIME(6,0,0),(MOD(F856,1)+1-TIME(22,0,0))*24,0)),2))</f>
        <v/>
      </c>
      <c r="K856" s="33">
        <f>IF(H856="","",ROUND(IF(L856="휴일근로",MIN(H856,8)*1.5+MAX(0,H856-8)*2,I856*1.5)+N(J856)*0.5,2))</f>
        <v/>
      </c>
      <c r="L856" s="18" t="n"/>
      <c r="M856" s="18" t="n"/>
      <c r="N856" s="22" t="n"/>
    </row>
    <row r="857">
      <c r="A857" s="19" t="n"/>
      <c r="B857" s="25">
        <f>IF(A857="","",CHOOSE(WEEKDAY(A857,2),"월","화","수","목","금","토","일"))</f>
        <v/>
      </c>
      <c r="C857" s="18" t="n"/>
      <c r="D857" s="25">
        <f>IFERROR(IF(C857="","",INDEX(직원명부!$B$5:$B$24,MATCH(C857,직원명부!$A$5:$A$24,0))),"사번 확인")</f>
        <v/>
      </c>
      <c r="E857" s="34" t="n"/>
      <c r="F857" s="34" t="n"/>
      <c r="G857" s="28" t="n"/>
      <c r="H857" s="33">
        <f>IF(OR(E857="",F857=""),"",ROUND(MOD(F857-E857,1)*24-N(G857),2))</f>
        <v/>
      </c>
      <c r="I857" s="33">
        <f>IF(H857="","",ROUND(MAX(0,H857-8),2))</f>
        <v/>
      </c>
      <c r="J857" s="33">
        <f>IF(OR(E857="",F857=""),"",ROUND(IF(MOD(F857,1)&gt;=TIME(22,0,0),(MOD(F857,1)-TIME(22,0,0))*24,IF(MOD(F857,1)&lt;TIME(6,0,0),(MOD(F857,1)+1-TIME(22,0,0))*24,0)),2))</f>
        <v/>
      </c>
      <c r="K857" s="33">
        <f>IF(H857="","",ROUND(IF(L857="휴일근로",MIN(H857,8)*1.5+MAX(0,H857-8)*2,I857*1.5)+N(J857)*0.5,2))</f>
        <v/>
      </c>
      <c r="L857" s="18" t="n"/>
      <c r="M857" s="18" t="n"/>
      <c r="N857" s="22" t="n"/>
    </row>
    <row r="858">
      <c r="A858" s="19" t="n"/>
      <c r="B858" s="25">
        <f>IF(A858="","",CHOOSE(WEEKDAY(A858,2),"월","화","수","목","금","토","일"))</f>
        <v/>
      </c>
      <c r="C858" s="18" t="n"/>
      <c r="D858" s="25">
        <f>IFERROR(IF(C858="","",INDEX(직원명부!$B$5:$B$24,MATCH(C858,직원명부!$A$5:$A$24,0))),"사번 확인")</f>
        <v/>
      </c>
      <c r="E858" s="34" t="n"/>
      <c r="F858" s="34" t="n"/>
      <c r="G858" s="28" t="n"/>
      <c r="H858" s="33">
        <f>IF(OR(E858="",F858=""),"",ROUND(MOD(F858-E858,1)*24-N(G858),2))</f>
        <v/>
      </c>
      <c r="I858" s="33">
        <f>IF(H858="","",ROUND(MAX(0,H858-8),2))</f>
        <v/>
      </c>
      <c r="J858" s="33">
        <f>IF(OR(E858="",F858=""),"",ROUND(IF(MOD(F858,1)&gt;=TIME(22,0,0),(MOD(F858,1)-TIME(22,0,0))*24,IF(MOD(F858,1)&lt;TIME(6,0,0),(MOD(F858,1)+1-TIME(22,0,0))*24,0)),2))</f>
        <v/>
      </c>
      <c r="K858" s="33">
        <f>IF(H858="","",ROUND(IF(L858="휴일근로",MIN(H858,8)*1.5+MAX(0,H858-8)*2,I858*1.5)+N(J858)*0.5,2))</f>
        <v/>
      </c>
      <c r="L858" s="18" t="n"/>
      <c r="M858" s="18" t="n"/>
      <c r="N858" s="22" t="n"/>
    </row>
    <row r="859">
      <c r="A859" s="19" t="n"/>
      <c r="B859" s="25">
        <f>IF(A859="","",CHOOSE(WEEKDAY(A859,2),"월","화","수","목","금","토","일"))</f>
        <v/>
      </c>
      <c r="C859" s="18" t="n"/>
      <c r="D859" s="25">
        <f>IFERROR(IF(C859="","",INDEX(직원명부!$B$5:$B$24,MATCH(C859,직원명부!$A$5:$A$24,0))),"사번 확인")</f>
        <v/>
      </c>
      <c r="E859" s="34" t="n"/>
      <c r="F859" s="34" t="n"/>
      <c r="G859" s="28" t="n"/>
      <c r="H859" s="33">
        <f>IF(OR(E859="",F859=""),"",ROUND(MOD(F859-E859,1)*24-N(G859),2))</f>
        <v/>
      </c>
      <c r="I859" s="33">
        <f>IF(H859="","",ROUND(MAX(0,H859-8),2))</f>
        <v/>
      </c>
      <c r="J859" s="33">
        <f>IF(OR(E859="",F859=""),"",ROUND(IF(MOD(F859,1)&gt;=TIME(22,0,0),(MOD(F859,1)-TIME(22,0,0))*24,IF(MOD(F859,1)&lt;TIME(6,0,0),(MOD(F859,1)+1-TIME(22,0,0))*24,0)),2))</f>
        <v/>
      </c>
      <c r="K859" s="33">
        <f>IF(H859="","",ROUND(IF(L859="휴일근로",MIN(H859,8)*1.5+MAX(0,H859-8)*2,I859*1.5)+N(J859)*0.5,2))</f>
        <v/>
      </c>
      <c r="L859" s="18" t="n"/>
      <c r="M859" s="18" t="n"/>
      <c r="N859" s="22" t="n"/>
    </row>
    <row r="860">
      <c r="A860" s="19" t="n"/>
      <c r="B860" s="25">
        <f>IF(A860="","",CHOOSE(WEEKDAY(A860,2),"월","화","수","목","금","토","일"))</f>
        <v/>
      </c>
      <c r="C860" s="18" t="n"/>
      <c r="D860" s="25">
        <f>IFERROR(IF(C860="","",INDEX(직원명부!$B$5:$B$24,MATCH(C860,직원명부!$A$5:$A$24,0))),"사번 확인")</f>
        <v/>
      </c>
      <c r="E860" s="34" t="n"/>
      <c r="F860" s="34" t="n"/>
      <c r="G860" s="28" t="n"/>
      <c r="H860" s="33">
        <f>IF(OR(E860="",F860=""),"",ROUND(MOD(F860-E860,1)*24-N(G860),2))</f>
        <v/>
      </c>
      <c r="I860" s="33">
        <f>IF(H860="","",ROUND(MAX(0,H860-8),2))</f>
        <v/>
      </c>
      <c r="J860" s="33">
        <f>IF(OR(E860="",F860=""),"",ROUND(IF(MOD(F860,1)&gt;=TIME(22,0,0),(MOD(F860,1)-TIME(22,0,0))*24,IF(MOD(F860,1)&lt;TIME(6,0,0),(MOD(F860,1)+1-TIME(22,0,0))*24,0)),2))</f>
        <v/>
      </c>
      <c r="K860" s="33">
        <f>IF(H860="","",ROUND(IF(L860="휴일근로",MIN(H860,8)*1.5+MAX(0,H860-8)*2,I860*1.5)+N(J860)*0.5,2))</f>
        <v/>
      </c>
      <c r="L860" s="18" t="n"/>
      <c r="M860" s="18" t="n"/>
      <c r="N860" s="22" t="n"/>
    </row>
    <row r="861">
      <c r="A861" s="19" t="n"/>
      <c r="B861" s="25">
        <f>IF(A861="","",CHOOSE(WEEKDAY(A861,2),"월","화","수","목","금","토","일"))</f>
        <v/>
      </c>
      <c r="C861" s="18" t="n"/>
      <c r="D861" s="25">
        <f>IFERROR(IF(C861="","",INDEX(직원명부!$B$5:$B$24,MATCH(C861,직원명부!$A$5:$A$24,0))),"사번 확인")</f>
        <v/>
      </c>
      <c r="E861" s="34" t="n"/>
      <c r="F861" s="34" t="n"/>
      <c r="G861" s="28" t="n"/>
      <c r="H861" s="33">
        <f>IF(OR(E861="",F861=""),"",ROUND(MOD(F861-E861,1)*24-N(G861),2))</f>
        <v/>
      </c>
      <c r="I861" s="33">
        <f>IF(H861="","",ROUND(MAX(0,H861-8),2))</f>
        <v/>
      </c>
      <c r="J861" s="33">
        <f>IF(OR(E861="",F861=""),"",ROUND(IF(MOD(F861,1)&gt;=TIME(22,0,0),(MOD(F861,1)-TIME(22,0,0))*24,IF(MOD(F861,1)&lt;TIME(6,0,0),(MOD(F861,1)+1-TIME(22,0,0))*24,0)),2))</f>
        <v/>
      </c>
      <c r="K861" s="33">
        <f>IF(H861="","",ROUND(IF(L861="휴일근로",MIN(H861,8)*1.5+MAX(0,H861-8)*2,I861*1.5)+N(J861)*0.5,2))</f>
        <v/>
      </c>
      <c r="L861" s="18" t="n"/>
      <c r="M861" s="18" t="n"/>
      <c r="N861" s="22" t="n"/>
    </row>
    <row r="862">
      <c r="A862" s="19" t="n"/>
      <c r="B862" s="25">
        <f>IF(A862="","",CHOOSE(WEEKDAY(A862,2),"월","화","수","목","금","토","일"))</f>
        <v/>
      </c>
      <c r="C862" s="18" t="n"/>
      <c r="D862" s="25">
        <f>IFERROR(IF(C862="","",INDEX(직원명부!$B$5:$B$24,MATCH(C862,직원명부!$A$5:$A$24,0))),"사번 확인")</f>
        <v/>
      </c>
      <c r="E862" s="34" t="n"/>
      <c r="F862" s="34" t="n"/>
      <c r="G862" s="28" t="n"/>
      <c r="H862" s="33">
        <f>IF(OR(E862="",F862=""),"",ROUND(MOD(F862-E862,1)*24-N(G862),2))</f>
        <v/>
      </c>
      <c r="I862" s="33">
        <f>IF(H862="","",ROUND(MAX(0,H862-8),2))</f>
        <v/>
      </c>
      <c r="J862" s="33">
        <f>IF(OR(E862="",F862=""),"",ROUND(IF(MOD(F862,1)&gt;=TIME(22,0,0),(MOD(F862,1)-TIME(22,0,0))*24,IF(MOD(F862,1)&lt;TIME(6,0,0),(MOD(F862,1)+1-TIME(22,0,0))*24,0)),2))</f>
        <v/>
      </c>
      <c r="K862" s="33">
        <f>IF(H862="","",ROUND(IF(L862="휴일근로",MIN(H862,8)*1.5+MAX(0,H862-8)*2,I862*1.5)+N(J862)*0.5,2))</f>
        <v/>
      </c>
      <c r="L862" s="18" t="n"/>
      <c r="M862" s="18" t="n"/>
      <c r="N862" s="22" t="n"/>
    </row>
    <row r="863">
      <c r="A863" s="19" t="n"/>
      <c r="B863" s="25">
        <f>IF(A863="","",CHOOSE(WEEKDAY(A863,2),"월","화","수","목","금","토","일"))</f>
        <v/>
      </c>
      <c r="C863" s="18" t="n"/>
      <c r="D863" s="25">
        <f>IFERROR(IF(C863="","",INDEX(직원명부!$B$5:$B$24,MATCH(C863,직원명부!$A$5:$A$24,0))),"사번 확인")</f>
        <v/>
      </c>
      <c r="E863" s="34" t="n"/>
      <c r="F863" s="34" t="n"/>
      <c r="G863" s="28" t="n"/>
      <c r="H863" s="33">
        <f>IF(OR(E863="",F863=""),"",ROUND(MOD(F863-E863,1)*24-N(G863),2))</f>
        <v/>
      </c>
      <c r="I863" s="33">
        <f>IF(H863="","",ROUND(MAX(0,H863-8),2))</f>
        <v/>
      </c>
      <c r="J863" s="33">
        <f>IF(OR(E863="",F863=""),"",ROUND(IF(MOD(F863,1)&gt;=TIME(22,0,0),(MOD(F863,1)-TIME(22,0,0))*24,IF(MOD(F863,1)&lt;TIME(6,0,0),(MOD(F863,1)+1-TIME(22,0,0))*24,0)),2))</f>
        <v/>
      </c>
      <c r="K863" s="33">
        <f>IF(H863="","",ROUND(IF(L863="휴일근로",MIN(H863,8)*1.5+MAX(0,H863-8)*2,I863*1.5)+N(J863)*0.5,2))</f>
        <v/>
      </c>
      <c r="L863" s="18" t="n"/>
      <c r="M863" s="18" t="n"/>
      <c r="N863" s="22" t="n"/>
    </row>
    <row r="864">
      <c r="A864" s="19" t="n"/>
      <c r="B864" s="25">
        <f>IF(A864="","",CHOOSE(WEEKDAY(A864,2),"월","화","수","목","금","토","일"))</f>
        <v/>
      </c>
      <c r="C864" s="18" t="n"/>
      <c r="D864" s="25">
        <f>IFERROR(IF(C864="","",INDEX(직원명부!$B$5:$B$24,MATCH(C864,직원명부!$A$5:$A$24,0))),"사번 확인")</f>
        <v/>
      </c>
      <c r="E864" s="34" t="n"/>
      <c r="F864" s="34" t="n"/>
      <c r="G864" s="28" t="n"/>
      <c r="H864" s="33">
        <f>IF(OR(E864="",F864=""),"",ROUND(MOD(F864-E864,1)*24-N(G864),2))</f>
        <v/>
      </c>
      <c r="I864" s="33">
        <f>IF(H864="","",ROUND(MAX(0,H864-8),2))</f>
        <v/>
      </c>
      <c r="J864" s="33">
        <f>IF(OR(E864="",F864=""),"",ROUND(IF(MOD(F864,1)&gt;=TIME(22,0,0),(MOD(F864,1)-TIME(22,0,0))*24,IF(MOD(F864,1)&lt;TIME(6,0,0),(MOD(F864,1)+1-TIME(22,0,0))*24,0)),2))</f>
        <v/>
      </c>
      <c r="K864" s="33">
        <f>IF(H864="","",ROUND(IF(L864="휴일근로",MIN(H864,8)*1.5+MAX(0,H864-8)*2,I864*1.5)+N(J864)*0.5,2))</f>
        <v/>
      </c>
      <c r="L864" s="18" t="n"/>
      <c r="M864" s="18" t="n"/>
      <c r="N864" s="22" t="n"/>
    </row>
    <row r="865">
      <c r="A865" s="19" t="n"/>
      <c r="B865" s="25">
        <f>IF(A865="","",CHOOSE(WEEKDAY(A865,2),"월","화","수","목","금","토","일"))</f>
        <v/>
      </c>
      <c r="C865" s="18" t="n"/>
      <c r="D865" s="25">
        <f>IFERROR(IF(C865="","",INDEX(직원명부!$B$5:$B$24,MATCH(C865,직원명부!$A$5:$A$24,0))),"사번 확인")</f>
        <v/>
      </c>
      <c r="E865" s="34" t="n"/>
      <c r="F865" s="34" t="n"/>
      <c r="G865" s="28" t="n"/>
      <c r="H865" s="33">
        <f>IF(OR(E865="",F865=""),"",ROUND(MOD(F865-E865,1)*24-N(G865),2))</f>
        <v/>
      </c>
      <c r="I865" s="33">
        <f>IF(H865="","",ROUND(MAX(0,H865-8),2))</f>
        <v/>
      </c>
      <c r="J865" s="33">
        <f>IF(OR(E865="",F865=""),"",ROUND(IF(MOD(F865,1)&gt;=TIME(22,0,0),(MOD(F865,1)-TIME(22,0,0))*24,IF(MOD(F865,1)&lt;TIME(6,0,0),(MOD(F865,1)+1-TIME(22,0,0))*24,0)),2))</f>
        <v/>
      </c>
      <c r="K865" s="33">
        <f>IF(H865="","",ROUND(IF(L865="휴일근로",MIN(H865,8)*1.5+MAX(0,H865-8)*2,I865*1.5)+N(J865)*0.5,2))</f>
        <v/>
      </c>
      <c r="L865" s="18" t="n"/>
      <c r="M865" s="18" t="n"/>
      <c r="N865" s="22" t="n"/>
    </row>
    <row r="866">
      <c r="A866" s="19" t="n"/>
      <c r="B866" s="25">
        <f>IF(A866="","",CHOOSE(WEEKDAY(A866,2),"월","화","수","목","금","토","일"))</f>
        <v/>
      </c>
      <c r="C866" s="18" t="n"/>
      <c r="D866" s="25">
        <f>IFERROR(IF(C866="","",INDEX(직원명부!$B$5:$B$24,MATCH(C866,직원명부!$A$5:$A$24,0))),"사번 확인")</f>
        <v/>
      </c>
      <c r="E866" s="34" t="n"/>
      <c r="F866" s="34" t="n"/>
      <c r="G866" s="28" t="n"/>
      <c r="H866" s="33">
        <f>IF(OR(E866="",F866=""),"",ROUND(MOD(F866-E866,1)*24-N(G866),2))</f>
        <v/>
      </c>
      <c r="I866" s="33">
        <f>IF(H866="","",ROUND(MAX(0,H866-8),2))</f>
        <v/>
      </c>
      <c r="J866" s="33">
        <f>IF(OR(E866="",F866=""),"",ROUND(IF(MOD(F866,1)&gt;=TIME(22,0,0),(MOD(F866,1)-TIME(22,0,0))*24,IF(MOD(F866,1)&lt;TIME(6,0,0),(MOD(F866,1)+1-TIME(22,0,0))*24,0)),2))</f>
        <v/>
      </c>
      <c r="K866" s="33">
        <f>IF(H866="","",ROUND(IF(L866="휴일근로",MIN(H866,8)*1.5+MAX(0,H866-8)*2,I866*1.5)+N(J866)*0.5,2))</f>
        <v/>
      </c>
      <c r="L866" s="18" t="n"/>
      <c r="M866" s="18" t="n"/>
      <c r="N866" s="22" t="n"/>
    </row>
    <row r="867">
      <c r="A867" s="19" t="n"/>
      <c r="B867" s="25">
        <f>IF(A867="","",CHOOSE(WEEKDAY(A867,2),"월","화","수","목","금","토","일"))</f>
        <v/>
      </c>
      <c r="C867" s="18" t="n"/>
      <c r="D867" s="25">
        <f>IFERROR(IF(C867="","",INDEX(직원명부!$B$5:$B$24,MATCH(C867,직원명부!$A$5:$A$24,0))),"사번 확인")</f>
        <v/>
      </c>
      <c r="E867" s="34" t="n"/>
      <c r="F867" s="34" t="n"/>
      <c r="G867" s="28" t="n"/>
      <c r="H867" s="33">
        <f>IF(OR(E867="",F867=""),"",ROUND(MOD(F867-E867,1)*24-N(G867),2))</f>
        <v/>
      </c>
      <c r="I867" s="33">
        <f>IF(H867="","",ROUND(MAX(0,H867-8),2))</f>
        <v/>
      </c>
      <c r="J867" s="33">
        <f>IF(OR(E867="",F867=""),"",ROUND(IF(MOD(F867,1)&gt;=TIME(22,0,0),(MOD(F867,1)-TIME(22,0,0))*24,IF(MOD(F867,1)&lt;TIME(6,0,0),(MOD(F867,1)+1-TIME(22,0,0))*24,0)),2))</f>
        <v/>
      </c>
      <c r="K867" s="33">
        <f>IF(H867="","",ROUND(IF(L867="휴일근로",MIN(H867,8)*1.5+MAX(0,H867-8)*2,I867*1.5)+N(J867)*0.5,2))</f>
        <v/>
      </c>
      <c r="L867" s="18" t="n"/>
      <c r="M867" s="18" t="n"/>
      <c r="N867" s="22" t="n"/>
    </row>
    <row r="868">
      <c r="A868" s="19" t="n"/>
      <c r="B868" s="25">
        <f>IF(A868="","",CHOOSE(WEEKDAY(A868,2),"월","화","수","목","금","토","일"))</f>
        <v/>
      </c>
      <c r="C868" s="18" t="n"/>
      <c r="D868" s="25">
        <f>IFERROR(IF(C868="","",INDEX(직원명부!$B$5:$B$24,MATCH(C868,직원명부!$A$5:$A$24,0))),"사번 확인")</f>
        <v/>
      </c>
      <c r="E868" s="34" t="n"/>
      <c r="F868" s="34" t="n"/>
      <c r="G868" s="28" t="n"/>
      <c r="H868" s="33">
        <f>IF(OR(E868="",F868=""),"",ROUND(MOD(F868-E868,1)*24-N(G868),2))</f>
        <v/>
      </c>
      <c r="I868" s="33">
        <f>IF(H868="","",ROUND(MAX(0,H868-8),2))</f>
        <v/>
      </c>
      <c r="J868" s="33">
        <f>IF(OR(E868="",F868=""),"",ROUND(IF(MOD(F868,1)&gt;=TIME(22,0,0),(MOD(F868,1)-TIME(22,0,0))*24,IF(MOD(F868,1)&lt;TIME(6,0,0),(MOD(F868,1)+1-TIME(22,0,0))*24,0)),2))</f>
        <v/>
      </c>
      <c r="K868" s="33">
        <f>IF(H868="","",ROUND(IF(L868="휴일근로",MIN(H868,8)*1.5+MAX(0,H868-8)*2,I868*1.5)+N(J868)*0.5,2))</f>
        <v/>
      </c>
      <c r="L868" s="18" t="n"/>
      <c r="M868" s="18" t="n"/>
      <c r="N868" s="22" t="n"/>
    </row>
    <row r="869">
      <c r="A869" s="19" t="n"/>
      <c r="B869" s="25">
        <f>IF(A869="","",CHOOSE(WEEKDAY(A869,2),"월","화","수","목","금","토","일"))</f>
        <v/>
      </c>
      <c r="C869" s="18" t="n"/>
      <c r="D869" s="25">
        <f>IFERROR(IF(C869="","",INDEX(직원명부!$B$5:$B$24,MATCH(C869,직원명부!$A$5:$A$24,0))),"사번 확인")</f>
        <v/>
      </c>
      <c r="E869" s="34" t="n"/>
      <c r="F869" s="34" t="n"/>
      <c r="G869" s="28" t="n"/>
      <c r="H869" s="33">
        <f>IF(OR(E869="",F869=""),"",ROUND(MOD(F869-E869,1)*24-N(G869),2))</f>
        <v/>
      </c>
      <c r="I869" s="33">
        <f>IF(H869="","",ROUND(MAX(0,H869-8),2))</f>
        <v/>
      </c>
      <c r="J869" s="33">
        <f>IF(OR(E869="",F869=""),"",ROUND(IF(MOD(F869,1)&gt;=TIME(22,0,0),(MOD(F869,1)-TIME(22,0,0))*24,IF(MOD(F869,1)&lt;TIME(6,0,0),(MOD(F869,1)+1-TIME(22,0,0))*24,0)),2))</f>
        <v/>
      </c>
      <c r="K869" s="33">
        <f>IF(H869="","",ROUND(IF(L869="휴일근로",MIN(H869,8)*1.5+MAX(0,H869-8)*2,I869*1.5)+N(J869)*0.5,2))</f>
        <v/>
      </c>
      <c r="L869" s="18" t="n"/>
      <c r="M869" s="18" t="n"/>
      <c r="N869" s="22" t="n"/>
    </row>
    <row r="870">
      <c r="A870" s="19" t="n"/>
      <c r="B870" s="25">
        <f>IF(A870="","",CHOOSE(WEEKDAY(A870,2),"월","화","수","목","금","토","일"))</f>
        <v/>
      </c>
      <c r="C870" s="18" t="n"/>
      <c r="D870" s="25">
        <f>IFERROR(IF(C870="","",INDEX(직원명부!$B$5:$B$24,MATCH(C870,직원명부!$A$5:$A$24,0))),"사번 확인")</f>
        <v/>
      </c>
      <c r="E870" s="34" t="n"/>
      <c r="F870" s="34" t="n"/>
      <c r="G870" s="28" t="n"/>
      <c r="H870" s="33">
        <f>IF(OR(E870="",F870=""),"",ROUND(MOD(F870-E870,1)*24-N(G870),2))</f>
        <v/>
      </c>
      <c r="I870" s="33">
        <f>IF(H870="","",ROUND(MAX(0,H870-8),2))</f>
        <v/>
      </c>
      <c r="J870" s="33">
        <f>IF(OR(E870="",F870=""),"",ROUND(IF(MOD(F870,1)&gt;=TIME(22,0,0),(MOD(F870,1)-TIME(22,0,0))*24,IF(MOD(F870,1)&lt;TIME(6,0,0),(MOD(F870,1)+1-TIME(22,0,0))*24,0)),2))</f>
        <v/>
      </c>
      <c r="K870" s="33">
        <f>IF(H870="","",ROUND(IF(L870="휴일근로",MIN(H870,8)*1.5+MAX(0,H870-8)*2,I870*1.5)+N(J870)*0.5,2))</f>
        <v/>
      </c>
      <c r="L870" s="18" t="n"/>
      <c r="M870" s="18" t="n"/>
      <c r="N870" s="22" t="n"/>
    </row>
    <row r="871">
      <c r="A871" s="19" t="n"/>
      <c r="B871" s="25">
        <f>IF(A871="","",CHOOSE(WEEKDAY(A871,2),"월","화","수","목","금","토","일"))</f>
        <v/>
      </c>
      <c r="C871" s="18" t="n"/>
      <c r="D871" s="25">
        <f>IFERROR(IF(C871="","",INDEX(직원명부!$B$5:$B$24,MATCH(C871,직원명부!$A$5:$A$24,0))),"사번 확인")</f>
        <v/>
      </c>
      <c r="E871" s="34" t="n"/>
      <c r="F871" s="34" t="n"/>
      <c r="G871" s="28" t="n"/>
      <c r="H871" s="33">
        <f>IF(OR(E871="",F871=""),"",ROUND(MOD(F871-E871,1)*24-N(G871),2))</f>
        <v/>
      </c>
      <c r="I871" s="33">
        <f>IF(H871="","",ROUND(MAX(0,H871-8),2))</f>
        <v/>
      </c>
      <c r="J871" s="33">
        <f>IF(OR(E871="",F871=""),"",ROUND(IF(MOD(F871,1)&gt;=TIME(22,0,0),(MOD(F871,1)-TIME(22,0,0))*24,IF(MOD(F871,1)&lt;TIME(6,0,0),(MOD(F871,1)+1-TIME(22,0,0))*24,0)),2))</f>
        <v/>
      </c>
      <c r="K871" s="33">
        <f>IF(H871="","",ROUND(IF(L871="휴일근로",MIN(H871,8)*1.5+MAX(0,H871-8)*2,I871*1.5)+N(J871)*0.5,2))</f>
        <v/>
      </c>
      <c r="L871" s="18" t="n"/>
      <c r="M871" s="18" t="n"/>
      <c r="N871" s="22" t="n"/>
    </row>
    <row r="872">
      <c r="A872" s="19" t="n"/>
      <c r="B872" s="25">
        <f>IF(A872="","",CHOOSE(WEEKDAY(A872,2),"월","화","수","목","금","토","일"))</f>
        <v/>
      </c>
      <c r="C872" s="18" t="n"/>
      <c r="D872" s="25">
        <f>IFERROR(IF(C872="","",INDEX(직원명부!$B$5:$B$24,MATCH(C872,직원명부!$A$5:$A$24,0))),"사번 확인")</f>
        <v/>
      </c>
      <c r="E872" s="34" t="n"/>
      <c r="F872" s="34" t="n"/>
      <c r="G872" s="28" t="n"/>
      <c r="H872" s="33">
        <f>IF(OR(E872="",F872=""),"",ROUND(MOD(F872-E872,1)*24-N(G872),2))</f>
        <v/>
      </c>
      <c r="I872" s="33">
        <f>IF(H872="","",ROUND(MAX(0,H872-8),2))</f>
        <v/>
      </c>
      <c r="J872" s="33">
        <f>IF(OR(E872="",F872=""),"",ROUND(IF(MOD(F872,1)&gt;=TIME(22,0,0),(MOD(F872,1)-TIME(22,0,0))*24,IF(MOD(F872,1)&lt;TIME(6,0,0),(MOD(F872,1)+1-TIME(22,0,0))*24,0)),2))</f>
        <v/>
      </c>
      <c r="K872" s="33">
        <f>IF(H872="","",ROUND(IF(L872="휴일근로",MIN(H872,8)*1.5+MAX(0,H872-8)*2,I872*1.5)+N(J872)*0.5,2))</f>
        <v/>
      </c>
      <c r="L872" s="18" t="n"/>
      <c r="M872" s="18" t="n"/>
      <c r="N872" s="22" t="n"/>
    </row>
    <row r="873">
      <c r="A873" s="19" t="n"/>
      <c r="B873" s="25">
        <f>IF(A873="","",CHOOSE(WEEKDAY(A873,2),"월","화","수","목","금","토","일"))</f>
        <v/>
      </c>
      <c r="C873" s="18" t="n"/>
      <c r="D873" s="25">
        <f>IFERROR(IF(C873="","",INDEX(직원명부!$B$5:$B$24,MATCH(C873,직원명부!$A$5:$A$24,0))),"사번 확인")</f>
        <v/>
      </c>
      <c r="E873" s="34" t="n"/>
      <c r="F873" s="34" t="n"/>
      <c r="G873" s="28" t="n"/>
      <c r="H873" s="33">
        <f>IF(OR(E873="",F873=""),"",ROUND(MOD(F873-E873,1)*24-N(G873),2))</f>
        <v/>
      </c>
      <c r="I873" s="33">
        <f>IF(H873="","",ROUND(MAX(0,H873-8),2))</f>
        <v/>
      </c>
      <c r="J873" s="33">
        <f>IF(OR(E873="",F873=""),"",ROUND(IF(MOD(F873,1)&gt;=TIME(22,0,0),(MOD(F873,1)-TIME(22,0,0))*24,IF(MOD(F873,1)&lt;TIME(6,0,0),(MOD(F873,1)+1-TIME(22,0,0))*24,0)),2))</f>
        <v/>
      </c>
      <c r="K873" s="33">
        <f>IF(H873="","",ROUND(IF(L873="휴일근로",MIN(H873,8)*1.5+MAX(0,H873-8)*2,I873*1.5)+N(J873)*0.5,2))</f>
        <v/>
      </c>
      <c r="L873" s="18" t="n"/>
      <c r="M873" s="18" t="n"/>
      <c r="N873" s="22" t="n"/>
    </row>
    <row r="874">
      <c r="A874" s="19" t="n"/>
      <c r="B874" s="25">
        <f>IF(A874="","",CHOOSE(WEEKDAY(A874,2),"월","화","수","목","금","토","일"))</f>
        <v/>
      </c>
      <c r="C874" s="18" t="n"/>
      <c r="D874" s="25">
        <f>IFERROR(IF(C874="","",INDEX(직원명부!$B$5:$B$24,MATCH(C874,직원명부!$A$5:$A$24,0))),"사번 확인")</f>
        <v/>
      </c>
      <c r="E874" s="34" t="n"/>
      <c r="F874" s="34" t="n"/>
      <c r="G874" s="28" t="n"/>
      <c r="H874" s="33">
        <f>IF(OR(E874="",F874=""),"",ROUND(MOD(F874-E874,1)*24-N(G874),2))</f>
        <v/>
      </c>
      <c r="I874" s="33">
        <f>IF(H874="","",ROUND(MAX(0,H874-8),2))</f>
        <v/>
      </c>
      <c r="J874" s="33">
        <f>IF(OR(E874="",F874=""),"",ROUND(IF(MOD(F874,1)&gt;=TIME(22,0,0),(MOD(F874,1)-TIME(22,0,0))*24,IF(MOD(F874,1)&lt;TIME(6,0,0),(MOD(F874,1)+1-TIME(22,0,0))*24,0)),2))</f>
        <v/>
      </c>
      <c r="K874" s="33">
        <f>IF(H874="","",ROUND(IF(L874="휴일근로",MIN(H874,8)*1.5+MAX(0,H874-8)*2,I874*1.5)+N(J874)*0.5,2))</f>
        <v/>
      </c>
      <c r="L874" s="18" t="n"/>
      <c r="M874" s="18" t="n"/>
      <c r="N874" s="22" t="n"/>
    </row>
    <row r="875">
      <c r="A875" s="19" t="n"/>
      <c r="B875" s="25">
        <f>IF(A875="","",CHOOSE(WEEKDAY(A875,2),"월","화","수","목","금","토","일"))</f>
        <v/>
      </c>
      <c r="C875" s="18" t="n"/>
      <c r="D875" s="25">
        <f>IFERROR(IF(C875="","",INDEX(직원명부!$B$5:$B$24,MATCH(C875,직원명부!$A$5:$A$24,0))),"사번 확인")</f>
        <v/>
      </c>
      <c r="E875" s="34" t="n"/>
      <c r="F875" s="34" t="n"/>
      <c r="G875" s="28" t="n"/>
      <c r="H875" s="33">
        <f>IF(OR(E875="",F875=""),"",ROUND(MOD(F875-E875,1)*24-N(G875),2))</f>
        <v/>
      </c>
      <c r="I875" s="33">
        <f>IF(H875="","",ROUND(MAX(0,H875-8),2))</f>
        <v/>
      </c>
      <c r="J875" s="33">
        <f>IF(OR(E875="",F875=""),"",ROUND(IF(MOD(F875,1)&gt;=TIME(22,0,0),(MOD(F875,1)-TIME(22,0,0))*24,IF(MOD(F875,1)&lt;TIME(6,0,0),(MOD(F875,1)+1-TIME(22,0,0))*24,0)),2))</f>
        <v/>
      </c>
      <c r="K875" s="33">
        <f>IF(H875="","",ROUND(IF(L875="휴일근로",MIN(H875,8)*1.5+MAX(0,H875-8)*2,I875*1.5)+N(J875)*0.5,2))</f>
        <v/>
      </c>
      <c r="L875" s="18" t="n"/>
      <c r="M875" s="18" t="n"/>
      <c r="N875" s="22" t="n"/>
    </row>
    <row r="876">
      <c r="A876" s="19" t="n"/>
      <c r="B876" s="25">
        <f>IF(A876="","",CHOOSE(WEEKDAY(A876,2),"월","화","수","목","금","토","일"))</f>
        <v/>
      </c>
      <c r="C876" s="18" t="n"/>
      <c r="D876" s="25">
        <f>IFERROR(IF(C876="","",INDEX(직원명부!$B$5:$B$24,MATCH(C876,직원명부!$A$5:$A$24,0))),"사번 확인")</f>
        <v/>
      </c>
      <c r="E876" s="34" t="n"/>
      <c r="F876" s="34" t="n"/>
      <c r="G876" s="28" t="n"/>
      <c r="H876" s="33">
        <f>IF(OR(E876="",F876=""),"",ROUND(MOD(F876-E876,1)*24-N(G876),2))</f>
        <v/>
      </c>
      <c r="I876" s="33">
        <f>IF(H876="","",ROUND(MAX(0,H876-8),2))</f>
        <v/>
      </c>
      <c r="J876" s="33">
        <f>IF(OR(E876="",F876=""),"",ROUND(IF(MOD(F876,1)&gt;=TIME(22,0,0),(MOD(F876,1)-TIME(22,0,0))*24,IF(MOD(F876,1)&lt;TIME(6,0,0),(MOD(F876,1)+1-TIME(22,0,0))*24,0)),2))</f>
        <v/>
      </c>
      <c r="K876" s="33">
        <f>IF(H876="","",ROUND(IF(L876="휴일근로",MIN(H876,8)*1.5+MAX(0,H876-8)*2,I876*1.5)+N(J876)*0.5,2))</f>
        <v/>
      </c>
      <c r="L876" s="18" t="n"/>
      <c r="M876" s="18" t="n"/>
      <c r="N876" s="22" t="n"/>
    </row>
    <row r="877">
      <c r="A877" s="19" t="n"/>
      <c r="B877" s="25">
        <f>IF(A877="","",CHOOSE(WEEKDAY(A877,2),"월","화","수","목","금","토","일"))</f>
        <v/>
      </c>
      <c r="C877" s="18" t="n"/>
      <c r="D877" s="25">
        <f>IFERROR(IF(C877="","",INDEX(직원명부!$B$5:$B$24,MATCH(C877,직원명부!$A$5:$A$24,0))),"사번 확인")</f>
        <v/>
      </c>
      <c r="E877" s="34" t="n"/>
      <c r="F877" s="34" t="n"/>
      <c r="G877" s="28" t="n"/>
      <c r="H877" s="33">
        <f>IF(OR(E877="",F877=""),"",ROUND(MOD(F877-E877,1)*24-N(G877),2))</f>
        <v/>
      </c>
      <c r="I877" s="33">
        <f>IF(H877="","",ROUND(MAX(0,H877-8),2))</f>
        <v/>
      </c>
      <c r="J877" s="33">
        <f>IF(OR(E877="",F877=""),"",ROUND(IF(MOD(F877,1)&gt;=TIME(22,0,0),(MOD(F877,1)-TIME(22,0,0))*24,IF(MOD(F877,1)&lt;TIME(6,0,0),(MOD(F877,1)+1-TIME(22,0,0))*24,0)),2))</f>
        <v/>
      </c>
      <c r="K877" s="33">
        <f>IF(H877="","",ROUND(IF(L877="휴일근로",MIN(H877,8)*1.5+MAX(0,H877-8)*2,I877*1.5)+N(J877)*0.5,2))</f>
        <v/>
      </c>
      <c r="L877" s="18" t="n"/>
      <c r="M877" s="18" t="n"/>
      <c r="N877" s="22" t="n"/>
    </row>
    <row r="878">
      <c r="A878" s="19" t="n"/>
      <c r="B878" s="25">
        <f>IF(A878="","",CHOOSE(WEEKDAY(A878,2),"월","화","수","목","금","토","일"))</f>
        <v/>
      </c>
      <c r="C878" s="18" t="n"/>
      <c r="D878" s="25">
        <f>IFERROR(IF(C878="","",INDEX(직원명부!$B$5:$B$24,MATCH(C878,직원명부!$A$5:$A$24,0))),"사번 확인")</f>
        <v/>
      </c>
      <c r="E878" s="34" t="n"/>
      <c r="F878" s="34" t="n"/>
      <c r="G878" s="28" t="n"/>
      <c r="H878" s="33">
        <f>IF(OR(E878="",F878=""),"",ROUND(MOD(F878-E878,1)*24-N(G878),2))</f>
        <v/>
      </c>
      <c r="I878" s="33">
        <f>IF(H878="","",ROUND(MAX(0,H878-8),2))</f>
        <v/>
      </c>
      <c r="J878" s="33">
        <f>IF(OR(E878="",F878=""),"",ROUND(IF(MOD(F878,1)&gt;=TIME(22,0,0),(MOD(F878,1)-TIME(22,0,0))*24,IF(MOD(F878,1)&lt;TIME(6,0,0),(MOD(F878,1)+1-TIME(22,0,0))*24,0)),2))</f>
        <v/>
      </c>
      <c r="K878" s="33">
        <f>IF(H878="","",ROUND(IF(L878="휴일근로",MIN(H878,8)*1.5+MAX(0,H878-8)*2,I878*1.5)+N(J878)*0.5,2))</f>
        <v/>
      </c>
      <c r="L878" s="18" t="n"/>
      <c r="M878" s="18" t="n"/>
      <c r="N878" s="22" t="n"/>
    </row>
    <row r="879">
      <c r="A879" s="19" t="n"/>
      <c r="B879" s="25">
        <f>IF(A879="","",CHOOSE(WEEKDAY(A879,2),"월","화","수","목","금","토","일"))</f>
        <v/>
      </c>
      <c r="C879" s="18" t="n"/>
      <c r="D879" s="25">
        <f>IFERROR(IF(C879="","",INDEX(직원명부!$B$5:$B$24,MATCH(C879,직원명부!$A$5:$A$24,0))),"사번 확인")</f>
        <v/>
      </c>
      <c r="E879" s="34" t="n"/>
      <c r="F879" s="34" t="n"/>
      <c r="G879" s="28" t="n"/>
      <c r="H879" s="33">
        <f>IF(OR(E879="",F879=""),"",ROUND(MOD(F879-E879,1)*24-N(G879),2))</f>
        <v/>
      </c>
      <c r="I879" s="33">
        <f>IF(H879="","",ROUND(MAX(0,H879-8),2))</f>
        <v/>
      </c>
      <c r="J879" s="33">
        <f>IF(OR(E879="",F879=""),"",ROUND(IF(MOD(F879,1)&gt;=TIME(22,0,0),(MOD(F879,1)-TIME(22,0,0))*24,IF(MOD(F879,1)&lt;TIME(6,0,0),(MOD(F879,1)+1-TIME(22,0,0))*24,0)),2))</f>
        <v/>
      </c>
      <c r="K879" s="33">
        <f>IF(H879="","",ROUND(IF(L879="휴일근로",MIN(H879,8)*1.5+MAX(0,H879-8)*2,I879*1.5)+N(J879)*0.5,2))</f>
        <v/>
      </c>
      <c r="L879" s="18" t="n"/>
      <c r="M879" s="18" t="n"/>
      <c r="N879" s="22" t="n"/>
    </row>
    <row r="880">
      <c r="A880" s="19" t="n"/>
      <c r="B880" s="25">
        <f>IF(A880="","",CHOOSE(WEEKDAY(A880,2),"월","화","수","목","금","토","일"))</f>
        <v/>
      </c>
      <c r="C880" s="18" t="n"/>
      <c r="D880" s="25">
        <f>IFERROR(IF(C880="","",INDEX(직원명부!$B$5:$B$24,MATCH(C880,직원명부!$A$5:$A$24,0))),"사번 확인")</f>
        <v/>
      </c>
      <c r="E880" s="34" t="n"/>
      <c r="F880" s="34" t="n"/>
      <c r="G880" s="28" t="n"/>
      <c r="H880" s="33">
        <f>IF(OR(E880="",F880=""),"",ROUND(MOD(F880-E880,1)*24-N(G880),2))</f>
        <v/>
      </c>
      <c r="I880" s="33">
        <f>IF(H880="","",ROUND(MAX(0,H880-8),2))</f>
        <v/>
      </c>
      <c r="J880" s="33">
        <f>IF(OR(E880="",F880=""),"",ROUND(IF(MOD(F880,1)&gt;=TIME(22,0,0),(MOD(F880,1)-TIME(22,0,0))*24,IF(MOD(F880,1)&lt;TIME(6,0,0),(MOD(F880,1)+1-TIME(22,0,0))*24,0)),2))</f>
        <v/>
      </c>
      <c r="K880" s="33">
        <f>IF(H880="","",ROUND(IF(L880="휴일근로",MIN(H880,8)*1.5+MAX(0,H880-8)*2,I880*1.5)+N(J880)*0.5,2))</f>
        <v/>
      </c>
      <c r="L880" s="18" t="n"/>
      <c r="M880" s="18" t="n"/>
      <c r="N880" s="22" t="n"/>
    </row>
    <row r="881">
      <c r="A881" s="19" t="n"/>
      <c r="B881" s="25">
        <f>IF(A881="","",CHOOSE(WEEKDAY(A881,2),"월","화","수","목","금","토","일"))</f>
        <v/>
      </c>
      <c r="C881" s="18" t="n"/>
      <c r="D881" s="25">
        <f>IFERROR(IF(C881="","",INDEX(직원명부!$B$5:$B$24,MATCH(C881,직원명부!$A$5:$A$24,0))),"사번 확인")</f>
        <v/>
      </c>
      <c r="E881" s="34" t="n"/>
      <c r="F881" s="34" t="n"/>
      <c r="G881" s="28" t="n"/>
      <c r="H881" s="33">
        <f>IF(OR(E881="",F881=""),"",ROUND(MOD(F881-E881,1)*24-N(G881),2))</f>
        <v/>
      </c>
      <c r="I881" s="33">
        <f>IF(H881="","",ROUND(MAX(0,H881-8),2))</f>
        <v/>
      </c>
      <c r="J881" s="33">
        <f>IF(OR(E881="",F881=""),"",ROUND(IF(MOD(F881,1)&gt;=TIME(22,0,0),(MOD(F881,1)-TIME(22,0,0))*24,IF(MOD(F881,1)&lt;TIME(6,0,0),(MOD(F881,1)+1-TIME(22,0,0))*24,0)),2))</f>
        <v/>
      </c>
      <c r="K881" s="33">
        <f>IF(H881="","",ROUND(IF(L881="휴일근로",MIN(H881,8)*1.5+MAX(0,H881-8)*2,I881*1.5)+N(J881)*0.5,2))</f>
        <v/>
      </c>
      <c r="L881" s="18" t="n"/>
      <c r="M881" s="18" t="n"/>
      <c r="N881" s="22" t="n"/>
    </row>
    <row r="882">
      <c r="A882" s="19" t="n"/>
      <c r="B882" s="25">
        <f>IF(A882="","",CHOOSE(WEEKDAY(A882,2),"월","화","수","목","금","토","일"))</f>
        <v/>
      </c>
      <c r="C882" s="18" t="n"/>
      <c r="D882" s="25">
        <f>IFERROR(IF(C882="","",INDEX(직원명부!$B$5:$B$24,MATCH(C882,직원명부!$A$5:$A$24,0))),"사번 확인")</f>
        <v/>
      </c>
      <c r="E882" s="34" t="n"/>
      <c r="F882" s="34" t="n"/>
      <c r="G882" s="28" t="n"/>
      <c r="H882" s="33">
        <f>IF(OR(E882="",F882=""),"",ROUND(MOD(F882-E882,1)*24-N(G882),2))</f>
        <v/>
      </c>
      <c r="I882" s="33">
        <f>IF(H882="","",ROUND(MAX(0,H882-8),2))</f>
        <v/>
      </c>
      <c r="J882" s="33">
        <f>IF(OR(E882="",F882=""),"",ROUND(IF(MOD(F882,1)&gt;=TIME(22,0,0),(MOD(F882,1)-TIME(22,0,0))*24,IF(MOD(F882,1)&lt;TIME(6,0,0),(MOD(F882,1)+1-TIME(22,0,0))*24,0)),2))</f>
        <v/>
      </c>
      <c r="K882" s="33">
        <f>IF(H882="","",ROUND(IF(L882="휴일근로",MIN(H882,8)*1.5+MAX(0,H882-8)*2,I882*1.5)+N(J882)*0.5,2))</f>
        <v/>
      </c>
      <c r="L882" s="18" t="n"/>
      <c r="M882" s="18" t="n"/>
      <c r="N882" s="22" t="n"/>
    </row>
    <row r="883">
      <c r="A883" s="19" t="n"/>
      <c r="B883" s="25">
        <f>IF(A883="","",CHOOSE(WEEKDAY(A883,2),"월","화","수","목","금","토","일"))</f>
        <v/>
      </c>
      <c r="C883" s="18" t="n"/>
      <c r="D883" s="25">
        <f>IFERROR(IF(C883="","",INDEX(직원명부!$B$5:$B$24,MATCH(C883,직원명부!$A$5:$A$24,0))),"사번 확인")</f>
        <v/>
      </c>
      <c r="E883" s="34" t="n"/>
      <c r="F883" s="34" t="n"/>
      <c r="G883" s="28" t="n"/>
      <c r="H883" s="33">
        <f>IF(OR(E883="",F883=""),"",ROUND(MOD(F883-E883,1)*24-N(G883),2))</f>
        <v/>
      </c>
      <c r="I883" s="33">
        <f>IF(H883="","",ROUND(MAX(0,H883-8),2))</f>
        <v/>
      </c>
      <c r="J883" s="33">
        <f>IF(OR(E883="",F883=""),"",ROUND(IF(MOD(F883,1)&gt;=TIME(22,0,0),(MOD(F883,1)-TIME(22,0,0))*24,IF(MOD(F883,1)&lt;TIME(6,0,0),(MOD(F883,1)+1-TIME(22,0,0))*24,0)),2))</f>
        <v/>
      </c>
      <c r="K883" s="33">
        <f>IF(H883="","",ROUND(IF(L883="휴일근로",MIN(H883,8)*1.5+MAX(0,H883-8)*2,I883*1.5)+N(J883)*0.5,2))</f>
        <v/>
      </c>
      <c r="L883" s="18" t="n"/>
      <c r="M883" s="18" t="n"/>
      <c r="N883" s="22" t="n"/>
    </row>
    <row r="884">
      <c r="A884" s="19" t="n"/>
      <c r="B884" s="25">
        <f>IF(A884="","",CHOOSE(WEEKDAY(A884,2),"월","화","수","목","금","토","일"))</f>
        <v/>
      </c>
      <c r="C884" s="18" t="n"/>
      <c r="D884" s="25">
        <f>IFERROR(IF(C884="","",INDEX(직원명부!$B$5:$B$24,MATCH(C884,직원명부!$A$5:$A$24,0))),"사번 확인")</f>
        <v/>
      </c>
      <c r="E884" s="34" t="n"/>
      <c r="F884" s="34" t="n"/>
      <c r="G884" s="28" t="n"/>
      <c r="H884" s="33">
        <f>IF(OR(E884="",F884=""),"",ROUND(MOD(F884-E884,1)*24-N(G884),2))</f>
        <v/>
      </c>
      <c r="I884" s="33">
        <f>IF(H884="","",ROUND(MAX(0,H884-8),2))</f>
        <v/>
      </c>
      <c r="J884" s="33">
        <f>IF(OR(E884="",F884=""),"",ROUND(IF(MOD(F884,1)&gt;=TIME(22,0,0),(MOD(F884,1)-TIME(22,0,0))*24,IF(MOD(F884,1)&lt;TIME(6,0,0),(MOD(F884,1)+1-TIME(22,0,0))*24,0)),2))</f>
        <v/>
      </c>
      <c r="K884" s="33">
        <f>IF(H884="","",ROUND(IF(L884="휴일근로",MIN(H884,8)*1.5+MAX(0,H884-8)*2,I884*1.5)+N(J884)*0.5,2))</f>
        <v/>
      </c>
      <c r="L884" s="18" t="n"/>
      <c r="M884" s="18" t="n"/>
      <c r="N884" s="22" t="n"/>
    </row>
    <row r="885">
      <c r="A885" s="19" t="n"/>
      <c r="B885" s="25">
        <f>IF(A885="","",CHOOSE(WEEKDAY(A885,2),"월","화","수","목","금","토","일"))</f>
        <v/>
      </c>
      <c r="C885" s="18" t="n"/>
      <c r="D885" s="25">
        <f>IFERROR(IF(C885="","",INDEX(직원명부!$B$5:$B$24,MATCH(C885,직원명부!$A$5:$A$24,0))),"사번 확인")</f>
        <v/>
      </c>
      <c r="E885" s="34" t="n"/>
      <c r="F885" s="34" t="n"/>
      <c r="G885" s="28" t="n"/>
      <c r="H885" s="33">
        <f>IF(OR(E885="",F885=""),"",ROUND(MOD(F885-E885,1)*24-N(G885),2))</f>
        <v/>
      </c>
      <c r="I885" s="33">
        <f>IF(H885="","",ROUND(MAX(0,H885-8),2))</f>
        <v/>
      </c>
      <c r="J885" s="33">
        <f>IF(OR(E885="",F885=""),"",ROUND(IF(MOD(F885,1)&gt;=TIME(22,0,0),(MOD(F885,1)-TIME(22,0,0))*24,IF(MOD(F885,1)&lt;TIME(6,0,0),(MOD(F885,1)+1-TIME(22,0,0))*24,0)),2))</f>
        <v/>
      </c>
      <c r="K885" s="33">
        <f>IF(H885="","",ROUND(IF(L885="휴일근로",MIN(H885,8)*1.5+MAX(0,H885-8)*2,I885*1.5)+N(J885)*0.5,2))</f>
        <v/>
      </c>
      <c r="L885" s="18" t="n"/>
      <c r="M885" s="18" t="n"/>
      <c r="N885" s="22" t="n"/>
    </row>
    <row r="886">
      <c r="A886" s="19" t="n"/>
      <c r="B886" s="25">
        <f>IF(A886="","",CHOOSE(WEEKDAY(A886,2),"월","화","수","목","금","토","일"))</f>
        <v/>
      </c>
      <c r="C886" s="18" t="n"/>
      <c r="D886" s="25">
        <f>IFERROR(IF(C886="","",INDEX(직원명부!$B$5:$B$24,MATCH(C886,직원명부!$A$5:$A$24,0))),"사번 확인")</f>
        <v/>
      </c>
      <c r="E886" s="34" t="n"/>
      <c r="F886" s="34" t="n"/>
      <c r="G886" s="28" t="n"/>
      <c r="H886" s="33">
        <f>IF(OR(E886="",F886=""),"",ROUND(MOD(F886-E886,1)*24-N(G886),2))</f>
        <v/>
      </c>
      <c r="I886" s="33">
        <f>IF(H886="","",ROUND(MAX(0,H886-8),2))</f>
        <v/>
      </c>
      <c r="J886" s="33">
        <f>IF(OR(E886="",F886=""),"",ROUND(IF(MOD(F886,1)&gt;=TIME(22,0,0),(MOD(F886,1)-TIME(22,0,0))*24,IF(MOD(F886,1)&lt;TIME(6,0,0),(MOD(F886,1)+1-TIME(22,0,0))*24,0)),2))</f>
        <v/>
      </c>
      <c r="K886" s="33">
        <f>IF(H886="","",ROUND(IF(L886="휴일근로",MIN(H886,8)*1.5+MAX(0,H886-8)*2,I886*1.5)+N(J886)*0.5,2))</f>
        <v/>
      </c>
      <c r="L886" s="18" t="n"/>
      <c r="M886" s="18" t="n"/>
      <c r="N886" s="22" t="n"/>
    </row>
    <row r="887">
      <c r="A887" s="19" t="n"/>
      <c r="B887" s="25">
        <f>IF(A887="","",CHOOSE(WEEKDAY(A887,2),"월","화","수","목","금","토","일"))</f>
        <v/>
      </c>
      <c r="C887" s="18" t="n"/>
      <c r="D887" s="25">
        <f>IFERROR(IF(C887="","",INDEX(직원명부!$B$5:$B$24,MATCH(C887,직원명부!$A$5:$A$24,0))),"사번 확인")</f>
        <v/>
      </c>
      <c r="E887" s="34" t="n"/>
      <c r="F887" s="34" t="n"/>
      <c r="G887" s="28" t="n"/>
      <c r="H887" s="33">
        <f>IF(OR(E887="",F887=""),"",ROUND(MOD(F887-E887,1)*24-N(G887),2))</f>
        <v/>
      </c>
      <c r="I887" s="33">
        <f>IF(H887="","",ROUND(MAX(0,H887-8),2))</f>
        <v/>
      </c>
      <c r="J887" s="33">
        <f>IF(OR(E887="",F887=""),"",ROUND(IF(MOD(F887,1)&gt;=TIME(22,0,0),(MOD(F887,1)-TIME(22,0,0))*24,IF(MOD(F887,1)&lt;TIME(6,0,0),(MOD(F887,1)+1-TIME(22,0,0))*24,0)),2))</f>
        <v/>
      </c>
      <c r="K887" s="33">
        <f>IF(H887="","",ROUND(IF(L887="휴일근로",MIN(H887,8)*1.5+MAX(0,H887-8)*2,I887*1.5)+N(J887)*0.5,2))</f>
        <v/>
      </c>
      <c r="L887" s="18" t="n"/>
      <c r="M887" s="18" t="n"/>
      <c r="N887" s="22" t="n"/>
    </row>
    <row r="888">
      <c r="A888" s="19" t="n"/>
      <c r="B888" s="25">
        <f>IF(A888="","",CHOOSE(WEEKDAY(A888,2),"월","화","수","목","금","토","일"))</f>
        <v/>
      </c>
      <c r="C888" s="18" t="n"/>
      <c r="D888" s="25">
        <f>IFERROR(IF(C888="","",INDEX(직원명부!$B$5:$B$24,MATCH(C888,직원명부!$A$5:$A$24,0))),"사번 확인")</f>
        <v/>
      </c>
      <c r="E888" s="34" t="n"/>
      <c r="F888" s="34" t="n"/>
      <c r="G888" s="28" t="n"/>
      <c r="H888" s="33">
        <f>IF(OR(E888="",F888=""),"",ROUND(MOD(F888-E888,1)*24-N(G888),2))</f>
        <v/>
      </c>
      <c r="I888" s="33">
        <f>IF(H888="","",ROUND(MAX(0,H888-8),2))</f>
        <v/>
      </c>
      <c r="J888" s="33">
        <f>IF(OR(E888="",F888=""),"",ROUND(IF(MOD(F888,1)&gt;=TIME(22,0,0),(MOD(F888,1)-TIME(22,0,0))*24,IF(MOD(F888,1)&lt;TIME(6,0,0),(MOD(F888,1)+1-TIME(22,0,0))*24,0)),2))</f>
        <v/>
      </c>
      <c r="K888" s="33">
        <f>IF(H888="","",ROUND(IF(L888="휴일근로",MIN(H888,8)*1.5+MAX(0,H888-8)*2,I888*1.5)+N(J888)*0.5,2))</f>
        <v/>
      </c>
      <c r="L888" s="18" t="n"/>
      <c r="M888" s="18" t="n"/>
      <c r="N888" s="22" t="n"/>
    </row>
    <row r="889">
      <c r="A889" s="19" t="n"/>
      <c r="B889" s="25">
        <f>IF(A889="","",CHOOSE(WEEKDAY(A889,2),"월","화","수","목","금","토","일"))</f>
        <v/>
      </c>
      <c r="C889" s="18" t="n"/>
      <c r="D889" s="25">
        <f>IFERROR(IF(C889="","",INDEX(직원명부!$B$5:$B$24,MATCH(C889,직원명부!$A$5:$A$24,0))),"사번 확인")</f>
        <v/>
      </c>
      <c r="E889" s="34" t="n"/>
      <c r="F889" s="34" t="n"/>
      <c r="G889" s="28" t="n"/>
      <c r="H889" s="33">
        <f>IF(OR(E889="",F889=""),"",ROUND(MOD(F889-E889,1)*24-N(G889),2))</f>
        <v/>
      </c>
      <c r="I889" s="33">
        <f>IF(H889="","",ROUND(MAX(0,H889-8),2))</f>
        <v/>
      </c>
      <c r="J889" s="33">
        <f>IF(OR(E889="",F889=""),"",ROUND(IF(MOD(F889,1)&gt;=TIME(22,0,0),(MOD(F889,1)-TIME(22,0,0))*24,IF(MOD(F889,1)&lt;TIME(6,0,0),(MOD(F889,1)+1-TIME(22,0,0))*24,0)),2))</f>
        <v/>
      </c>
      <c r="K889" s="33">
        <f>IF(H889="","",ROUND(IF(L889="휴일근로",MIN(H889,8)*1.5+MAX(0,H889-8)*2,I889*1.5)+N(J889)*0.5,2))</f>
        <v/>
      </c>
      <c r="L889" s="18" t="n"/>
      <c r="M889" s="18" t="n"/>
      <c r="N889" s="22" t="n"/>
    </row>
    <row r="890">
      <c r="A890" s="19" t="n"/>
      <c r="B890" s="25">
        <f>IF(A890="","",CHOOSE(WEEKDAY(A890,2),"월","화","수","목","금","토","일"))</f>
        <v/>
      </c>
      <c r="C890" s="18" t="n"/>
      <c r="D890" s="25">
        <f>IFERROR(IF(C890="","",INDEX(직원명부!$B$5:$B$24,MATCH(C890,직원명부!$A$5:$A$24,0))),"사번 확인")</f>
        <v/>
      </c>
      <c r="E890" s="34" t="n"/>
      <c r="F890" s="34" t="n"/>
      <c r="G890" s="28" t="n"/>
      <c r="H890" s="33">
        <f>IF(OR(E890="",F890=""),"",ROUND(MOD(F890-E890,1)*24-N(G890),2))</f>
        <v/>
      </c>
      <c r="I890" s="33">
        <f>IF(H890="","",ROUND(MAX(0,H890-8),2))</f>
        <v/>
      </c>
      <c r="J890" s="33">
        <f>IF(OR(E890="",F890=""),"",ROUND(IF(MOD(F890,1)&gt;=TIME(22,0,0),(MOD(F890,1)-TIME(22,0,0))*24,IF(MOD(F890,1)&lt;TIME(6,0,0),(MOD(F890,1)+1-TIME(22,0,0))*24,0)),2))</f>
        <v/>
      </c>
      <c r="K890" s="33">
        <f>IF(H890="","",ROUND(IF(L890="휴일근로",MIN(H890,8)*1.5+MAX(0,H890-8)*2,I890*1.5)+N(J890)*0.5,2))</f>
        <v/>
      </c>
      <c r="L890" s="18" t="n"/>
      <c r="M890" s="18" t="n"/>
      <c r="N890" s="22" t="n"/>
    </row>
    <row r="891">
      <c r="A891" s="19" t="n"/>
      <c r="B891" s="25">
        <f>IF(A891="","",CHOOSE(WEEKDAY(A891,2),"월","화","수","목","금","토","일"))</f>
        <v/>
      </c>
      <c r="C891" s="18" t="n"/>
      <c r="D891" s="25">
        <f>IFERROR(IF(C891="","",INDEX(직원명부!$B$5:$B$24,MATCH(C891,직원명부!$A$5:$A$24,0))),"사번 확인")</f>
        <v/>
      </c>
      <c r="E891" s="34" t="n"/>
      <c r="F891" s="34" t="n"/>
      <c r="G891" s="28" t="n"/>
      <c r="H891" s="33">
        <f>IF(OR(E891="",F891=""),"",ROUND(MOD(F891-E891,1)*24-N(G891),2))</f>
        <v/>
      </c>
      <c r="I891" s="33">
        <f>IF(H891="","",ROUND(MAX(0,H891-8),2))</f>
        <v/>
      </c>
      <c r="J891" s="33">
        <f>IF(OR(E891="",F891=""),"",ROUND(IF(MOD(F891,1)&gt;=TIME(22,0,0),(MOD(F891,1)-TIME(22,0,0))*24,IF(MOD(F891,1)&lt;TIME(6,0,0),(MOD(F891,1)+1-TIME(22,0,0))*24,0)),2))</f>
        <v/>
      </c>
      <c r="K891" s="33">
        <f>IF(H891="","",ROUND(IF(L891="휴일근로",MIN(H891,8)*1.5+MAX(0,H891-8)*2,I891*1.5)+N(J891)*0.5,2))</f>
        <v/>
      </c>
      <c r="L891" s="18" t="n"/>
      <c r="M891" s="18" t="n"/>
      <c r="N891" s="22" t="n"/>
    </row>
    <row r="892">
      <c r="A892" s="19" t="n"/>
      <c r="B892" s="25">
        <f>IF(A892="","",CHOOSE(WEEKDAY(A892,2),"월","화","수","목","금","토","일"))</f>
        <v/>
      </c>
      <c r="C892" s="18" t="n"/>
      <c r="D892" s="25">
        <f>IFERROR(IF(C892="","",INDEX(직원명부!$B$5:$B$24,MATCH(C892,직원명부!$A$5:$A$24,0))),"사번 확인")</f>
        <v/>
      </c>
      <c r="E892" s="34" t="n"/>
      <c r="F892" s="34" t="n"/>
      <c r="G892" s="28" t="n"/>
      <c r="H892" s="33">
        <f>IF(OR(E892="",F892=""),"",ROUND(MOD(F892-E892,1)*24-N(G892),2))</f>
        <v/>
      </c>
      <c r="I892" s="33">
        <f>IF(H892="","",ROUND(MAX(0,H892-8),2))</f>
        <v/>
      </c>
      <c r="J892" s="33">
        <f>IF(OR(E892="",F892=""),"",ROUND(IF(MOD(F892,1)&gt;=TIME(22,0,0),(MOD(F892,1)-TIME(22,0,0))*24,IF(MOD(F892,1)&lt;TIME(6,0,0),(MOD(F892,1)+1-TIME(22,0,0))*24,0)),2))</f>
        <v/>
      </c>
      <c r="K892" s="33">
        <f>IF(H892="","",ROUND(IF(L892="휴일근로",MIN(H892,8)*1.5+MAX(0,H892-8)*2,I892*1.5)+N(J892)*0.5,2))</f>
        <v/>
      </c>
      <c r="L892" s="18" t="n"/>
      <c r="M892" s="18" t="n"/>
      <c r="N892" s="22" t="n"/>
    </row>
    <row r="893">
      <c r="A893" s="19" t="n"/>
      <c r="B893" s="25">
        <f>IF(A893="","",CHOOSE(WEEKDAY(A893,2),"월","화","수","목","금","토","일"))</f>
        <v/>
      </c>
      <c r="C893" s="18" t="n"/>
      <c r="D893" s="25">
        <f>IFERROR(IF(C893="","",INDEX(직원명부!$B$5:$B$24,MATCH(C893,직원명부!$A$5:$A$24,0))),"사번 확인")</f>
        <v/>
      </c>
      <c r="E893" s="34" t="n"/>
      <c r="F893" s="34" t="n"/>
      <c r="G893" s="28" t="n"/>
      <c r="H893" s="33">
        <f>IF(OR(E893="",F893=""),"",ROUND(MOD(F893-E893,1)*24-N(G893),2))</f>
        <v/>
      </c>
      <c r="I893" s="33">
        <f>IF(H893="","",ROUND(MAX(0,H893-8),2))</f>
        <v/>
      </c>
      <c r="J893" s="33">
        <f>IF(OR(E893="",F893=""),"",ROUND(IF(MOD(F893,1)&gt;=TIME(22,0,0),(MOD(F893,1)-TIME(22,0,0))*24,IF(MOD(F893,1)&lt;TIME(6,0,0),(MOD(F893,1)+1-TIME(22,0,0))*24,0)),2))</f>
        <v/>
      </c>
      <c r="K893" s="33">
        <f>IF(H893="","",ROUND(IF(L893="휴일근로",MIN(H893,8)*1.5+MAX(0,H893-8)*2,I893*1.5)+N(J893)*0.5,2))</f>
        <v/>
      </c>
      <c r="L893" s="18" t="n"/>
      <c r="M893" s="18" t="n"/>
      <c r="N893" s="22" t="n"/>
    </row>
    <row r="894">
      <c r="A894" s="19" t="n"/>
      <c r="B894" s="25">
        <f>IF(A894="","",CHOOSE(WEEKDAY(A894,2),"월","화","수","목","금","토","일"))</f>
        <v/>
      </c>
      <c r="C894" s="18" t="n"/>
      <c r="D894" s="25">
        <f>IFERROR(IF(C894="","",INDEX(직원명부!$B$5:$B$24,MATCH(C894,직원명부!$A$5:$A$24,0))),"사번 확인")</f>
        <v/>
      </c>
      <c r="E894" s="34" t="n"/>
      <c r="F894" s="34" t="n"/>
      <c r="G894" s="28" t="n"/>
      <c r="H894" s="33">
        <f>IF(OR(E894="",F894=""),"",ROUND(MOD(F894-E894,1)*24-N(G894),2))</f>
        <v/>
      </c>
      <c r="I894" s="33">
        <f>IF(H894="","",ROUND(MAX(0,H894-8),2))</f>
        <v/>
      </c>
      <c r="J894" s="33">
        <f>IF(OR(E894="",F894=""),"",ROUND(IF(MOD(F894,1)&gt;=TIME(22,0,0),(MOD(F894,1)-TIME(22,0,0))*24,IF(MOD(F894,1)&lt;TIME(6,0,0),(MOD(F894,1)+1-TIME(22,0,0))*24,0)),2))</f>
        <v/>
      </c>
      <c r="K894" s="33">
        <f>IF(H894="","",ROUND(IF(L894="휴일근로",MIN(H894,8)*1.5+MAX(0,H894-8)*2,I894*1.5)+N(J894)*0.5,2))</f>
        <v/>
      </c>
      <c r="L894" s="18" t="n"/>
      <c r="M894" s="18" t="n"/>
      <c r="N894" s="22" t="n"/>
    </row>
    <row r="895">
      <c r="A895" s="19" t="n"/>
      <c r="B895" s="25">
        <f>IF(A895="","",CHOOSE(WEEKDAY(A895,2),"월","화","수","목","금","토","일"))</f>
        <v/>
      </c>
      <c r="C895" s="18" t="n"/>
      <c r="D895" s="25">
        <f>IFERROR(IF(C895="","",INDEX(직원명부!$B$5:$B$24,MATCH(C895,직원명부!$A$5:$A$24,0))),"사번 확인")</f>
        <v/>
      </c>
      <c r="E895" s="34" t="n"/>
      <c r="F895" s="34" t="n"/>
      <c r="G895" s="28" t="n"/>
      <c r="H895" s="33">
        <f>IF(OR(E895="",F895=""),"",ROUND(MOD(F895-E895,1)*24-N(G895),2))</f>
        <v/>
      </c>
      <c r="I895" s="33">
        <f>IF(H895="","",ROUND(MAX(0,H895-8),2))</f>
        <v/>
      </c>
      <c r="J895" s="33">
        <f>IF(OR(E895="",F895=""),"",ROUND(IF(MOD(F895,1)&gt;=TIME(22,0,0),(MOD(F895,1)-TIME(22,0,0))*24,IF(MOD(F895,1)&lt;TIME(6,0,0),(MOD(F895,1)+1-TIME(22,0,0))*24,0)),2))</f>
        <v/>
      </c>
      <c r="K895" s="33">
        <f>IF(H895="","",ROUND(IF(L895="휴일근로",MIN(H895,8)*1.5+MAX(0,H895-8)*2,I895*1.5)+N(J895)*0.5,2))</f>
        <v/>
      </c>
      <c r="L895" s="18" t="n"/>
      <c r="M895" s="18" t="n"/>
      <c r="N895" s="22" t="n"/>
    </row>
    <row r="896">
      <c r="A896" s="19" t="n"/>
      <c r="B896" s="25">
        <f>IF(A896="","",CHOOSE(WEEKDAY(A896,2),"월","화","수","목","금","토","일"))</f>
        <v/>
      </c>
      <c r="C896" s="18" t="n"/>
      <c r="D896" s="25">
        <f>IFERROR(IF(C896="","",INDEX(직원명부!$B$5:$B$24,MATCH(C896,직원명부!$A$5:$A$24,0))),"사번 확인")</f>
        <v/>
      </c>
      <c r="E896" s="34" t="n"/>
      <c r="F896" s="34" t="n"/>
      <c r="G896" s="28" t="n"/>
      <c r="H896" s="33">
        <f>IF(OR(E896="",F896=""),"",ROUND(MOD(F896-E896,1)*24-N(G896),2))</f>
        <v/>
      </c>
      <c r="I896" s="33">
        <f>IF(H896="","",ROUND(MAX(0,H896-8),2))</f>
        <v/>
      </c>
      <c r="J896" s="33">
        <f>IF(OR(E896="",F896=""),"",ROUND(IF(MOD(F896,1)&gt;=TIME(22,0,0),(MOD(F896,1)-TIME(22,0,0))*24,IF(MOD(F896,1)&lt;TIME(6,0,0),(MOD(F896,1)+1-TIME(22,0,0))*24,0)),2))</f>
        <v/>
      </c>
      <c r="K896" s="33">
        <f>IF(H896="","",ROUND(IF(L896="휴일근로",MIN(H896,8)*1.5+MAX(0,H896-8)*2,I896*1.5)+N(J896)*0.5,2))</f>
        <v/>
      </c>
      <c r="L896" s="18" t="n"/>
      <c r="M896" s="18" t="n"/>
      <c r="N896" s="22" t="n"/>
    </row>
    <row r="897">
      <c r="A897" s="19" t="n"/>
      <c r="B897" s="25">
        <f>IF(A897="","",CHOOSE(WEEKDAY(A897,2),"월","화","수","목","금","토","일"))</f>
        <v/>
      </c>
      <c r="C897" s="18" t="n"/>
      <c r="D897" s="25">
        <f>IFERROR(IF(C897="","",INDEX(직원명부!$B$5:$B$24,MATCH(C897,직원명부!$A$5:$A$24,0))),"사번 확인")</f>
        <v/>
      </c>
      <c r="E897" s="34" t="n"/>
      <c r="F897" s="34" t="n"/>
      <c r="G897" s="28" t="n"/>
      <c r="H897" s="33">
        <f>IF(OR(E897="",F897=""),"",ROUND(MOD(F897-E897,1)*24-N(G897),2))</f>
        <v/>
      </c>
      <c r="I897" s="33">
        <f>IF(H897="","",ROUND(MAX(0,H897-8),2))</f>
        <v/>
      </c>
      <c r="J897" s="33">
        <f>IF(OR(E897="",F897=""),"",ROUND(IF(MOD(F897,1)&gt;=TIME(22,0,0),(MOD(F897,1)-TIME(22,0,0))*24,IF(MOD(F897,1)&lt;TIME(6,0,0),(MOD(F897,1)+1-TIME(22,0,0))*24,0)),2))</f>
        <v/>
      </c>
      <c r="K897" s="33">
        <f>IF(H897="","",ROUND(IF(L897="휴일근로",MIN(H897,8)*1.5+MAX(0,H897-8)*2,I897*1.5)+N(J897)*0.5,2))</f>
        <v/>
      </c>
      <c r="L897" s="18" t="n"/>
      <c r="M897" s="18" t="n"/>
      <c r="N897" s="22" t="n"/>
    </row>
    <row r="898">
      <c r="A898" s="19" t="n"/>
      <c r="B898" s="25">
        <f>IF(A898="","",CHOOSE(WEEKDAY(A898,2),"월","화","수","목","금","토","일"))</f>
        <v/>
      </c>
      <c r="C898" s="18" t="n"/>
      <c r="D898" s="25">
        <f>IFERROR(IF(C898="","",INDEX(직원명부!$B$5:$B$24,MATCH(C898,직원명부!$A$5:$A$24,0))),"사번 확인")</f>
        <v/>
      </c>
      <c r="E898" s="34" t="n"/>
      <c r="F898" s="34" t="n"/>
      <c r="G898" s="28" t="n"/>
      <c r="H898" s="33">
        <f>IF(OR(E898="",F898=""),"",ROUND(MOD(F898-E898,1)*24-N(G898),2))</f>
        <v/>
      </c>
      <c r="I898" s="33">
        <f>IF(H898="","",ROUND(MAX(0,H898-8),2))</f>
        <v/>
      </c>
      <c r="J898" s="33">
        <f>IF(OR(E898="",F898=""),"",ROUND(IF(MOD(F898,1)&gt;=TIME(22,0,0),(MOD(F898,1)-TIME(22,0,0))*24,IF(MOD(F898,1)&lt;TIME(6,0,0),(MOD(F898,1)+1-TIME(22,0,0))*24,0)),2))</f>
        <v/>
      </c>
      <c r="K898" s="33">
        <f>IF(H898="","",ROUND(IF(L898="휴일근로",MIN(H898,8)*1.5+MAX(0,H898-8)*2,I898*1.5)+N(J898)*0.5,2))</f>
        <v/>
      </c>
      <c r="L898" s="18" t="n"/>
      <c r="M898" s="18" t="n"/>
      <c r="N898" s="22" t="n"/>
    </row>
    <row r="899">
      <c r="A899" s="19" t="n"/>
      <c r="B899" s="25">
        <f>IF(A899="","",CHOOSE(WEEKDAY(A899,2),"월","화","수","목","금","토","일"))</f>
        <v/>
      </c>
      <c r="C899" s="18" t="n"/>
      <c r="D899" s="25">
        <f>IFERROR(IF(C899="","",INDEX(직원명부!$B$5:$B$24,MATCH(C899,직원명부!$A$5:$A$24,0))),"사번 확인")</f>
        <v/>
      </c>
      <c r="E899" s="34" t="n"/>
      <c r="F899" s="34" t="n"/>
      <c r="G899" s="28" t="n"/>
      <c r="H899" s="33">
        <f>IF(OR(E899="",F899=""),"",ROUND(MOD(F899-E899,1)*24-N(G899),2))</f>
        <v/>
      </c>
      <c r="I899" s="33">
        <f>IF(H899="","",ROUND(MAX(0,H899-8),2))</f>
        <v/>
      </c>
      <c r="J899" s="33">
        <f>IF(OR(E899="",F899=""),"",ROUND(IF(MOD(F899,1)&gt;=TIME(22,0,0),(MOD(F899,1)-TIME(22,0,0))*24,IF(MOD(F899,1)&lt;TIME(6,0,0),(MOD(F899,1)+1-TIME(22,0,0))*24,0)),2))</f>
        <v/>
      </c>
      <c r="K899" s="33">
        <f>IF(H899="","",ROUND(IF(L899="휴일근로",MIN(H899,8)*1.5+MAX(0,H899-8)*2,I899*1.5)+N(J899)*0.5,2))</f>
        <v/>
      </c>
      <c r="L899" s="18" t="n"/>
      <c r="M899" s="18" t="n"/>
      <c r="N899" s="22" t="n"/>
    </row>
    <row r="900">
      <c r="A900" s="19" t="n"/>
      <c r="B900" s="25">
        <f>IF(A900="","",CHOOSE(WEEKDAY(A900,2),"월","화","수","목","금","토","일"))</f>
        <v/>
      </c>
      <c r="C900" s="18" t="n"/>
      <c r="D900" s="25">
        <f>IFERROR(IF(C900="","",INDEX(직원명부!$B$5:$B$24,MATCH(C900,직원명부!$A$5:$A$24,0))),"사번 확인")</f>
        <v/>
      </c>
      <c r="E900" s="34" t="n"/>
      <c r="F900" s="34" t="n"/>
      <c r="G900" s="28" t="n"/>
      <c r="H900" s="33">
        <f>IF(OR(E900="",F900=""),"",ROUND(MOD(F900-E900,1)*24-N(G900),2))</f>
        <v/>
      </c>
      <c r="I900" s="33">
        <f>IF(H900="","",ROUND(MAX(0,H900-8),2))</f>
        <v/>
      </c>
      <c r="J900" s="33">
        <f>IF(OR(E900="",F900=""),"",ROUND(IF(MOD(F900,1)&gt;=TIME(22,0,0),(MOD(F900,1)-TIME(22,0,0))*24,IF(MOD(F900,1)&lt;TIME(6,0,0),(MOD(F900,1)+1-TIME(22,0,0))*24,0)),2))</f>
        <v/>
      </c>
      <c r="K900" s="33">
        <f>IF(H900="","",ROUND(IF(L900="휴일근로",MIN(H900,8)*1.5+MAX(0,H900-8)*2,I900*1.5)+N(J900)*0.5,2))</f>
        <v/>
      </c>
      <c r="L900" s="18" t="n"/>
      <c r="M900" s="18" t="n"/>
      <c r="N900" s="22" t="n"/>
    </row>
    <row r="901">
      <c r="A901" s="19" t="n"/>
      <c r="B901" s="25">
        <f>IF(A901="","",CHOOSE(WEEKDAY(A901,2),"월","화","수","목","금","토","일"))</f>
        <v/>
      </c>
      <c r="C901" s="18" t="n"/>
      <c r="D901" s="25">
        <f>IFERROR(IF(C901="","",INDEX(직원명부!$B$5:$B$24,MATCH(C901,직원명부!$A$5:$A$24,0))),"사번 확인")</f>
        <v/>
      </c>
      <c r="E901" s="34" t="n"/>
      <c r="F901" s="34" t="n"/>
      <c r="G901" s="28" t="n"/>
      <c r="H901" s="33">
        <f>IF(OR(E901="",F901=""),"",ROUND(MOD(F901-E901,1)*24-N(G901),2))</f>
        <v/>
      </c>
      <c r="I901" s="33">
        <f>IF(H901="","",ROUND(MAX(0,H901-8),2))</f>
        <v/>
      </c>
      <c r="J901" s="33">
        <f>IF(OR(E901="",F901=""),"",ROUND(IF(MOD(F901,1)&gt;=TIME(22,0,0),(MOD(F901,1)-TIME(22,0,0))*24,IF(MOD(F901,1)&lt;TIME(6,0,0),(MOD(F901,1)+1-TIME(22,0,0))*24,0)),2))</f>
        <v/>
      </c>
      <c r="K901" s="33">
        <f>IF(H901="","",ROUND(IF(L901="휴일근로",MIN(H901,8)*1.5+MAX(0,H901-8)*2,I901*1.5)+N(J901)*0.5,2))</f>
        <v/>
      </c>
      <c r="L901" s="18" t="n"/>
      <c r="M901" s="18" t="n"/>
      <c r="N901" s="22" t="n"/>
    </row>
    <row r="902">
      <c r="A902" s="19" t="n"/>
      <c r="B902" s="25">
        <f>IF(A902="","",CHOOSE(WEEKDAY(A902,2),"월","화","수","목","금","토","일"))</f>
        <v/>
      </c>
      <c r="C902" s="18" t="n"/>
      <c r="D902" s="25">
        <f>IFERROR(IF(C902="","",INDEX(직원명부!$B$5:$B$24,MATCH(C902,직원명부!$A$5:$A$24,0))),"사번 확인")</f>
        <v/>
      </c>
      <c r="E902" s="34" t="n"/>
      <c r="F902" s="34" t="n"/>
      <c r="G902" s="28" t="n"/>
      <c r="H902" s="33">
        <f>IF(OR(E902="",F902=""),"",ROUND(MOD(F902-E902,1)*24-N(G902),2))</f>
        <v/>
      </c>
      <c r="I902" s="33">
        <f>IF(H902="","",ROUND(MAX(0,H902-8),2))</f>
        <v/>
      </c>
      <c r="J902" s="33">
        <f>IF(OR(E902="",F902=""),"",ROUND(IF(MOD(F902,1)&gt;=TIME(22,0,0),(MOD(F902,1)-TIME(22,0,0))*24,IF(MOD(F902,1)&lt;TIME(6,0,0),(MOD(F902,1)+1-TIME(22,0,0))*24,0)),2))</f>
        <v/>
      </c>
      <c r="K902" s="33">
        <f>IF(H902="","",ROUND(IF(L902="휴일근로",MIN(H902,8)*1.5+MAX(0,H902-8)*2,I902*1.5)+N(J902)*0.5,2))</f>
        <v/>
      </c>
      <c r="L902" s="18" t="n"/>
      <c r="M902" s="18" t="n"/>
      <c r="N902" s="22" t="n"/>
    </row>
    <row r="903">
      <c r="A903" s="19" t="n"/>
      <c r="B903" s="25">
        <f>IF(A903="","",CHOOSE(WEEKDAY(A903,2),"월","화","수","목","금","토","일"))</f>
        <v/>
      </c>
      <c r="C903" s="18" t="n"/>
      <c r="D903" s="25">
        <f>IFERROR(IF(C903="","",INDEX(직원명부!$B$5:$B$24,MATCH(C903,직원명부!$A$5:$A$24,0))),"사번 확인")</f>
        <v/>
      </c>
      <c r="E903" s="34" t="n"/>
      <c r="F903" s="34" t="n"/>
      <c r="G903" s="28" t="n"/>
      <c r="H903" s="33">
        <f>IF(OR(E903="",F903=""),"",ROUND(MOD(F903-E903,1)*24-N(G903),2))</f>
        <v/>
      </c>
      <c r="I903" s="33">
        <f>IF(H903="","",ROUND(MAX(0,H903-8),2))</f>
        <v/>
      </c>
      <c r="J903" s="33">
        <f>IF(OR(E903="",F903=""),"",ROUND(IF(MOD(F903,1)&gt;=TIME(22,0,0),(MOD(F903,1)-TIME(22,0,0))*24,IF(MOD(F903,1)&lt;TIME(6,0,0),(MOD(F903,1)+1-TIME(22,0,0))*24,0)),2))</f>
        <v/>
      </c>
      <c r="K903" s="33">
        <f>IF(H903="","",ROUND(IF(L903="휴일근로",MIN(H903,8)*1.5+MAX(0,H903-8)*2,I903*1.5)+N(J903)*0.5,2))</f>
        <v/>
      </c>
      <c r="L903" s="18" t="n"/>
      <c r="M903" s="18" t="n"/>
      <c r="N903" s="22" t="n"/>
    </row>
    <row r="904">
      <c r="A904" s="19" t="n"/>
      <c r="B904" s="25">
        <f>IF(A904="","",CHOOSE(WEEKDAY(A904,2),"월","화","수","목","금","토","일"))</f>
        <v/>
      </c>
      <c r="C904" s="18" t="n"/>
      <c r="D904" s="25">
        <f>IFERROR(IF(C904="","",INDEX(직원명부!$B$5:$B$24,MATCH(C904,직원명부!$A$5:$A$24,0))),"사번 확인")</f>
        <v/>
      </c>
      <c r="E904" s="34" t="n"/>
      <c r="F904" s="34" t="n"/>
      <c r="G904" s="28" t="n"/>
      <c r="H904" s="33">
        <f>IF(OR(E904="",F904=""),"",ROUND(MOD(F904-E904,1)*24-N(G904),2))</f>
        <v/>
      </c>
      <c r="I904" s="33">
        <f>IF(H904="","",ROUND(MAX(0,H904-8),2))</f>
        <v/>
      </c>
      <c r="J904" s="33">
        <f>IF(OR(E904="",F904=""),"",ROUND(IF(MOD(F904,1)&gt;=TIME(22,0,0),(MOD(F904,1)-TIME(22,0,0))*24,IF(MOD(F904,1)&lt;TIME(6,0,0),(MOD(F904,1)+1-TIME(22,0,0))*24,0)),2))</f>
        <v/>
      </c>
      <c r="K904" s="33">
        <f>IF(H904="","",ROUND(IF(L904="휴일근로",MIN(H904,8)*1.5+MAX(0,H904-8)*2,I904*1.5)+N(J904)*0.5,2))</f>
        <v/>
      </c>
      <c r="L904" s="18" t="n"/>
      <c r="M904" s="18" t="n"/>
      <c r="N904" s="22" t="n"/>
    </row>
    <row r="905">
      <c r="A905" s="19" t="n"/>
      <c r="B905" s="25">
        <f>IF(A905="","",CHOOSE(WEEKDAY(A905,2),"월","화","수","목","금","토","일"))</f>
        <v/>
      </c>
      <c r="C905" s="18" t="n"/>
      <c r="D905" s="25">
        <f>IFERROR(IF(C905="","",INDEX(직원명부!$B$5:$B$24,MATCH(C905,직원명부!$A$5:$A$24,0))),"사번 확인")</f>
        <v/>
      </c>
      <c r="E905" s="34" t="n"/>
      <c r="F905" s="34" t="n"/>
      <c r="G905" s="28" t="n"/>
      <c r="H905" s="33">
        <f>IF(OR(E905="",F905=""),"",ROUND(MOD(F905-E905,1)*24-N(G905),2))</f>
        <v/>
      </c>
      <c r="I905" s="33">
        <f>IF(H905="","",ROUND(MAX(0,H905-8),2))</f>
        <v/>
      </c>
      <c r="J905" s="33">
        <f>IF(OR(E905="",F905=""),"",ROUND(IF(MOD(F905,1)&gt;=TIME(22,0,0),(MOD(F905,1)-TIME(22,0,0))*24,IF(MOD(F905,1)&lt;TIME(6,0,0),(MOD(F905,1)+1-TIME(22,0,0))*24,0)),2))</f>
        <v/>
      </c>
      <c r="K905" s="33">
        <f>IF(H905="","",ROUND(IF(L905="휴일근로",MIN(H905,8)*1.5+MAX(0,H905-8)*2,I905*1.5)+N(J905)*0.5,2))</f>
        <v/>
      </c>
      <c r="L905" s="18" t="n"/>
      <c r="M905" s="18" t="n"/>
      <c r="N905" s="22" t="n"/>
    </row>
    <row r="906">
      <c r="A906" s="19" t="n"/>
      <c r="B906" s="25">
        <f>IF(A906="","",CHOOSE(WEEKDAY(A906,2),"월","화","수","목","금","토","일"))</f>
        <v/>
      </c>
      <c r="C906" s="18" t="n"/>
      <c r="D906" s="25">
        <f>IFERROR(IF(C906="","",INDEX(직원명부!$B$5:$B$24,MATCH(C906,직원명부!$A$5:$A$24,0))),"사번 확인")</f>
        <v/>
      </c>
      <c r="E906" s="34" t="n"/>
      <c r="F906" s="34" t="n"/>
      <c r="G906" s="28" t="n"/>
      <c r="H906" s="33">
        <f>IF(OR(E906="",F906=""),"",ROUND(MOD(F906-E906,1)*24-N(G906),2))</f>
        <v/>
      </c>
      <c r="I906" s="33">
        <f>IF(H906="","",ROUND(MAX(0,H906-8),2))</f>
        <v/>
      </c>
      <c r="J906" s="33">
        <f>IF(OR(E906="",F906=""),"",ROUND(IF(MOD(F906,1)&gt;=TIME(22,0,0),(MOD(F906,1)-TIME(22,0,0))*24,IF(MOD(F906,1)&lt;TIME(6,0,0),(MOD(F906,1)+1-TIME(22,0,0))*24,0)),2))</f>
        <v/>
      </c>
      <c r="K906" s="33">
        <f>IF(H906="","",ROUND(IF(L906="휴일근로",MIN(H906,8)*1.5+MAX(0,H906-8)*2,I906*1.5)+N(J906)*0.5,2))</f>
        <v/>
      </c>
      <c r="L906" s="18" t="n"/>
      <c r="M906" s="18" t="n"/>
      <c r="N906" s="22" t="n"/>
    </row>
    <row r="907">
      <c r="A907" s="19" t="n"/>
      <c r="B907" s="25">
        <f>IF(A907="","",CHOOSE(WEEKDAY(A907,2),"월","화","수","목","금","토","일"))</f>
        <v/>
      </c>
      <c r="C907" s="18" t="n"/>
      <c r="D907" s="25">
        <f>IFERROR(IF(C907="","",INDEX(직원명부!$B$5:$B$24,MATCH(C907,직원명부!$A$5:$A$24,0))),"사번 확인")</f>
        <v/>
      </c>
      <c r="E907" s="34" t="n"/>
      <c r="F907" s="34" t="n"/>
      <c r="G907" s="28" t="n"/>
      <c r="H907" s="33">
        <f>IF(OR(E907="",F907=""),"",ROUND(MOD(F907-E907,1)*24-N(G907),2))</f>
        <v/>
      </c>
      <c r="I907" s="33">
        <f>IF(H907="","",ROUND(MAX(0,H907-8),2))</f>
        <v/>
      </c>
      <c r="J907" s="33">
        <f>IF(OR(E907="",F907=""),"",ROUND(IF(MOD(F907,1)&gt;=TIME(22,0,0),(MOD(F907,1)-TIME(22,0,0))*24,IF(MOD(F907,1)&lt;TIME(6,0,0),(MOD(F907,1)+1-TIME(22,0,0))*24,0)),2))</f>
        <v/>
      </c>
      <c r="K907" s="33">
        <f>IF(H907="","",ROUND(IF(L907="휴일근로",MIN(H907,8)*1.5+MAX(0,H907-8)*2,I907*1.5)+N(J907)*0.5,2))</f>
        <v/>
      </c>
      <c r="L907" s="18" t="n"/>
      <c r="M907" s="18" t="n"/>
      <c r="N907" s="22" t="n"/>
    </row>
    <row r="908">
      <c r="A908" s="19" t="n"/>
      <c r="B908" s="25">
        <f>IF(A908="","",CHOOSE(WEEKDAY(A908,2),"월","화","수","목","금","토","일"))</f>
        <v/>
      </c>
      <c r="C908" s="18" t="n"/>
      <c r="D908" s="25">
        <f>IFERROR(IF(C908="","",INDEX(직원명부!$B$5:$B$24,MATCH(C908,직원명부!$A$5:$A$24,0))),"사번 확인")</f>
        <v/>
      </c>
      <c r="E908" s="34" t="n"/>
      <c r="F908" s="34" t="n"/>
      <c r="G908" s="28" t="n"/>
      <c r="H908" s="33">
        <f>IF(OR(E908="",F908=""),"",ROUND(MOD(F908-E908,1)*24-N(G908),2))</f>
        <v/>
      </c>
      <c r="I908" s="33">
        <f>IF(H908="","",ROUND(MAX(0,H908-8),2))</f>
        <v/>
      </c>
      <c r="J908" s="33">
        <f>IF(OR(E908="",F908=""),"",ROUND(IF(MOD(F908,1)&gt;=TIME(22,0,0),(MOD(F908,1)-TIME(22,0,0))*24,IF(MOD(F908,1)&lt;TIME(6,0,0),(MOD(F908,1)+1-TIME(22,0,0))*24,0)),2))</f>
        <v/>
      </c>
      <c r="K908" s="33">
        <f>IF(H908="","",ROUND(IF(L908="휴일근로",MIN(H908,8)*1.5+MAX(0,H908-8)*2,I908*1.5)+N(J908)*0.5,2))</f>
        <v/>
      </c>
      <c r="L908" s="18" t="n"/>
      <c r="M908" s="18" t="n"/>
      <c r="N908" s="22" t="n"/>
    </row>
    <row r="909">
      <c r="A909" s="19" t="n"/>
      <c r="B909" s="25">
        <f>IF(A909="","",CHOOSE(WEEKDAY(A909,2),"월","화","수","목","금","토","일"))</f>
        <v/>
      </c>
      <c r="C909" s="18" t="n"/>
      <c r="D909" s="25">
        <f>IFERROR(IF(C909="","",INDEX(직원명부!$B$5:$B$24,MATCH(C909,직원명부!$A$5:$A$24,0))),"사번 확인")</f>
        <v/>
      </c>
      <c r="E909" s="34" t="n"/>
      <c r="F909" s="34" t="n"/>
      <c r="G909" s="28" t="n"/>
      <c r="H909" s="33">
        <f>IF(OR(E909="",F909=""),"",ROUND(MOD(F909-E909,1)*24-N(G909),2))</f>
        <v/>
      </c>
      <c r="I909" s="33">
        <f>IF(H909="","",ROUND(MAX(0,H909-8),2))</f>
        <v/>
      </c>
      <c r="J909" s="33">
        <f>IF(OR(E909="",F909=""),"",ROUND(IF(MOD(F909,1)&gt;=TIME(22,0,0),(MOD(F909,1)-TIME(22,0,0))*24,IF(MOD(F909,1)&lt;TIME(6,0,0),(MOD(F909,1)+1-TIME(22,0,0))*24,0)),2))</f>
        <v/>
      </c>
      <c r="K909" s="33">
        <f>IF(H909="","",ROUND(IF(L909="휴일근로",MIN(H909,8)*1.5+MAX(0,H909-8)*2,I909*1.5)+N(J909)*0.5,2))</f>
        <v/>
      </c>
      <c r="L909" s="18" t="n"/>
      <c r="M909" s="18" t="n"/>
      <c r="N909" s="22" t="n"/>
    </row>
    <row r="910">
      <c r="A910" s="19" t="n"/>
      <c r="B910" s="25">
        <f>IF(A910="","",CHOOSE(WEEKDAY(A910,2),"월","화","수","목","금","토","일"))</f>
        <v/>
      </c>
      <c r="C910" s="18" t="n"/>
      <c r="D910" s="25">
        <f>IFERROR(IF(C910="","",INDEX(직원명부!$B$5:$B$24,MATCH(C910,직원명부!$A$5:$A$24,0))),"사번 확인")</f>
        <v/>
      </c>
      <c r="E910" s="34" t="n"/>
      <c r="F910" s="34" t="n"/>
      <c r="G910" s="28" t="n"/>
      <c r="H910" s="33">
        <f>IF(OR(E910="",F910=""),"",ROUND(MOD(F910-E910,1)*24-N(G910),2))</f>
        <v/>
      </c>
      <c r="I910" s="33">
        <f>IF(H910="","",ROUND(MAX(0,H910-8),2))</f>
        <v/>
      </c>
      <c r="J910" s="33">
        <f>IF(OR(E910="",F910=""),"",ROUND(IF(MOD(F910,1)&gt;=TIME(22,0,0),(MOD(F910,1)-TIME(22,0,0))*24,IF(MOD(F910,1)&lt;TIME(6,0,0),(MOD(F910,1)+1-TIME(22,0,0))*24,0)),2))</f>
        <v/>
      </c>
      <c r="K910" s="33">
        <f>IF(H910="","",ROUND(IF(L910="휴일근로",MIN(H910,8)*1.5+MAX(0,H910-8)*2,I910*1.5)+N(J910)*0.5,2))</f>
        <v/>
      </c>
      <c r="L910" s="18" t="n"/>
      <c r="M910" s="18" t="n"/>
      <c r="N910" s="22" t="n"/>
    </row>
    <row r="911">
      <c r="A911" s="19" t="n"/>
      <c r="B911" s="25">
        <f>IF(A911="","",CHOOSE(WEEKDAY(A911,2),"월","화","수","목","금","토","일"))</f>
        <v/>
      </c>
      <c r="C911" s="18" t="n"/>
      <c r="D911" s="25">
        <f>IFERROR(IF(C911="","",INDEX(직원명부!$B$5:$B$24,MATCH(C911,직원명부!$A$5:$A$24,0))),"사번 확인")</f>
        <v/>
      </c>
      <c r="E911" s="34" t="n"/>
      <c r="F911" s="34" t="n"/>
      <c r="G911" s="28" t="n"/>
      <c r="H911" s="33">
        <f>IF(OR(E911="",F911=""),"",ROUND(MOD(F911-E911,1)*24-N(G911),2))</f>
        <v/>
      </c>
      <c r="I911" s="33">
        <f>IF(H911="","",ROUND(MAX(0,H911-8),2))</f>
        <v/>
      </c>
      <c r="J911" s="33">
        <f>IF(OR(E911="",F911=""),"",ROUND(IF(MOD(F911,1)&gt;=TIME(22,0,0),(MOD(F911,1)-TIME(22,0,0))*24,IF(MOD(F911,1)&lt;TIME(6,0,0),(MOD(F911,1)+1-TIME(22,0,0))*24,0)),2))</f>
        <v/>
      </c>
      <c r="K911" s="33">
        <f>IF(H911="","",ROUND(IF(L911="휴일근로",MIN(H911,8)*1.5+MAX(0,H911-8)*2,I911*1.5)+N(J911)*0.5,2))</f>
        <v/>
      </c>
      <c r="L911" s="18" t="n"/>
      <c r="M911" s="18" t="n"/>
      <c r="N911" s="22" t="n"/>
    </row>
    <row r="912">
      <c r="A912" s="19" t="n"/>
      <c r="B912" s="25">
        <f>IF(A912="","",CHOOSE(WEEKDAY(A912,2),"월","화","수","목","금","토","일"))</f>
        <v/>
      </c>
      <c r="C912" s="18" t="n"/>
      <c r="D912" s="25">
        <f>IFERROR(IF(C912="","",INDEX(직원명부!$B$5:$B$24,MATCH(C912,직원명부!$A$5:$A$24,0))),"사번 확인")</f>
        <v/>
      </c>
      <c r="E912" s="34" t="n"/>
      <c r="F912" s="34" t="n"/>
      <c r="G912" s="28" t="n"/>
      <c r="H912" s="33">
        <f>IF(OR(E912="",F912=""),"",ROUND(MOD(F912-E912,1)*24-N(G912),2))</f>
        <v/>
      </c>
      <c r="I912" s="33">
        <f>IF(H912="","",ROUND(MAX(0,H912-8),2))</f>
        <v/>
      </c>
      <c r="J912" s="33">
        <f>IF(OR(E912="",F912=""),"",ROUND(IF(MOD(F912,1)&gt;=TIME(22,0,0),(MOD(F912,1)-TIME(22,0,0))*24,IF(MOD(F912,1)&lt;TIME(6,0,0),(MOD(F912,1)+1-TIME(22,0,0))*24,0)),2))</f>
        <v/>
      </c>
      <c r="K912" s="33">
        <f>IF(H912="","",ROUND(IF(L912="휴일근로",MIN(H912,8)*1.5+MAX(0,H912-8)*2,I912*1.5)+N(J912)*0.5,2))</f>
        <v/>
      </c>
      <c r="L912" s="18" t="n"/>
      <c r="M912" s="18" t="n"/>
      <c r="N912" s="22" t="n"/>
    </row>
    <row r="913">
      <c r="A913" s="19" t="n"/>
      <c r="B913" s="25">
        <f>IF(A913="","",CHOOSE(WEEKDAY(A913,2),"월","화","수","목","금","토","일"))</f>
        <v/>
      </c>
      <c r="C913" s="18" t="n"/>
      <c r="D913" s="25">
        <f>IFERROR(IF(C913="","",INDEX(직원명부!$B$5:$B$24,MATCH(C913,직원명부!$A$5:$A$24,0))),"사번 확인")</f>
        <v/>
      </c>
      <c r="E913" s="34" t="n"/>
      <c r="F913" s="34" t="n"/>
      <c r="G913" s="28" t="n"/>
      <c r="H913" s="33">
        <f>IF(OR(E913="",F913=""),"",ROUND(MOD(F913-E913,1)*24-N(G913),2))</f>
        <v/>
      </c>
      <c r="I913" s="33">
        <f>IF(H913="","",ROUND(MAX(0,H913-8),2))</f>
        <v/>
      </c>
      <c r="J913" s="33">
        <f>IF(OR(E913="",F913=""),"",ROUND(IF(MOD(F913,1)&gt;=TIME(22,0,0),(MOD(F913,1)-TIME(22,0,0))*24,IF(MOD(F913,1)&lt;TIME(6,0,0),(MOD(F913,1)+1-TIME(22,0,0))*24,0)),2))</f>
        <v/>
      </c>
      <c r="K913" s="33">
        <f>IF(H913="","",ROUND(IF(L913="휴일근로",MIN(H913,8)*1.5+MAX(0,H913-8)*2,I913*1.5)+N(J913)*0.5,2))</f>
        <v/>
      </c>
      <c r="L913" s="18" t="n"/>
      <c r="M913" s="18" t="n"/>
      <c r="N913" s="22" t="n"/>
    </row>
    <row r="914">
      <c r="A914" s="19" t="n"/>
      <c r="B914" s="25">
        <f>IF(A914="","",CHOOSE(WEEKDAY(A914,2),"월","화","수","목","금","토","일"))</f>
        <v/>
      </c>
      <c r="C914" s="18" t="n"/>
      <c r="D914" s="25">
        <f>IFERROR(IF(C914="","",INDEX(직원명부!$B$5:$B$24,MATCH(C914,직원명부!$A$5:$A$24,0))),"사번 확인")</f>
        <v/>
      </c>
      <c r="E914" s="34" t="n"/>
      <c r="F914" s="34" t="n"/>
      <c r="G914" s="28" t="n"/>
      <c r="H914" s="33">
        <f>IF(OR(E914="",F914=""),"",ROUND(MOD(F914-E914,1)*24-N(G914),2))</f>
        <v/>
      </c>
      <c r="I914" s="33">
        <f>IF(H914="","",ROUND(MAX(0,H914-8),2))</f>
        <v/>
      </c>
      <c r="J914" s="33">
        <f>IF(OR(E914="",F914=""),"",ROUND(IF(MOD(F914,1)&gt;=TIME(22,0,0),(MOD(F914,1)-TIME(22,0,0))*24,IF(MOD(F914,1)&lt;TIME(6,0,0),(MOD(F914,1)+1-TIME(22,0,0))*24,0)),2))</f>
        <v/>
      </c>
      <c r="K914" s="33">
        <f>IF(H914="","",ROUND(IF(L914="휴일근로",MIN(H914,8)*1.5+MAX(0,H914-8)*2,I914*1.5)+N(J914)*0.5,2))</f>
        <v/>
      </c>
      <c r="L914" s="18" t="n"/>
      <c r="M914" s="18" t="n"/>
      <c r="N914" s="22" t="n"/>
    </row>
    <row r="915">
      <c r="A915" s="19" t="n"/>
      <c r="B915" s="25">
        <f>IF(A915="","",CHOOSE(WEEKDAY(A915,2),"월","화","수","목","금","토","일"))</f>
        <v/>
      </c>
      <c r="C915" s="18" t="n"/>
      <c r="D915" s="25">
        <f>IFERROR(IF(C915="","",INDEX(직원명부!$B$5:$B$24,MATCH(C915,직원명부!$A$5:$A$24,0))),"사번 확인")</f>
        <v/>
      </c>
      <c r="E915" s="34" t="n"/>
      <c r="F915" s="34" t="n"/>
      <c r="G915" s="28" t="n"/>
      <c r="H915" s="33">
        <f>IF(OR(E915="",F915=""),"",ROUND(MOD(F915-E915,1)*24-N(G915),2))</f>
        <v/>
      </c>
      <c r="I915" s="33">
        <f>IF(H915="","",ROUND(MAX(0,H915-8),2))</f>
        <v/>
      </c>
      <c r="J915" s="33">
        <f>IF(OR(E915="",F915=""),"",ROUND(IF(MOD(F915,1)&gt;=TIME(22,0,0),(MOD(F915,1)-TIME(22,0,0))*24,IF(MOD(F915,1)&lt;TIME(6,0,0),(MOD(F915,1)+1-TIME(22,0,0))*24,0)),2))</f>
        <v/>
      </c>
      <c r="K915" s="33">
        <f>IF(H915="","",ROUND(IF(L915="휴일근로",MIN(H915,8)*1.5+MAX(0,H915-8)*2,I915*1.5)+N(J915)*0.5,2))</f>
        <v/>
      </c>
      <c r="L915" s="18" t="n"/>
      <c r="M915" s="18" t="n"/>
      <c r="N915" s="22" t="n"/>
    </row>
    <row r="916">
      <c r="A916" s="19" t="n"/>
      <c r="B916" s="25">
        <f>IF(A916="","",CHOOSE(WEEKDAY(A916,2),"월","화","수","목","금","토","일"))</f>
        <v/>
      </c>
      <c r="C916" s="18" t="n"/>
      <c r="D916" s="25">
        <f>IFERROR(IF(C916="","",INDEX(직원명부!$B$5:$B$24,MATCH(C916,직원명부!$A$5:$A$24,0))),"사번 확인")</f>
        <v/>
      </c>
      <c r="E916" s="34" t="n"/>
      <c r="F916" s="34" t="n"/>
      <c r="G916" s="28" t="n"/>
      <c r="H916" s="33">
        <f>IF(OR(E916="",F916=""),"",ROUND(MOD(F916-E916,1)*24-N(G916),2))</f>
        <v/>
      </c>
      <c r="I916" s="33">
        <f>IF(H916="","",ROUND(MAX(0,H916-8),2))</f>
        <v/>
      </c>
      <c r="J916" s="33">
        <f>IF(OR(E916="",F916=""),"",ROUND(IF(MOD(F916,1)&gt;=TIME(22,0,0),(MOD(F916,1)-TIME(22,0,0))*24,IF(MOD(F916,1)&lt;TIME(6,0,0),(MOD(F916,1)+1-TIME(22,0,0))*24,0)),2))</f>
        <v/>
      </c>
      <c r="K916" s="33">
        <f>IF(H916="","",ROUND(IF(L916="휴일근로",MIN(H916,8)*1.5+MAX(0,H916-8)*2,I916*1.5)+N(J916)*0.5,2))</f>
        <v/>
      </c>
      <c r="L916" s="18" t="n"/>
      <c r="M916" s="18" t="n"/>
      <c r="N916" s="22" t="n"/>
    </row>
    <row r="917">
      <c r="A917" s="19" t="n"/>
      <c r="B917" s="25">
        <f>IF(A917="","",CHOOSE(WEEKDAY(A917,2),"월","화","수","목","금","토","일"))</f>
        <v/>
      </c>
      <c r="C917" s="18" t="n"/>
      <c r="D917" s="25">
        <f>IFERROR(IF(C917="","",INDEX(직원명부!$B$5:$B$24,MATCH(C917,직원명부!$A$5:$A$24,0))),"사번 확인")</f>
        <v/>
      </c>
      <c r="E917" s="34" t="n"/>
      <c r="F917" s="34" t="n"/>
      <c r="G917" s="28" t="n"/>
      <c r="H917" s="33">
        <f>IF(OR(E917="",F917=""),"",ROUND(MOD(F917-E917,1)*24-N(G917),2))</f>
        <v/>
      </c>
      <c r="I917" s="33">
        <f>IF(H917="","",ROUND(MAX(0,H917-8),2))</f>
        <v/>
      </c>
      <c r="J917" s="33">
        <f>IF(OR(E917="",F917=""),"",ROUND(IF(MOD(F917,1)&gt;=TIME(22,0,0),(MOD(F917,1)-TIME(22,0,0))*24,IF(MOD(F917,1)&lt;TIME(6,0,0),(MOD(F917,1)+1-TIME(22,0,0))*24,0)),2))</f>
        <v/>
      </c>
      <c r="K917" s="33">
        <f>IF(H917="","",ROUND(IF(L917="휴일근로",MIN(H917,8)*1.5+MAX(0,H917-8)*2,I917*1.5)+N(J917)*0.5,2))</f>
        <v/>
      </c>
      <c r="L917" s="18" t="n"/>
      <c r="M917" s="18" t="n"/>
      <c r="N917" s="22" t="n"/>
    </row>
    <row r="918">
      <c r="A918" s="19" t="n"/>
      <c r="B918" s="25">
        <f>IF(A918="","",CHOOSE(WEEKDAY(A918,2),"월","화","수","목","금","토","일"))</f>
        <v/>
      </c>
      <c r="C918" s="18" t="n"/>
      <c r="D918" s="25">
        <f>IFERROR(IF(C918="","",INDEX(직원명부!$B$5:$B$24,MATCH(C918,직원명부!$A$5:$A$24,0))),"사번 확인")</f>
        <v/>
      </c>
      <c r="E918" s="34" t="n"/>
      <c r="F918" s="34" t="n"/>
      <c r="G918" s="28" t="n"/>
      <c r="H918" s="33">
        <f>IF(OR(E918="",F918=""),"",ROUND(MOD(F918-E918,1)*24-N(G918),2))</f>
        <v/>
      </c>
      <c r="I918" s="33">
        <f>IF(H918="","",ROUND(MAX(0,H918-8),2))</f>
        <v/>
      </c>
      <c r="J918" s="33">
        <f>IF(OR(E918="",F918=""),"",ROUND(IF(MOD(F918,1)&gt;=TIME(22,0,0),(MOD(F918,1)-TIME(22,0,0))*24,IF(MOD(F918,1)&lt;TIME(6,0,0),(MOD(F918,1)+1-TIME(22,0,0))*24,0)),2))</f>
        <v/>
      </c>
      <c r="K918" s="33">
        <f>IF(H918="","",ROUND(IF(L918="휴일근로",MIN(H918,8)*1.5+MAX(0,H918-8)*2,I918*1.5)+N(J918)*0.5,2))</f>
        <v/>
      </c>
      <c r="L918" s="18" t="n"/>
      <c r="M918" s="18" t="n"/>
      <c r="N918" s="22" t="n"/>
    </row>
    <row r="919">
      <c r="A919" s="19" t="n"/>
      <c r="B919" s="25">
        <f>IF(A919="","",CHOOSE(WEEKDAY(A919,2),"월","화","수","목","금","토","일"))</f>
        <v/>
      </c>
      <c r="C919" s="18" t="n"/>
      <c r="D919" s="25">
        <f>IFERROR(IF(C919="","",INDEX(직원명부!$B$5:$B$24,MATCH(C919,직원명부!$A$5:$A$24,0))),"사번 확인")</f>
        <v/>
      </c>
      <c r="E919" s="34" t="n"/>
      <c r="F919" s="34" t="n"/>
      <c r="G919" s="28" t="n"/>
      <c r="H919" s="33">
        <f>IF(OR(E919="",F919=""),"",ROUND(MOD(F919-E919,1)*24-N(G919),2))</f>
        <v/>
      </c>
      <c r="I919" s="33">
        <f>IF(H919="","",ROUND(MAX(0,H919-8),2))</f>
        <v/>
      </c>
      <c r="J919" s="33">
        <f>IF(OR(E919="",F919=""),"",ROUND(IF(MOD(F919,1)&gt;=TIME(22,0,0),(MOD(F919,1)-TIME(22,0,0))*24,IF(MOD(F919,1)&lt;TIME(6,0,0),(MOD(F919,1)+1-TIME(22,0,0))*24,0)),2))</f>
        <v/>
      </c>
      <c r="K919" s="33">
        <f>IF(H919="","",ROUND(IF(L919="휴일근로",MIN(H919,8)*1.5+MAX(0,H919-8)*2,I919*1.5)+N(J919)*0.5,2))</f>
        <v/>
      </c>
      <c r="L919" s="18" t="n"/>
      <c r="M919" s="18" t="n"/>
      <c r="N919" s="22" t="n"/>
    </row>
    <row r="920">
      <c r="A920" s="19" t="n"/>
      <c r="B920" s="25">
        <f>IF(A920="","",CHOOSE(WEEKDAY(A920,2),"월","화","수","목","금","토","일"))</f>
        <v/>
      </c>
      <c r="C920" s="18" t="n"/>
      <c r="D920" s="25">
        <f>IFERROR(IF(C920="","",INDEX(직원명부!$B$5:$B$24,MATCH(C920,직원명부!$A$5:$A$24,0))),"사번 확인")</f>
        <v/>
      </c>
      <c r="E920" s="34" t="n"/>
      <c r="F920" s="34" t="n"/>
      <c r="G920" s="28" t="n"/>
      <c r="H920" s="33">
        <f>IF(OR(E920="",F920=""),"",ROUND(MOD(F920-E920,1)*24-N(G920),2))</f>
        <v/>
      </c>
      <c r="I920" s="33">
        <f>IF(H920="","",ROUND(MAX(0,H920-8),2))</f>
        <v/>
      </c>
      <c r="J920" s="33">
        <f>IF(OR(E920="",F920=""),"",ROUND(IF(MOD(F920,1)&gt;=TIME(22,0,0),(MOD(F920,1)-TIME(22,0,0))*24,IF(MOD(F920,1)&lt;TIME(6,0,0),(MOD(F920,1)+1-TIME(22,0,0))*24,0)),2))</f>
        <v/>
      </c>
      <c r="K920" s="33">
        <f>IF(H920="","",ROUND(IF(L920="휴일근로",MIN(H920,8)*1.5+MAX(0,H920-8)*2,I920*1.5)+N(J920)*0.5,2))</f>
        <v/>
      </c>
      <c r="L920" s="18" t="n"/>
      <c r="M920" s="18" t="n"/>
      <c r="N920" s="22" t="n"/>
    </row>
    <row r="921">
      <c r="A921" s="19" t="n"/>
      <c r="B921" s="25">
        <f>IF(A921="","",CHOOSE(WEEKDAY(A921,2),"월","화","수","목","금","토","일"))</f>
        <v/>
      </c>
      <c r="C921" s="18" t="n"/>
      <c r="D921" s="25">
        <f>IFERROR(IF(C921="","",INDEX(직원명부!$B$5:$B$24,MATCH(C921,직원명부!$A$5:$A$24,0))),"사번 확인")</f>
        <v/>
      </c>
      <c r="E921" s="34" t="n"/>
      <c r="F921" s="34" t="n"/>
      <c r="G921" s="28" t="n"/>
      <c r="H921" s="33">
        <f>IF(OR(E921="",F921=""),"",ROUND(MOD(F921-E921,1)*24-N(G921),2))</f>
        <v/>
      </c>
      <c r="I921" s="33">
        <f>IF(H921="","",ROUND(MAX(0,H921-8),2))</f>
        <v/>
      </c>
      <c r="J921" s="33">
        <f>IF(OR(E921="",F921=""),"",ROUND(IF(MOD(F921,1)&gt;=TIME(22,0,0),(MOD(F921,1)-TIME(22,0,0))*24,IF(MOD(F921,1)&lt;TIME(6,0,0),(MOD(F921,1)+1-TIME(22,0,0))*24,0)),2))</f>
        <v/>
      </c>
      <c r="K921" s="33">
        <f>IF(H921="","",ROUND(IF(L921="휴일근로",MIN(H921,8)*1.5+MAX(0,H921-8)*2,I921*1.5)+N(J921)*0.5,2))</f>
        <v/>
      </c>
      <c r="L921" s="18" t="n"/>
      <c r="M921" s="18" t="n"/>
      <c r="N921" s="22" t="n"/>
    </row>
    <row r="922">
      <c r="A922" s="19" t="n"/>
      <c r="B922" s="25">
        <f>IF(A922="","",CHOOSE(WEEKDAY(A922,2),"월","화","수","목","금","토","일"))</f>
        <v/>
      </c>
      <c r="C922" s="18" t="n"/>
      <c r="D922" s="25">
        <f>IFERROR(IF(C922="","",INDEX(직원명부!$B$5:$B$24,MATCH(C922,직원명부!$A$5:$A$24,0))),"사번 확인")</f>
        <v/>
      </c>
      <c r="E922" s="34" t="n"/>
      <c r="F922" s="34" t="n"/>
      <c r="G922" s="28" t="n"/>
      <c r="H922" s="33">
        <f>IF(OR(E922="",F922=""),"",ROUND(MOD(F922-E922,1)*24-N(G922),2))</f>
        <v/>
      </c>
      <c r="I922" s="33">
        <f>IF(H922="","",ROUND(MAX(0,H922-8),2))</f>
        <v/>
      </c>
      <c r="J922" s="33">
        <f>IF(OR(E922="",F922=""),"",ROUND(IF(MOD(F922,1)&gt;=TIME(22,0,0),(MOD(F922,1)-TIME(22,0,0))*24,IF(MOD(F922,1)&lt;TIME(6,0,0),(MOD(F922,1)+1-TIME(22,0,0))*24,0)),2))</f>
        <v/>
      </c>
      <c r="K922" s="33">
        <f>IF(H922="","",ROUND(IF(L922="휴일근로",MIN(H922,8)*1.5+MAX(0,H922-8)*2,I922*1.5)+N(J922)*0.5,2))</f>
        <v/>
      </c>
      <c r="L922" s="18" t="n"/>
      <c r="M922" s="18" t="n"/>
      <c r="N922" s="22" t="n"/>
    </row>
    <row r="923">
      <c r="A923" s="19" t="n"/>
      <c r="B923" s="25">
        <f>IF(A923="","",CHOOSE(WEEKDAY(A923,2),"월","화","수","목","금","토","일"))</f>
        <v/>
      </c>
      <c r="C923" s="18" t="n"/>
      <c r="D923" s="25">
        <f>IFERROR(IF(C923="","",INDEX(직원명부!$B$5:$B$24,MATCH(C923,직원명부!$A$5:$A$24,0))),"사번 확인")</f>
        <v/>
      </c>
      <c r="E923" s="34" t="n"/>
      <c r="F923" s="34" t="n"/>
      <c r="G923" s="28" t="n"/>
      <c r="H923" s="33">
        <f>IF(OR(E923="",F923=""),"",ROUND(MOD(F923-E923,1)*24-N(G923),2))</f>
        <v/>
      </c>
      <c r="I923" s="33">
        <f>IF(H923="","",ROUND(MAX(0,H923-8),2))</f>
        <v/>
      </c>
      <c r="J923" s="33">
        <f>IF(OR(E923="",F923=""),"",ROUND(IF(MOD(F923,1)&gt;=TIME(22,0,0),(MOD(F923,1)-TIME(22,0,0))*24,IF(MOD(F923,1)&lt;TIME(6,0,0),(MOD(F923,1)+1-TIME(22,0,0))*24,0)),2))</f>
        <v/>
      </c>
      <c r="K923" s="33">
        <f>IF(H923="","",ROUND(IF(L923="휴일근로",MIN(H923,8)*1.5+MAX(0,H923-8)*2,I923*1.5)+N(J923)*0.5,2))</f>
        <v/>
      </c>
      <c r="L923" s="18" t="n"/>
      <c r="M923" s="18" t="n"/>
      <c r="N923" s="22" t="n"/>
    </row>
    <row r="924">
      <c r="A924" s="19" t="n"/>
      <c r="B924" s="25">
        <f>IF(A924="","",CHOOSE(WEEKDAY(A924,2),"월","화","수","목","금","토","일"))</f>
        <v/>
      </c>
      <c r="C924" s="18" t="n"/>
      <c r="D924" s="25">
        <f>IFERROR(IF(C924="","",INDEX(직원명부!$B$5:$B$24,MATCH(C924,직원명부!$A$5:$A$24,0))),"사번 확인")</f>
        <v/>
      </c>
      <c r="E924" s="34" t="n"/>
      <c r="F924" s="34" t="n"/>
      <c r="G924" s="28" t="n"/>
      <c r="H924" s="33">
        <f>IF(OR(E924="",F924=""),"",ROUND(MOD(F924-E924,1)*24-N(G924),2))</f>
        <v/>
      </c>
      <c r="I924" s="33">
        <f>IF(H924="","",ROUND(MAX(0,H924-8),2))</f>
        <v/>
      </c>
      <c r="J924" s="33">
        <f>IF(OR(E924="",F924=""),"",ROUND(IF(MOD(F924,1)&gt;=TIME(22,0,0),(MOD(F924,1)-TIME(22,0,0))*24,IF(MOD(F924,1)&lt;TIME(6,0,0),(MOD(F924,1)+1-TIME(22,0,0))*24,0)),2))</f>
        <v/>
      </c>
      <c r="K924" s="33">
        <f>IF(H924="","",ROUND(IF(L924="휴일근로",MIN(H924,8)*1.5+MAX(0,H924-8)*2,I924*1.5)+N(J924)*0.5,2))</f>
        <v/>
      </c>
      <c r="L924" s="18" t="n"/>
      <c r="M924" s="18" t="n"/>
      <c r="N924" s="22" t="n"/>
    </row>
    <row r="925">
      <c r="A925" s="19" t="n"/>
      <c r="B925" s="25">
        <f>IF(A925="","",CHOOSE(WEEKDAY(A925,2),"월","화","수","목","금","토","일"))</f>
        <v/>
      </c>
      <c r="C925" s="18" t="n"/>
      <c r="D925" s="25">
        <f>IFERROR(IF(C925="","",INDEX(직원명부!$B$5:$B$24,MATCH(C925,직원명부!$A$5:$A$24,0))),"사번 확인")</f>
        <v/>
      </c>
      <c r="E925" s="34" t="n"/>
      <c r="F925" s="34" t="n"/>
      <c r="G925" s="28" t="n"/>
      <c r="H925" s="33">
        <f>IF(OR(E925="",F925=""),"",ROUND(MOD(F925-E925,1)*24-N(G925),2))</f>
        <v/>
      </c>
      <c r="I925" s="33">
        <f>IF(H925="","",ROUND(MAX(0,H925-8),2))</f>
        <v/>
      </c>
      <c r="J925" s="33">
        <f>IF(OR(E925="",F925=""),"",ROUND(IF(MOD(F925,1)&gt;=TIME(22,0,0),(MOD(F925,1)-TIME(22,0,0))*24,IF(MOD(F925,1)&lt;TIME(6,0,0),(MOD(F925,1)+1-TIME(22,0,0))*24,0)),2))</f>
        <v/>
      </c>
      <c r="K925" s="33">
        <f>IF(H925="","",ROUND(IF(L925="휴일근로",MIN(H925,8)*1.5+MAX(0,H925-8)*2,I925*1.5)+N(J925)*0.5,2))</f>
        <v/>
      </c>
      <c r="L925" s="18" t="n"/>
      <c r="M925" s="18" t="n"/>
      <c r="N925" s="22" t="n"/>
    </row>
    <row r="926">
      <c r="A926" s="19" t="n"/>
      <c r="B926" s="25">
        <f>IF(A926="","",CHOOSE(WEEKDAY(A926,2),"월","화","수","목","금","토","일"))</f>
        <v/>
      </c>
      <c r="C926" s="18" t="n"/>
      <c r="D926" s="25">
        <f>IFERROR(IF(C926="","",INDEX(직원명부!$B$5:$B$24,MATCH(C926,직원명부!$A$5:$A$24,0))),"사번 확인")</f>
        <v/>
      </c>
      <c r="E926" s="34" t="n"/>
      <c r="F926" s="34" t="n"/>
      <c r="G926" s="28" t="n"/>
      <c r="H926" s="33">
        <f>IF(OR(E926="",F926=""),"",ROUND(MOD(F926-E926,1)*24-N(G926),2))</f>
        <v/>
      </c>
      <c r="I926" s="33">
        <f>IF(H926="","",ROUND(MAX(0,H926-8),2))</f>
        <v/>
      </c>
      <c r="J926" s="33">
        <f>IF(OR(E926="",F926=""),"",ROUND(IF(MOD(F926,1)&gt;=TIME(22,0,0),(MOD(F926,1)-TIME(22,0,0))*24,IF(MOD(F926,1)&lt;TIME(6,0,0),(MOD(F926,1)+1-TIME(22,0,0))*24,0)),2))</f>
        <v/>
      </c>
      <c r="K926" s="33">
        <f>IF(H926="","",ROUND(IF(L926="휴일근로",MIN(H926,8)*1.5+MAX(0,H926-8)*2,I926*1.5)+N(J926)*0.5,2))</f>
        <v/>
      </c>
      <c r="L926" s="18" t="n"/>
      <c r="M926" s="18" t="n"/>
      <c r="N926" s="22" t="n"/>
    </row>
    <row r="927">
      <c r="A927" s="19" t="n"/>
      <c r="B927" s="25">
        <f>IF(A927="","",CHOOSE(WEEKDAY(A927,2),"월","화","수","목","금","토","일"))</f>
        <v/>
      </c>
      <c r="C927" s="18" t="n"/>
      <c r="D927" s="25">
        <f>IFERROR(IF(C927="","",INDEX(직원명부!$B$5:$B$24,MATCH(C927,직원명부!$A$5:$A$24,0))),"사번 확인")</f>
        <v/>
      </c>
      <c r="E927" s="34" t="n"/>
      <c r="F927" s="34" t="n"/>
      <c r="G927" s="28" t="n"/>
      <c r="H927" s="33">
        <f>IF(OR(E927="",F927=""),"",ROUND(MOD(F927-E927,1)*24-N(G927),2))</f>
        <v/>
      </c>
      <c r="I927" s="33">
        <f>IF(H927="","",ROUND(MAX(0,H927-8),2))</f>
        <v/>
      </c>
      <c r="J927" s="33">
        <f>IF(OR(E927="",F927=""),"",ROUND(IF(MOD(F927,1)&gt;=TIME(22,0,0),(MOD(F927,1)-TIME(22,0,0))*24,IF(MOD(F927,1)&lt;TIME(6,0,0),(MOD(F927,1)+1-TIME(22,0,0))*24,0)),2))</f>
        <v/>
      </c>
      <c r="K927" s="33">
        <f>IF(H927="","",ROUND(IF(L927="휴일근로",MIN(H927,8)*1.5+MAX(0,H927-8)*2,I927*1.5)+N(J927)*0.5,2))</f>
        <v/>
      </c>
      <c r="L927" s="18" t="n"/>
      <c r="M927" s="18" t="n"/>
      <c r="N927" s="22" t="n"/>
    </row>
    <row r="928">
      <c r="A928" s="19" t="n"/>
      <c r="B928" s="25">
        <f>IF(A928="","",CHOOSE(WEEKDAY(A928,2),"월","화","수","목","금","토","일"))</f>
        <v/>
      </c>
      <c r="C928" s="18" t="n"/>
      <c r="D928" s="25">
        <f>IFERROR(IF(C928="","",INDEX(직원명부!$B$5:$B$24,MATCH(C928,직원명부!$A$5:$A$24,0))),"사번 확인")</f>
        <v/>
      </c>
      <c r="E928" s="34" t="n"/>
      <c r="F928" s="34" t="n"/>
      <c r="G928" s="28" t="n"/>
      <c r="H928" s="33">
        <f>IF(OR(E928="",F928=""),"",ROUND(MOD(F928-E928,1)*24-N(G928),2))</f>
        <v/>
      </c>
      <c r="I928" s="33">
        <f>IF(H928="","",ROUND(MAX(0,H928-8),2))</f>
        <v/>
      </c>
      <c r="J928" s="33">
        <f>IF(OR(E928="",F928=""),"",ROUND(IF(MOD(F928,1)&gt;=TIME(22,0,0),(MOD(F928,1)-TIME(22,0,0))*24,IF(MOD(F928,1)&lt;TIME(6,0,0),(MOD(F928,1)+1-TIME(22,0,0))*24,0)),2))</f>
        <v/>
      </c>
      <c r="K928" s="33">
        <f>IF(H928="","",ROUND(IF(L928="휴일근로",MIN(H928,8)*1.5+MAX(0,H928-8)*2,I928*1.5)+N(J928)*0.5,2))</f>
        <v/>
      </c>
      <c r="L928" s="18" t="n"/>
      <c r="M928" s="18" t="n"/>
      <c r="N928" s="22" t="n"/>
    </row>
    <row r="929">
      <c r="A929" s="19" t="n"/>
      <c r="B929" s="25">
        <f>IF(A929="","",CHOOSE(WEEKDAY(A929,2),"월","화","수","목","금","토","일"))</f>
        <v/>
      </c>
      <c r="C929" s="18" t="n"/>
      <c r="D929" s="25">
        <f>IFERROR(IF(C929="","",INDEX(직원명부!$B$5:$B$24,MATCH(C929,직원명부!$A$5:$A$24,0))),"사번 확인")</f>
        <v/>
      </c>
      <c r="E929" s="34" t="n"/>
      <c r="F929" s="34" t="n"/>
      <c r="G929" s="28" t="n"/>
      <c r="H929" s="33">
        <f>IF(OR(E929="",F929=""),"",ROUND(MOD(F929-E929,1)*24-N(G929),2))</f>
        <v/>
      </c>
      <c r="I929" s="33">
        <f>IF(H929="","",ROUND(MAX(0,H929-8),2))</f>
        <v/>
      </c>
      <c r="J929" s="33">
        <f>IF(OR(E929="",F929=""),"",ROUND(IF(MOD(F929,1)&gt;=TIME(22,0,0),(MOD(F929,1)-TIME(22,0,0))*24,IF(MOD(F929,1)&lt;TIME(6,0,0),(MOD(F929,1)+1-TIME(22,0,0))*24,0)),2))</f>
        <v/>
      </c>
      <c r="K929" s="33">
        <f>IF(H929="","",ROUND(IF(L929="휴일근로",MIN(H929,8)*1.5+MAX(0,H929-8)*2,I929*1.5)+N(J929)*0.5,2))</f>
        <v/>
      </c>
      <c r="L929" s="18" t="n"/>
      <c r="M929" s="18" t="n"/>
      <c r="N929" s="22" t="n"/>
    </row>
    <row r="930">
      <c r="A930" s="19" t="n"/>
      <c r="B930" s="25">
        <f>IF(A930="","",CHOOSE(WEEKDAY(A930,2),"월","화","수","목","금","토","일"))</f>
        <v/>
      </c>
      <c r="C930" s="18" t="n"/>
      <c r="D930" s="25">
        <f>IFERROR(IF(C930="","",INDEX(직원명부!$B$5:$B$24,MATCH(C930,직원명부!$A$5:$A$24,0))),"사번 확인")</f>
        <v/>
      </c>
      <c r="E930" s="34" t="n"/>
      <c r="F930" s="34" t="n"/>
      <c r="G930" s="28" t="n"/>
      <c r="H930" s="33">
        <f>IF(OR(E930="",F930=""),"",ROUND(MOD(F930-E930,1)*24-N(G930),2))</f>
        <v/>
      </c>
      <c r="I930" s="33">
        <f>IF(H930="","",ROUND(MAX(0,H930-8),2))</f>
        <v/>
      </c>
      <c r="J930" s="33">
        <f>IF(OR(E930="",F930=""),"",ROUND(IF(MOD(F930,1)&gt;=TIME(22,0,0),(MOD(F930,1)-TIME(22,0,0))*24,IF(MOD(F930,1)&lt;TIME(6,0,0),(MOD(F930,1)+1-TIME(22,0,0))*24,0)),2))</f>
        <v/>
      </c>
      <c r="K930" s="33">
        <f>IF(H930="","",ROUND(IF(L930="휴일근로",MIN(H930,8)*1.5+MAX(0,H930-8)*2,I930*1.5)+N(J930)*0.5,2))</f>
        <v/>
      </c>
      <c r="L930" s="18" t="n"/>
      <c r="M930" s="18" t="n"/>
      <c r="N930" s="22" t="n"/>
    </row>
    <row r="931">
      <c r="A931" s="19" t="n"/>
      <c r="B931" s="25">
        <f>IF(A931="","",CHOOSE(WEEKDAY(A931,2),"월","화","수","목","금","토","일"))</f>
        <v/>
      </c>
      <c r="C931" s="18" t="n"/>
      <c r="D931" s="25">
        <f>IFERROR(IF(C931="","",INDEX(직원명부!$B$5:$B$24,MATCH(C931,직원명부!$A$5:$A$24,0))),"사번 확인")</f>
        <v/>
      </c>
      <c r="E931" s="34" t="n"/>
      <c r="F931" s="34" t="n"/>
      <c r="G931" s="28" t="n"/>
      <c r="H931" s="33">
        <f>IF(OR(E931="",F931=""),"",ROUND(MOD(F931-E931,1)*24-N(G931),2))</f>
        <v/>
      </c>
      <c r="I931" s="33">
        <f>IF(H931="","",ROUND(MAX(0,H931-8),2))</f>
        <v/>
      </c>
      <c r="J931" s="33">
        <f>IF(OR(E931="",F931=""),"",ROUND(IF(MOD(F931,1)&gt;=TIME(22,0,0),(MOD(F931,1)-TIME(22,0,0))*24,IF(MOD(F931,1)&lt;TIME(6,0,0),(MOD(F931,1)+1-TIME(22,0,0))*24,0)),2))</f>
        <v/>
      </c>
      <c r="K931" s="33">
        <f>IF(H931="","",ROUND(IF(L931="휴일근로",MIN(H931,8)*1.5+MAX(0,H931-8)*2,I931*1.5)+N(J931)*0.5,2))</f>
        <v/>
      </c>
      <c r="L931" s="18" t="n"/>
      <c r="M931" s="18" t="n"/>
      <c r="N931" s="22" t="n"/>
    </row>
    <row r="932">
      <c r="A932" s="19" t="n"/>
      <c r="B932" s="25">
        <f>IF(A932="","",CHOOSE(WEEKDAY(A932,2),"월","화","수","목","금","토","일"))</f>
        <v/>
      </c>
      <c r="C932" s="18" t="n"/>
      <c r="D932" s="25">
        <f>IFERROR(IF(C932="","",INDEX(직원명부!$B$5:$B$24,MATCH(C932,직원명부!$A$5:$A$24,0))),"사번 확인")</f>
        <v/>
      </c>
      <c r="E932" s="34" t="n"/>
      <c r="F932" s="34" t="n"/>
      <c r="G932" s="28" t="n"/>
      <c r="H932" s="33">
        <f>IF(OR(E932="",F932=""),"",ROUND(MOD(F932-E932,1)*24-N(G932),2))</f>
        <v/>
      </c>
      <c r="I932" s="33">
        <f>IF(H932="","",ROUND(MAX(0,H932-8),2))</f>
        <v/>
      </c>
      <c r="J932" s="33">
        <f>IF(OR(E932="",F932=""),"",ROUND(IF(MOD(F932,1)&gt;=TIME(22,0,0),(MOD(F932,1)-TIME(22,0,0))*24,IF(MOD(F932,1)&lt;TIME(6,0,0),(MOD(F932,1)+1-TIME(22,0,0))*24,0)),2))</f>
        <v/>
      </c>
      <c r="K932" s="33">
        <f>IF(H932="","",ROUND(IF(L932="휴일근로",MIN(H932,8)*1.5+MAX(0,H932-8)*2,I932*1.5)+N(J932)*0.5,2))</f>
        <v/>
      </c>
      <c r="L932" s="18" t="n"/>
      <c r="M932" s="18" t="n"/>
      <c r="N932" s="22" t="n"/>
    </row>
    <row r="933">
      <c r="A933" s="19" t="n"/>
      <c r="B933" s="25">
        <f>IF(A933="","",CHOOSE(WEEKDAY(A933,2),"월","화","수","목","금","토","일"))</f>
        <v/>
      </c>
      <c r="C933" s="18" t="n"/>
      <c r="D933" s="25">
        <f>IFERROR(IF(C933="","",INDEX(직원명부!$B$5:$B$24,MATCH(C933,직원명부!$A$5:$A$24,0))),"사번 확인")</f>
        <v/>
      </c>
      <c r="E933" s="34" t="n"/>
      <c r="F933" s="34" t="n"/>
      <c r="G933" s="28" t="n"/>
      <c r="H933" s="33">
        <f>IF(OR(E933="",F933=""),"",ROUND(MOD(F933-E933,1)*24-N(G933),2))</f>
        <v/>
      </c>
      <c r="I933" s="33">
        <f>IF(H933="","",ROUND(MAX(0,H933-8),2))</f>
        <v/>
      </c>
      <c r="J933" s="33">
        <f>IF(OR(E933="",F933=""),"",ROUND(IF(MOD(F933,1)&gt;=TIME(22,0,0),(MOD(F933,1)-TIME(22,0,0))*24,IF(MOD(F933,1)&lt;TIME(6,0,0),(MOD(F933,1)+1-TIME(22,0,0))*24,0)),2))</f>
        <v/>
      </c>
      <c r="K933" s="33">
        <f>IF(H933="","",ROUND(IF(L933="휴일근로",MIN(H933,8)*1.5+MAX(0,H933-8)*2,I933*1.5)+N(J933)*0.5,2))</f>
        <v/>
      </c>
      <c r="L933" s="18" t="n"/>
      <c r="M933" s="18" t="n"/>
      <c r="N933" s="22" t="n"/>
    </row>
    <row r="934">
      <c r="A934" s="19" t="n"/>
      <c r="B934" s="25">
        <f>IF(A934="","",CHOOSE(WEEKDAY(A934,2),"월","화","수","목","금","토","일"))</f>
        <v/>
      </c>
      <c r="C934" s="18" t="n"/>
      <c r="D934" s="25">
        <f>IFERROR(IF(C934="","",INDEX(직원명부!$B$5:$B$24,MATCH(C934,직원명부!$A$5:$A$24,0))),"사번 확인")</f>
        <v/>
      </c>
      <c r="E934" s="34" t="n"/>
      <c r="F934" s="34" t="n"/>
      <c r="G934" s="28" t="n"/>
      <c r="H934" s="33">
        <f>IF(OR(E934="",F934=""),"",ROUND(MOD(F934-E934,1)*24-N(G934),2))</f>
        <v/>
      </c>
      <c r="I934" s="33">
        <f>IF(H934="","",ROUND(MAX(0,H934-8),2))</f>
        <v/>
      </c>
      <c r="J934" s="33">
        <f>IF(OR(E934="",F934=""),"",ROUND(IF(MOD(F934,1)&gt;=TIME(22,0,0),(MOD(F934,1)-TIME(22,0,0))*24,IF(MOD(F934,1)&lt;TIME(6,0,0),(MOD(F934,1)+1-TIME(22,0,0))*24,0)),2))</f>
        <v/>
      </c>
      <c r="K934" s="33">
        <f>IF(H934="","",ROUND(IF(L934="휴일근로",MIN(H934,8)*1.5+MAX(0,H934-8)*2,I934*1.5)+N(J934)*0.5,2))</f>
        <v/>
      </c>
      <c r="L934" s="18" t="n"/>
      <c r="M934" s="18" t="n"/>
      <c r="N934" s="22" t="n"/>
    </row>
    <row r="935">
      <c r="A935" s="19" t="n"/>
      <c r="B935" s="25">
        <f>IF(A935="","",CHOOSE(WEEKDAY(A935,2),"월","화","수","목","금","토","일"))</f>
        <v/>
      </c>
      <c r="C935" s="18" t="n"/>
      <c r="D935" s="25">
        <f>IFERROR(IF(C935="","",INDEX(직원명부!$B$5:$B$24,MATCH(C935,직원명부!$A$5:$A$24,0))),"사번 확인")</f>
        <v/>
      </c>
      <c r="E935" s="34" t="n"/>
      <c r="F935" s="34" t="n"/>
      <c r="G935" s="28" t="n"/>
      <c r="H935" s="33">
        <f>IF(OR(E935="",F935=""),"",ROUND(MOD(F935-E935,1)*24-N(G935),2))</f>
        <v/>
      </c>
      <c r="I935" s="33">
        <f>IF(H935="","",ROUND(MAX(0,H935-8),2))</f>
        <v/>
      </c>
      <c r="J935" s="33">
        <f>IF(OR(E935="",F935=""),"",ROUND(IF(MOD(F935,1)&gt;=TIME(22,0,0),(MOD(F935,1)-TIME(22,0,0))*24,IF(MOD(F935,1)&lt;TIME(6,0,0),(MOD(F935,1)+1-TIME(22,0,0))*24,0)),2))</f>
        <v/>
      </c>
      <c r="K935" s="33">
        <f>IF(H935="","",ROUND(IF(L935="휴일근로",MIN(H935,8)*1.5+MAX(0,H935-8)*2,I935*1.5)+N(J935)*0.5,2))</f>
        <v/>
      </c>
      <c r="L935" s="18" t="n"/>
      <c r="M935" s="18" t="n"/>
      <c r="N935" s="22" t="n"/>
    </row>
    <row r="936">
      <c r="A936" s="19" t="n"/>
      <c r="B936" s="25">
        <f>IF(A936="","",CHOOSE(WEEKDAY(A936,2),"월","화","수","목","금","토","일"))</f>
        <v/>
      </c>
      <c r="C936" s="18" t="n"/>
      <c r="D936" s="25">
        <f>IFERROR(IF(C936="","",INDEX(직원명부!$B$5:$B$24,MATCH(C936,직원명부!$A$5:$A$24,0))),"사번 확인")</f>
        <v/>
      </c>
      <c r="E936" s="34" t="n"/>
      <c r="F936" s="34" t="n"/>
      <c r="G936" s="28" t="n"/>
      <c r="H936" s="33">
        <f>IF(OR(E936="",F936=""),"",ROUND(MOD(F936-E936,1)*24-N(G936),2))</f>
        <v/>
      </c>
      <c r="I936" s="33">
        <f>IF(H936="","",ROUND(MAX(0,H936-8),2))</f>
        <v/>
      </c>
      <c r="J936" s="33">
        <f>IF(OR(E936="",F936=""),"",ROUND(IF(MOD(F936,1)&gt;=TIME(22,0,0),(MOD(F936,1)-TIME(22,0,0))*24,IF(MOD(F936,1)&lt;TIME(6,0,0),(MOD(F936,1)+1-TIME(22,0,0))*24,0)),2))</f>
        <v/>
      </c>
      <c r="K936" s="33">
        <f>IF(H936="","",ROUND(IF(L936="휴일근로",MIN(H936,8)*1.5+MAX(0,H936-8)*2,I936*1.5)+N(J936)*0.5,2))</f>
        <v/>
      </c>
      <c r="L936" s="18" t="n"/>
      <c r="M936" s="18" t="n"/>
      <c r="N936" s="22" t="n"/>
    </row>
    <row r="937">
      <c r="A937" s="19" t="n"/>
      <c r="B937" s="25">
        <f>IF(A937="","",CHOOSE(WEEKDAY(A937,2),"월","화","수","목","금","토","일"))</f>
        <v/>
      </c>
      <c r="C937" s="18" t="n"/>
      <c r="D937" s="25">
        <f>IFERROR(IF(C937="","",INDEX(직원명부!$B$5:$B$24,MATCH(C937,직원명부!$A$5:$A$24,0))),"사번 확인")</f>
        <v/>
      </c>
      <c r="E937" s="34" t="n"/>
      <c r="F937" s="34" t="n"/>
      <c r="G937" s="28" t="n"/>
      <c r="H937" s="33">
        <f>IF(OR(E937="",F937=""),"",ROUND(MOD(F937-E937,1)*24-N(G937),2))</f>
        <v/>
      </c>
      <c r="I937" s="33">
        <f>IF(H937="","",ROUND(MAX(0,H937-8),2))</f>
        <v/>
      </c>
      <c r="J937" s="33">
        <f>IF(OR(E937="",F937=""),"",ROUND(IF(MOD(F937,1)&gt;=TIME(22,0,0),(MOD(F937,1)-TIME(22,0,0))*24,IF(MOD(F937,1)&lt;TIME(6,0,0),(MOD(F937,1)+1-TIME(22,0,0))*24,0)),2))</f>
        <v/>
      </c>
      <c r="K937" s="33">
        <f>IF(H937="","",ROUND(IF(L937="휴일근로",MIN(H937,8)*1.5+MAX(0,H937-8)*2,I937*1.5)+N(J937)*0.5,2))</f>
        <v/>
      </c>
      <c r="L937" s="18" t="n"/>
      <c r="M937" s="18" t="n"/>
      <c r="N937" s="22" t="n"/>
    </row>
    <row r="938">
      <c r="A938" s="19" t="n"/>
      <c r="B938" s="25">
        <f>IF(A938="","",CHOOSE(WEEKDAY(A938,2),"월","화","수","목","금","토","일"))</f>
        <v/>
      </c>
      <c r="C938" s="18" t="n"/>
      <c r="D938" s="25">
        <f>IFERROR(IF(C938="","",INDEX(직원명부!$B$5:$B$24,MATCH(C938,직원명부!$A$5:$A$24,0))),"사번 확인")</f>
        <v/>
      </c>
      <c r="E938" s="34" t="n"/>
      <c r="F938" s="34" t="n"/>
      <c r="G938" s="28" t="n"/>
      <c r="H938" s="33">
        <f>IF(OR(E938="",F938=""),"",ROUND(MOD(F938-E938,1)*24-N(G938),2))</f>
        <v/>
      </c>
      <c r="I938" s="33">
        <f>IF(H938="","",ROUND(MAX(0,H938-8),2))</f>
        <v/>
      </c>
      <c r="J938" s="33">
        <f>IF(OR(E938="",F938=""),"",ROUND(IF(MOD(F938,1)&gt;=TIME(22,0,0),(MOD(F938,1)-TIME(22,0,0))*24,IF(MOD(F938,1)&lt;TIME(6,0,0),(MOD(F938,1)+1-TIME(22,0,0))*24,0)),2))</f>
        <v/>
      </c>
      <c r="K938" s="33">
        <f>IF(H938="","",ROUND(IF(L938="휴일근로",MIN(H938,8)*1.5+MAX(0,H938-8)*2,I938*1.5)+N(J938)*0.5,2))</f>
        <v/>
      </c>
      <c r="L938" s="18" t="n"/>
      <c r="M938" s="18" t="n"/>
      <c r="N938" s="22" t="n"/>
    </row>
    <row r="939">
      <c r="A939" s="19" t="n"/>
      <c r="B939" s="25">
        <f>IF(A939="","",CHOOSE(WEEKDAY(A939,2),"월","화","수","목","금","토","일"))</f>
        <v/>
      </c>
      <c r="C939" s="18" t="n"/>
      <c r="D939" s="25">
        <f>IFERROR(IF(C939="","",INDEX(직원명부!$B$5:$B$24,MATCH(C939,직원명부!$A$5:$A$24,0))),"사번 확인")</f>
        <v/>
      </c>
      <c r="E939" s="34" t="n"/>
      <c r="F939" s="34" t="n"/>
      <c r="G939" s="28" t="n"/>
      <c r="H939" s="33">
        <f>IF(OR(E939="",F939=""),"",ROUND(MOD(F939-E939,1)*24-N(G939),2))</f>
        <v/>
      </c>
      <c r="I939" s="33">
        <f>IF(H939="","",ROUND(MAX(0,H939-8),2))</f>
        <v/>
      </c>
      <c r="J939" s="33">
        <f>IF(OR(E939="",F939=""),"",ROUND(IF(MOD(F939,1)&gt;=TIME(22,0,0),(MOD(F939,1)-TIME(22,0,0))*24,IF(MOD(F939,1)&lt;TIME(6,0,0),(MOD(F939,1)+1-TIME(22,0,0))*24,0)),2))</f>
        <v/>
      </c>
      <c r="K939" s="33">
        <f>IF(H939="","",ROUND(IF(L939="휴일근로",MIN(H939,8)*1.5+MAX(0,H939-8)*2,I939*1.5)+N(J939)*0.5,2))</f>
        <v/>
      </c>
      <c r="L939" s="18" t="n"/>
      <c r="M939" s="18" t="n"/>
      <c r="N939" s="22" t="n"/>
    </row>
    <row r="940">
      <c r="A940" s="19" t="n"/>
      <c r="B940" s="25">
        <f>IF(A940="","",CHOOSE(WEEKDAY(A940,2),"월","화","수","목","금","토","일"))</f>
        <v/>
      </c>
      <c r="C940" s="18" t="n"/>
      <c r="D940" s="25">
        <f>IFERROR(IF(C940="","",INDEX(직원명부!$B$5:$B$24,MATCH(C940,직원명부!$A$5:$A$24,0))),"사번 확인")</f>
        <v/>
      </c>
      <c r="E940" s="34" t="n"/>
      <c r="F940" s="34" t="n"/>
      <c r="G940" s="28" t="n"/>
      <c r="H940" s="33">
        <f>IF(OR(E940="",F940=""),"",ROUND(MOD(F940-E940,1)*24-N(G940),2))</f>
        <v/>
      </c>
      <c r="I940" s="33">
        <f>IF(H940="","",ROUND(MAX(0,H940-8),2))</f>
        <v/>
      </c>
      <c r="J940" s="33">
        <f>IF(OR(E940="",F940=""),"",ROUND(IF(MOD(F940,1)&gt;=TIME(22,0,0),(MOD(F940,1)-TIME(22,0,0))*24,IF(MOD(F940,1)&lt;TIME(6,0,0),(MOD(F940,1)+1-TIME(22,0,0))*24,0)),2))</f>
        <v/>
      </c>
      <c r="K940" s="33">
        <f>IF(H940="","",ROUND(IF(L940="휴일근로",MIN(H940,8)*1.5+MAX(0,H940-8)*2,I940*1.5)+N(J940)*0.5,2))</f>
        <v/>
      </c>
      <c r="L940" s="18" t="n"/>
      <c r="M940" s="18" t="n"/>
      <c r="N940" s="22" t="n"/>
    </row>
    <row r="941">
      <c r="A941" s="19" t="n"/>
      <c r="B941" s="25">
        <f>IF(A941="","",CHOOSE(WEEKDAY(A941,2),"월","화","수","목","금","토","일"))</f>
        <v/>
      </c>
      <c r="C941" s="18" t="n"/>
      <c r="D941" s="25">
        <f>IFERROR(IF(C941="","",INDEX(직원명부!$B$5:$B$24,MATCH(C941,직원명부!$A$5:$A$24,0))),"사번 확인")</f>
        <v/>
      </c>
      <c r="E941" s="34" t="n"/>
      <c r="F941" s="34" t="n"/>
      <c r="G941" s="28" t="n"/>
      <c r="H941" s="33">
        <f>IF(OR(E941="",F941=""),"",ROUND(MOD(F941-E941,1)*24-N(G941),2))</f>
        <v/>
      </c>
      <c r="I941" s="33">
        <f>IF(H941="","",ROUND(MAX(0,H941-8),2))</f>
        <v/>
      </c>
      <c r="J941" s="33">
        <f>IF(OR(E941="",F941=""),"",ROUND(IF(MOD(F941,1)&gt;=TIME(22,0,0),(MOD(F941,1)-TIME(22,0,0))*24,IF(MOD(F941,1)&lt;TIME(6,0,0),(MOD(F941,1)+1-TIME(22,0,0))*24,0)),2))</f>
        <v/>
      </c>
      <c r="K941" s="33">
        <f>IF(H941="","",ROUND(IF(L941="휴일근로",MIN(H941,8)*1.5+MAX(0,H941-8)*2,I941*1.5)+N(J941)*0.5,2))</f>
        <v/>
      </c>
      <c r="L941" s="18" t="n"/>
      <c r="M941" s="18" t="n"/>
      <c r="N941" s="22" t="n"/>
    </row>
    <row r="942">
      <c r="A942" s="19" t="n"/>
      <c r="B942" s="25">
        <f>IF(A942="","",CHOOSE(WEEKDAY(A942,2),"월","화","수","목","금","토","일"))</f>
        <v/>
      </c>
      <c r="C942" s="18" t="n"/>
      <c r="D942" s="25">
        <f>IFERROR(IF(C942="","",INDEX(직원명부!$B$5:$B$24,MATCH(C942,직원명부!$A$5:$A$24,0))),"사번 확인")</f>
        <v/>
      </c>
      <c r="E942" s="34" t="n"/>
      <c r="F942" s="34" t="n"/>
      <c r="G942" s="28" t="n"/>
      <c r="H942" s="33">
        <f>IF(OR(E942="",F942=""),"",ROUND(MOD(F942-E942,1)*24-N(G942),2))</f>
        <v/>
      </c>
      <c r="I942" s="33">
        <f>IF(H942="","",ROUND(MAX(0,H942-8),2))</f>
        <v/>
      </c>
      <c r="J942" s="33">
        <f>IF(OR(E942="",F942=""),"",ROUND(IF(MOD(F942,1)&gt;=TIME(22,0,0),(MOD(F942,1)-TIME(22,0,0))*24,IF(MOD(F942,1)&lt;TIME(6,0,0),(MOD(F942,1)+1-TIME(22,0,0))*24,0)),2))</f>
        <v/>
      </c>
      <c r="K942" s="33">
        <f>IF(H942="","",ROUND(IF(L942="휴일근로",MIN(H942,8)*1.5+MAX(0,H942-8)*2,I942*1.5)+N(J942)*0.5,2))</f>
        <v/>
      </c>
      <c r="L942" s="18" t="n"/>
      <c r="M942" s="18" t="n"/>
      <c r="N942" s="22" t="n"/>
    </row>
    <row r="943">
      <c r="A943" s="19" t="n"/>
      <c r="B943" s="25">
        <f>IF(A943="","",CHOOSE(WEEKDAY(A943,2),"월","화","수","목","금","토","일"))</f>
        <v/>
      </c>
      <c r="C943" s="18" t="n"/>
      <c r="D943" s="25">
        <f>IFERROR(IF(C943="","",INDEX(직원명부!$B$5:$B$24,MATCH(C943,직원명부!$A$5:$A$24,0))),"사번 확인")</f>
        <v/>
      </c>
      <c r="E943" s="34" t="n"/>
      <c r="F943" s="34" t="n"/>
      <c r="G943" s="28" t="n"/>
      <c r="H943" s="33">
        <f>IF(OR(E943="",F943=""),"",ROUND(MOD(F943-E943,1)*24-N(G943),2))</f>
        <v/>
      </c>
      <c r="I943" s="33">
        <f>IF(H943="","",ROUND(MAX(0,H943-8),2))</f>
        <v/>
      </c>
      <c r="J943" s="33">
        <f>IF(OR(E943="",F943=""),"",ROUND(IF(MOD(F943,1)&gt;=TIME(22,0,0),(MOD(F943,1)-TIME(22,0,0))*24,IF(MOD(F943,1)&lt;TIME(6,0,0),(MOD(F943,1)+1-TIME(22,0,0))*24,0)),2))</f>
        <v/>
      </c>
      <c r="K943" s="33">
        <f>IF(H943="","",ROUND(IF(L943="휴일근로",MIN(H943,8)*1.5+MAX(0,H943-8)*2,I943*1.5)+N(J943)*0.5,2))</f>
        <v/>
      </c>
      <c r="L943" s="18" t="n"/>
      <c r="M943" s="18" t="n"/>
      <c r="N943" s="22" t="n"/>
    </row>
    <row r="944">
      <c r="A944" s="19" t="n"/>
      <c r="B944" s="25">
        <f>IF(A944="","",CHOOSE(WEEKDAY(A944,2),"월","화","수","목","금","토","일"))</f>
        <v/>
      </c>
      <c r="C944" s="18" t="n"/>
      <c r="D944" s="25">
        <f>IFERROR(IF(C944="","",INDEX(직원명부!$B$5:$B$24,MATCH(C944,직원명부!$A$5:$A$24,0))),"사번 확인")</f>
        <v/>
      </c>
      <c r="E944" s="34" t="n"/>
      <c r="F944" s="34" t="n"/>
      <c r="G944" s="28" t="n"/>
      <c r="H944" s="33">
        <f>IF(OR(E944="",F944=""),"",ROUND(MOD(F944-E944,1)*24-N(G944),2))</f>
        <v/>
      </c>
      <c r="I944" s="33">
        <f>IF(H944="","",ROUND(MAX(0,H944-8),2))</f>
        <v/>
      </c>
      <c r="J944" s="33">
        <f>IF(OR(E944="",F944=""),"",ROUND(IF(MOD(F944,1)&gt;=TIME(22,0,0),(MOD(F944,1)-TIME(22,0,0))*24,IF(MOD(F944,1)&lt;TIME(6,0,0),(MOD(F944,1)+1-TIME(22,0,0))*24,0)),2))</f>
        <v/>
      </c>
      <c r="K944" s="33">
        <f>IF(H944="","",ROUND(IF(L944="휴일근로",MIN(H944,8)*1.5+MAX(0,H944-8)*2,I944*1.5)+N(J944)*0.5,2))</f>
        <v/>
      </c>
      <c r="L944" s="18" t="n"/>
      <c r="M944" s="18" t="n"/>
      <c r="N944" s="22" t="n"/>
    </row>
    <row r="945">
      <c r="A945" s="19" t="n"/>
      <c r="B945" s="25">
        <f>IF(A945="","",CHOOSE(WEEKDAY(A945,2),"월","화","수","목","금","토","일"))</f>
        <v/>
      </c>
      <c r="C945" s="18" t="n"/>
      <c r="D945" s="25">
        <f>IFERROR(IF(C945="","",INDEX(직원명부!$B$5:$B$24,MATCH(C945,직원명부!$A$5:$A$24,0))),"사번 확인")</f>
        <v/>
      </c>
      <c r="E945" s="34" t="n"/>
      <c r="F945" s="34" t="n"/>
      <c r="G945" s="28" t="n"/>
      <c r="H945" s="33">
        <f>IF(OR(E945="",F945=""),"",ROUND(MOD(F945-E945,1)*24-N(G945),2))</f>
        <v/>
      </c>
      <c r="I945" s="33">
        <f>IF(H945="","",ROUND(MAX(0,H945-8),2))</f>
        <v/>
      </c>
      <c r="J945" s="33">
        <f>IF(OR(E945="",F945=""),"",ROUND(IF(MOD(F945,1)&gt;=TIME(22,0,0),(MOD(F945,1)-TIME(22,0,0))*24,IF(MOD(F945,1)&lt;TIME(6,0,0),(MOD(F945,1)+1-TIME(22,0,0))*24,0)),2))</f>
        <v/>
      </c>
      <c r="K945" s="33">
        <f>IF(H945="","",ROUND(IF(L945="휴일근로",MIN(H945,8)*1.5+MAX(0,H945-8)*2,I945*1.5)+N(J945)*0.5,2))</f>
        <v/>
      </c>
      <c r="L945" s="18" t="n"/>
      <c r="M945" s="18" t="n"/>
      <c r="N945" s="22" t="n"/>
    </row>
    <row r="946">
      <c r="A946" s="19" t="n"/>
      <c r="B946" s="25">
        <f>IF(A946="","",CHOOSE(WEEKDAY(A946,2),"월","화","수","목","금","토","일"))</f>
        <v/>
      </c>
      <c r="C946" s="18" t="n"/>
      <c r="D946" s="25">
        <f>IFERROR(IF(C946="","",INDEX(직원명부!$B$5:$B$24,MATCH(C946,직원명부!$A$5:$A$24,0))),"사번 확인")</f>
        <v/>
      </c>
      <c r="E946" s="34" t="n"/>
      <c r="F946" s="34" t="n"/>
      <c r="G946" s="28" t="n"/>
      <c r="H946" s="33">
        <f>IF(OR(E946="",F946=""),"",ROUND(MOD(F946-E946,1)*24-N(G946),2))</f>
        <v/>
      </c>
      <c r="I946" s="33">
        <f>IF(H946="","",ROUND(MAX(0,H946-8),2))</f>
        <v/>
      </c>
      <c r="J946" s="33">
        <f>IF(OR(E946="",F946=""),"",ROUND(IF(MOD(F946,1)&gt;=TIME(22,0,0),(MOD(F946,1)-TIME(22,0,0))*24,IF(MOD(F946,1)&lt;TIME(6,0,0),(MOD(F946,1)+1-TIME(22,0,0))*24,0)),2))</f>
        <v/>
      </c>
      <c r="K946" s="33">
        <f>IF(H946="","",ROUND(IF(L946="휴일근로",MIN(H946,8)*1.5+MAX(0,H946-8)*2,I946*1.5)+N(J946)*0.5,2))</f>
        <v/>
      </c>
      <c r="L946" s="18" t="n"/>
      <c r="M946" s="18" t="n"/>
      <c r="N946" s="22" t="n"/>
    </row>
    <row r="947">
      <c r="A947" s="19" t="n"/>
      <c r="B947" s="25">
        <f>IF(A947="","",CHOOSE(WEEKDAY(A947,2),"월","화","수","목","금","토","일"))</f>
        <v/>
      </c>
      <c r="C947" s="18" t="n"/>
      <c r="D947" s="25">
        <f>IFERROR(IF(C947="","",INDEX(직원명부!$B$5:$B$24,MATCH(C947,직원명부!$A$5:$A$24,0))),"사번 확인")</f>
        <v/>
      </c>
      <c r="E947" s="34" t="n"/>
      <c r="F947" s="34" t="n"/>
      <c r="G947" s="28" t="n"/>
      <c r="H947" s="33">
        <f>IF(OR(E947="",F947=""),"",ROUND(MOD(F947-E947,1)*24-N(G947),2))</f>
        <v/>
      </c>
      <c r="I947" s="33">
        <f>IF(H947="","",ROUND(MAX(0,H947-8),2))</f>
        <v/>
      </c>
      <c r="J947" s="33">
        <f>IF(OR(E947="",F947=""),"",ROUND(IF(MOD(F947,1)&gt;=TIME(22,0,0),(MOD(F947,1)-TIME(22,0,0))*24,IF(MOD(F947,1)&lt;TIME(6,0,0),(MOD(F947,1)+1-TIME(22,0,0))*24,0)),2))</f>
        <v/>
      </c>
      <c r="K947" s="33">
        <f>IF(H947="","",ROUND(IF(L947="휴일근로",MIN(H947,8)*1.5+MAX(0,H947-8)*2,I947*1.5)+N(J947)*0.5,2))</f>
        <v/>
      </c>
      <c r="L947" s="18" t="n"/>
      <c r="M947" s="18" t="n"/>
      <c r="N947" s="22" t="n"/>
    </row>
    <row r="948">
      <c r="A948" s="19" t="n"/>
      <c r="B948" s="25">
        <f>IF(A948="","",CHOOSE(WEEKDAY(A948,2),"월","화","수","목","금","토","일"))</f>
        <v/>
      </c>
      <c r="C948" s="18" t="n"/>
      <c r="D948" s="25">
        <f>IFERROR(IF(C948="","",INDEX(직원명부!$B$5:$B$24,MATCH(C948,직원명부!$A$5:$A$24,0))),"사번 확인")</f>
        <v/>
      </c>
      <c r="E948" s="34" t="n"/>
      <c r="F948" s="34" t="n"/>
      <c r="G948" s="28" t="n"/>
      <c r="H948" s="33">
        <f>IF(OR(E948="",F948=""),"",ROUND(MOD(F948-E948,1)*24-N(G948),2))</f>
        <v/>
      </c>
      <c r="I948" s="33">
        <f>IF(H948="","",ROUND(MAX(0,H948-8),2))</f>
        <v/>
      </c>
      <c r="J948" s="33">
        <f>IF(OR(E948="",F948=""),"",ROUND(IF(MOD(F948,1)&gt;=TIME(22,0,0),(MOD(F948,1)-TIME(22,0,0))*24,IF(MOD(F948,1)&lt;TIME(6,0,0),(MOD(F948,1)+1-TIME(22,0,0))*24,0)),2))</f>
        <v/>
      </c>
      <c r="K948" s="33">
        <f>IF(H948="","",ROUND(IF(L948="휴일근로",MIN(H948,8)*1.5+MAX(0,H948-8)*2,I948*1.5)+N(J948)*0.5,2))</f>
        <v/>
      </c>
      <c r="L948" s="18" t="n"/>
      <c r="M948" s="18" t="n"/>
      <c r="N948" s="22" t="n"/>
    </row>
    <row r="949">
      <c r="A949" s="19" t="n"/>
      <c r="B949" s="25">
        <f>IF(A949="","",CHOOSE(WEEKDAY(A949,2),"월","화","수","목","금","토","일"))</f>
        <v/>
      </c>
      <c r="C949" s="18" t="n"/>
      <c r="D949" s="25">
        <f>IFERROR(IF(C949="","",INDEX(직원명부!$B$5:$B$24,MATCH(C949,직원명부!$A$5:$A$24,0))),"사번 확인")</f>
        <v/>
      </c>
      <c r="E949" s="34" t="n"/>
      <c r="F949" s="34" t="n"/>
      <c r="G949" s="28" t="n"/>
      <c r="H949" s="33">
        <f>IF(OR(E949="",F949=""),"",ROUND(MOD(F949-E949,1)*24-N(G949),2))</f>
        <v/>
      </c>
      <c r="I949" s="33">
        <f>IF(H949="","",ROUND(MAX(0,H949-8),2))</f>
        <v/>
      </c>
      <c r="J949" s="33">
        <f>IF(OR(E949="",F949=""),"",ROUND(IF(MOD(F949,1)&gt;=TIME(22,0,0),(MOD(F949,1)-TIME(22,0,0))*24,IF(MOD(F949,1)&lt;TIME(6,0,0),(MOD(F949,1)+1-TIME(22,0,0))*24,0)),2))</f>
        <v/>
      </c>
      <c r="K949" s="33">
        <f>IF(H949="","",ROUND(IF(L949="휴일근로",MIN(H949,8)*1.5+MAX(0,H949-8)*2,I949*1.5)+N(J949)*0.5,2))</f>
        <v/>
      </c>
      <c r="L949" s="18" t="n"/>
      <c r="M949" s="18" t="n"/>
      <c r="N949" s="22" t="n"/>
    </row>
    <row r="950">
      <c r="A950" s="19" t="n"/>
      <c r="B950" s="25">
        <f>IF(A950="","",CHOOSE(WEEKDAY(A950,2),"월","화","수","목","금","토","일"))</f>
        <v/>
      </c>
      <c r="C950" s="18" t="n"/>
      <c r="D950" s="25">
        <f>IFERROR(IF(C950="","",INDEX(직원명부!$B$5:$B$24,MATCH(C950,직원명부!$A$5:$A$24,0))),"사번 확인")</f>
        <v/>
      </c>
      <c r="E950" s="34" t="n"/>
      <c r="F950" s="34" t="n"/>
      <c r="G950" s="28" t="n"/>
      <c r="H950" s="33">
        <f>IF(OR(E950="",F950=""),"",ROUND(MOD(F950-E950,1)*24-N(G950),2))</f>
        <v/>
      </c>
      <c r="I950" s="33">
        <f>IF(H950="","",ROUND(MAX(0,H950-8),2))</f>
        <v/>
      </c>
      <c r="J950" s="33">
        <f>IF(OR(E950="",F950=""),"",ROUND(IF(MOD(F950,1)&gt;=TIME(22,0,0),(MOD(F950,1)-TIME(22,0,0))*24,IF(MOD(F950,1)&lt;TIME(6,0,0),(MOD(F950,1)+1-TIME(22,0,0))*24,0)),2))</f>
        <v/>
      </c>
      <c r="K950" s="33">
        <f>IF(H950="","",ROUND(IF(L950="휴일근로",MIN(H950,8)*1.5+MAX(0,H950-8)*2,I950*1.5)+N(J950)*0.5,2))</f>
        <v/>
      </c>
      <c r="L950" s="18" t="n"/>
      <c r="M950" s="18" t="n"/>
      <c r="N950" s="22" t="n"/>
    </row>
    <row r="951">
      <c r="A951" s="19" t="n"/>
      <c r="B951" s="25">
        <f>IF(A951="","",CHOOSE(WEEKDAY(A951,2),"월","화","수","목","금","토","일"))</f>
        <v/>
      </c>
      <c r="C951" s="18" t="n"/>
      <c r="D951" s="25">
        <f>IFERROR(IF(C951="","",INDEX(직원명부!$B$5:$B$24,MATCH(C951,직원명부!$A$5:$A$24,0))),"사번 확인")</f>
        <v/>
      </c>
      <c r="E951" s="34" t="n"/>
      <c r="F951" s="34" t="n"/>
      <c r="G951" s="28" t="n"/>
      <c r="H951" s="33">
        <f>IF(OR(E951="",F951=""),"",ROUND(MOD(F951-E951,1)*24-N(G951),2))</f>
        <v/>
      </c>
      <c r="I951" s="33">
        <f>IF(H951="","",ROUND(MAX(0,H951-8),2))</f>
        <v/>
      </c>
      <c r="J951" s="33">
        <f>IF(OR(E951="",F951=""),"",ROUND(IF(MOD(F951,1)&gt;=TIME(22,0,0),(MOD(F951,1)-TIME(22,0,0))*24,IF(MOD(F951,1)&lt;TIME(6,0,0),(MOD(F951,1)+1-TIME(22,0,0))*24,0)),2))</f>
        <v/>
      </c>
      <c r="K951" s="33">
        <f>IF(H951="","",ROUND(IF(L951="휴일근로",MIN(H951,8)*1.5+MAX(0,H951-8)*2,I951*1.5)+N(J951)*0.5,2))</f>
        <v/>
      </c>
      <c r="L951" s="18" t="n"/>
      <c r="M951" s="18" t="n"/>
      <c r="N951" s="22" t="n"/>
    </row>
    <row r="952">
      <c r="A952" s="19" t="n"/>
      <c r="B952" s="25">
        <f>IF(A952="","",CHOOSE(WEEKDAY(A952,2),"월","화","수","목","금","토","일"))</f>
        <v/>
      </c>
      <c r="C952" s="18" t="n"/>
      <c r="D952" s="25">
        <f>IFERROR(IF(C952="","",INDEX(직원명부!$B$5:$B$24,MATCH(C952,직원명부!$A$5:$A$24,0))),"사번 확인")</f>
        <v/>
      </c>
      <c r="E952" s="34" t="n"/>
      <c r="F952" s="34" t="n"/>
      <c r="G952" s="28" t="n"/>
      <c r="H952" s="33">
        <f>IF(OR(E952="",F952=""),"",ROUND(MOD(F952-E952,1)*24-N(G952),2))</f>
        <v/>
      </c>
      <c r="I952" s="33">
        <f>IF(H952="","",ROUND(MAX(0,H952-8),2))</f>
        <v/>
      </c>
      <c r="J952" s="33">
        <f>IF(OR(E952="",F952=""),"",ROUND(IF(MOD(F952,1)&gt;=TIME(22,0,0),(MOD(F952,1)-TIME(22,0,0))*24,IF(MOD(F952,1)&lt;TIME(6,0,0),(MOD(F952,1)+1-TIME(22,0,0))*24,0)),2))</f>
        <v/>
      </c>
      <c r="K952" s="33">
        <f>IF(H952="","",ROUND(IF(L952="휴일근로",MIN(H952,8)*1.5+MAX(0,H952-8)*2,I952*1.5)+N(J952)*0.5,2))</f>
        <v/>
      </c>
      <c r="L952" s="18" t="n"/>
      <c r="M952" s="18" t="n"/>
      <c r="N952" s="22" t="n"/>
    </row>
    <row r="953">
      <c r="A953" s="19" t="n"/>
      <c r="B953" s="25">
        <f>IF(A953="","",CHOOSE(WEEKDAY(A953,2),"월","화","수","목","금","토","일"))</f>
        <v/>
      </c>
      <c r="C953" s="18" t="n"/>
      <c r="D953" s="25">
        <f>IFERROR(IF(C953="","",INDEX(직원명부!$B$5:$B$24,MATCH(C953,직원명부!$A$5:$A$24,0))),"사번 확인")</f>
        <v/>
      </c>
      <c r="E953" s="34" t="n"/>
      <c r="F953" s="34" t="n"/>
      <c r="G953" s="28" t="n"/>
      <c r="H953" s="33">
        <f>IF(OR(E953="",F953=""),"",ROUND(MOD(F953-E953,1)*24-N(G953),2))</f>
        <v/>
      </c>
      <c r="I953" s="33">
        <f>IF(H953="","",ROUND(MAX(0,H953-8),2))</f>
        <v/>
      </c>
      <c r="J953" s="33">
        <f>IF(OR(E953="",F953=""),"",ROUND(IF(MOD(F953,1)&gt;=TIME(22,0,0),(MOD(F953,1)-TIME(22,0,0))*24,IF(MOD(F953,1)&lt;TIME(6,0,0),(MOD(F953,1)+1-TIME(22,0,0))*24,0)),2))</f>
        <v/>
      </c>
      <c r="K953" s="33">
        <f>IF(H953="","",ROUND(IF(L953="휴일근로",MIN(H953,8)*1.5+MAX(0,H953-8)*2,I953*1.5)+N(J953)*0.5,2))</f>
        <v/>
      </c>
      <c r="L953" s="18" t="n"/>
      <c r="M953" s="18" t="n"/>
      <c r="N953" s="22" t="n"/>
    </row>
    <row r="954">
      <c r="A954" s="19" t="n"/>
      <c r="B954" s="25">
        <f>IF(A954="","",CHOOSE(WEEKDAY(A954,2),"월","화","수","목","금","토","일"))</f>
        <v/>
      </c>
      <c r="C954" s="18" t="n"/>
      <c r="D954" s="25">
        <f>IFERROR(IF(C954="","",INDEX(직원명부!$B$5:$B$24,MATCH(C954,직원명부!$A$5:$A$24,0))),"사번 확인")</f>
        <v/>
      </c>
      <c r="E954" s="34" t="n"/>
      <c r="F954" s="34" t="n"/>
      <c r="G954" s="28" t="n"/>
      <c r="H954" s="33">
        <f>IF(OR(E954="",F954=""),"",ROUND(MOD(F954-E954,1)*24-N(G954),2))</f>
        <v/>
      </c>
      <c r="I954" s="33">
        <f>IF(H954="","",ROUND(MAX(0,H954-8),2))</f>
        <v/>
      </c>
      <c r="J954" s="33">
        <f>IF(OR(E954="",F954=""),"",ROUND(IF(MOD(F954,1)&gt;=TIME(22,0,0),(MOD(F954,1)-TIME(22,0,0))*24,IF(MOD(F954,1)&lt;TIME(6,0,0),(MOD(F954,1)+1-TIME(22,0,0))*24,0)),2))</f>
        <v/>
      </c>
      <c r="K954" s="33">
        <f>IF(H954="","",ROUND(IF(L954="휴일근로",MIN(H954,8)*1.5+MAX(0,H954-8)*2,I954*1.5)+N(J954)*0.5,2))</f>
        <v/>
      </c>
      <c r="L954" s="18" t="n"/>
      <c r="M954" s="18" t="n"/>
      <c r="N954" s="22" t="n"/>
    </row>
    <row r="955">
      <c r="A955" s="19" t="n"/>
      <c r="B955" s="25">
        <f>IF(A955="","",CHOOSE(WEEKDAY(A955,2),"월","화","수","목","금","토","일"))</f>
        <v/>
      </c>
      <c r="C955" s="18" t="n"/>
      <c r="D955" s="25">
        <f>IFERROR(IF(C955="","",INDEX(직원명부!$B$5:$B$24,MATCH(C955,직원명부!$A$5:$A$24,0))),"사번 확인")</f>
        <v/>
      </c>
      <c r="E955" s="34" t="n"/>
      <c r="F955" s="34" t="n"/>
      <c r="G955" s="28" t="n"/>
      <c r="H955" s="33">
        <f>IF(OR(E955="",F955=""),"",ROUND(MOD(F955-E955,1)*24-N(G955),2))</f>
        <v/>
      </c>
      <c r="I955" s="33">
        <f>IF(H955="","",ROUND(MAX(0,H955-8),2))</f>
        <v/>
      </c>
      <c r="J955" s="33">
        <f>IF(OR(E955="",F955=""),"",ROUND(IF(MOD(F955,1)&gt;=TIME(22,0,0),(MOD(F955,1)-TIME(22,0,0))*24,IF(MOD(F955,1)&lt;TIME(6,0,0),(MOD(F955,1)+1-TIME(22,0,0))*24,0)),2))</f>
        <v/>
      </c>
      <c r="K955" s="33">
        <f>IF(H955="","",ROUND(IF(L955="휴일근로",MIN(H955,8)*1.5+MAX(0,H955-8)*2,I955*1.5)+N(J955)*0.5,2))</f>
        <v/>
      </c>
      <c r="L955" s="18" t="n"/>
      <c r="M955" s="18" t="n"/>
      <c r="N955" s="22" t="n"/>
    </row>
    <row r="956">
      <c r="A956" s="19" t="n"/>
      <c r="B956" s="25">
        <f>IF(A956="","",CHOOSE(WEEKDAY(A956,2),"월","화","수","목","금","토","일"))</f>
        <v/>
      </c>
      <c r="C956" s="18" t="n"/>
      <c r="D956" s="25">
        <f>IFERROR(IF(C956="","",INDEX(직원명부!$B$5:$B$24,MATCH(C956,직원명부!$A$5:$A$24,0))),"사번 확인")</f>
        <v/>
      </c>
      <c r="E956" s="34" t="n"/>
      <c r="F956" s="34" t="n"/>
      <c r="G956" s="28" t="n"/>
      <c r="H956" s="33">
        <f>IF(OR(E956="",F956=""),"",ROUND(MOD(F956-E956,1)*24-N(G956),2))</f>
        <v/>
      </c>
      <c r="I956" s="33">
        <f>IF(H956="","",ROUND(MAX(0,H956-8),2))</f>
        <v/>
      </c>
      <c r="J956" s="33">
        <f>IF(OR(E956="",F956=""),"",ROUND(IF(MOD(F956,1)&gt;=TIME(22,0,0),(MOD(F956,1)-TIME(22,0,0))*24,IF(MOD(F956,1)&lt;TIME(6,0,0),(MOD(F956,1)+1-TIME(22,0,0))*24,0)),2))</f>
        <v/>
      </c>
      <c r="K956" s="33">
        <f>IF(H956="","",ROUND(IF(L956="휴일근로",MIN(H956,8)*1.5+MAX(0,H956-8)*2,I956*1.5)+N(J956)*0.5,2))</f>
        <v/>
      </c>
      <c r="L956" s="18" t="n"/>
      <c r="M956" s="18" t="n"/>
      <c r="N956" s="22" t="n"/>
    </row>
    <row r="957">
      <c r="A957" s="19" t="n"/>
      <c r="B957" s="25">
        <f>IF(A957="","",CHOOSE(WEEKDAY(A957,2),"월","화","수","목","금","토","일"))</f>
        <v/>
      </c>
      <c r="C957" s="18" t="n"/>
      <c r="D957" s="25">
        <f>IFERROR(IF(C957="","",INDEX(직원명부!$B$5:$B$24,MATCH(C957,직원명부!$A$5:$A$24,0))),"사번 확인")</f>
        <v/>
      </c>
      <c r="E957" s="34" t="n"/>
      <c r="F957" s="34" t="n"/>
      <c r="G957" s="28" t="n"/>
      <c r="H957" s="33">
        <f>IF(OR(E957="",F957=""),"",ROUND(MOD(F957-E957,1)*24-N(G957),2))</f>
        <v/>
      </c>
      <c r="I957" s="33">
        <f>IF(H957="","",ROUND(MAX(0,H957-8),2))</f>
        <v/>
      </c>
      <c r="J957" s="33">
        <f>IF(OR(E957="",F957=""),"",ROUND(IF(MOD(F957,1)&gt;=TIME(22,0,0),(MOD(F957,1)-TIME(22,0,0))*24,IF(MOD(F957,1)&lt;TIME(6,0,0),(MOD(F957,1)+1-TIME(22,0,0))*24,0)),2))</f>
        <v/>
      </c>
      <c r="K957" s="33">
        <f>IF(H957="","",ROUND(IF(L957="휴일근로",MIN(H957,8)*1.5+MAX(0,H957-8)*2,I957*1.5)+N(J957)*0.5,2))</f>
        <v/>
      </c>
      <c r="L957" s="18" t="n"/>
      <c r="M957" s="18" t="n"/>
      <c r="N957" s="22" t="n"/>
    </row>
    <row r="958">
      <c r="A958" s="19" t="n"/>
      <c r="B958" s="25">
        <f>IF(A958="","",CHOOSE(WEEKDAY(A958,2),"월","화","수","목","금","토","일"))</f>
        <v/>
      </c>
      <c r="C958" s="18" t="n"/>
      <c r="D958" s="25">
        <f>IFERROR(IF(C958="","",INDEX(직원명부!$B$5:$B$24,MATCH(C958,직원명부!$A$5:$A$24,0))),"사번 확인")</f>
        <v/>
      </c>
      <c r="E958" s="34" t="n"/>
      <c r="F958" s="34" t="n"/>
      <c r="G958" s="28" t="n"/>
      <c r="H958" s="33">
        <f>IF(OR(E958="",F958=""),"",ROUND(MOD(F958-E958,1)*24-N(G958),2))</f>
        <v/>
      </c>
      <c r="I958" s="33">
        <f>IF(H958="","",ROUND(MAX(0,H958-8),2))</f>
        <v/>
      </c>
      <c r="J958" s="33">
        <f>IF(OR(E958="",F958=""),"",ROUND(IF(MOD(F958,1)&gt;=TIME(22,0,0),(MOD(F958,1)-TIME(22,0,0))*24,IF(MOD(F958,1)&lt;TIME(6,0,0),(MOD(F958,1)+1-TIME(22,0,0))*24,0)),2))</f>
        <v/>
      </c>
      <c r="K958" s="33">
        <f>IF(H958="","",ROUND(IF(L958="휴일근로",MIN(H958,8)*1.5+MAX(0,H958-8)*2,I958*1.5)+N(J958)*0.5,2))</f>
        <v/>
      </c>
      <c r="L958" s="18" t="n"/>
      <c r="M958" s="18" t="n"/>
      <c r="N958" s="22" t="n"/>
    </row>
    <row r="959">
      <c r="A959" s="19" t="n"/>
      <c r="B959" s="25">
        <f>IF(A959="","",CHOOSE(WEEKDAY(A959,2),"월","화","수","목","금","토","일"))</f>
        <v/>
      </c>
      <c r="C959" s="18" t="n"/>
      <c r="D959" s="25">
        <f>IFERROR(IF(C959="","",INDEX(직원명부!$B$5:$B$24,MATCH(C959,직원명부!$A$5:$A$24,0))),"사번 확인")</f>
        <v/>
      </c>
      <c r="E959" s="34" t="n"/>
      <c r="F959" s="34" t="n"/>
      <c r="G959" s="28" t="n"/>
      <c r="H959" s="33">
        <f>IF(OR(E959="",F959=""),"",ROUND(MOD(F959-E959,1)*24-N(G959),2))</f>
        <v/>
      </c>
      <c r="I959" s="33">
        <f>IF(H959="","",ROUND(MAX(0,H959-8),2))</f>
        <v/>
      </c>
      <c r="J959" s="33">
        <f>IF(OR(E959="",F959=""),"",ROUND(IF(MOD(F959,1)&gt;=TIME(22,0,0),(MOD(F959,1)-TIME(22,0,0))*24,IF(MOD(F959,1)&lt;TIME(6,0,0),(MOD(F959,1)+1-TIME(22,0,0))*24,0)),2))</f>
        <v/>
      </c>
      <c r="K959" s="33">
        <f>IF(H959="","",ROUND(IF(L959="휴일근로",MIN(H959,8)*1.5+MAX(0,H959-8)*2,I959*1.5)+N(J959)*0.5,2))</f>
        <v/>
      </c>
      <c r="L959" s="18" t="n"/>
      <c r="M959" s="18" t="n"/>
      <c r="N959" s="22" t="n"/>
    </row>
    <row r="960">
      <c r="A960" s="19" t="n"/>
      <c r="B960" s="25">
        <f>IF(A960="","",CHOOSE(WEEKDAY(A960,2),"월","화","수","목","금","토","일"))</f>
        <v/>
      </c>
      <c r="C960" s="18" t="n"/>
      <c r="D960" s="25">
        <f>IFERROR(IF(C960="","",INDEX(직원명부!$B$5:$B$24,MATCH(C960,직원명부!$A$5:$A$24,0))),"사번 확인")</f>
        <v/>
      </c>
      <c r="E960" s="34" t="n"/>
      <c r="F960" s="34" t="n"/>
      <c r="G960" s="28" t="n"/>
      <c r="H960" s="33">
        <f>IF(OR(E960="",F960=""),"",ROUND(MOD(F960-E960,1)*24-N(G960),2))</f>
        <v/>
      </c>
      <c r="I960" s="33">
        <f>IF(H960="","",ROUND(MAX(0,H960-8),2))</f>
        <v/>
      </c>
      <c r="J960" s="33">
        <f>IF(OR(E960="",F960=""),"",ROUND(IF(MOD(F960,1)&gt;=TIME(22,0,0),(MOD(F960,1)-TIME(22,0,0))*24,IF(MOD(F960,1)&lt;TIME(6,0,0),(MOD(F960,1)+1-TIME(22,0,0))*24,0)),2))</f>
        <v/>
      </c>
      <c r="K960" s="33">
        <f>IF(H960="","",ROUND(IF(L960="휴일근로",MIN(H960,8)*1.5+MAX(0,H960-8)*2,I960*1.5)+N(J960)*0.5,2))</f>
        <v/>
      </c>
      <c r="L960" s="18" t="n"/>
      <c r="M960" s="18" t="n"/>
      <c r="N960" s="22" t="n"/>
    </row>
    <row r="961">
      <c r="A961" s="19" t="n"/>
      <c r="B961" s="25">
        <f>IF(A961="","",CHOOSE(WEEKDAY(A961,2),"월","화","수","목","금","토","일"))</f>
        <v/>
      </c>
      <c r="C961" s="18" t="n"/>
      <c r="D961" s="25">
        <f>IFERROR(IF(C961="","",INDEX(직원명부!$B$5:$B$24,MATCH(C961,직원명부!$A$5:$A$24,0))),"사번 확인")</f>
        <v/>
      </c>
      <c r="E961" s="34" t="n"/>
      <c r="F961" s="34" t="n"/>
      <c r="G961" s="28" t="n"/>
      <c r="H961" s="33">
        <f>IF(OR(E961="",F961=""),"",ROUND(MOD(F961-E961,1)*24-N(G961),2))</f>
        <v/>
      </c>
      <c r="I961" s="33">
        <f>IF(H961="","",ROUND(MAX(0,H961-8),2))</f>
        <v/>
      </c>
      <c r="J961" s="33">
        <f>IF(OR(E961="",F961=""),"",ROUND(IF(MOD(F961,1)&gt;=TIME(22,0,0),(MOD(F961,1)-TIME(22,0,0))*24,IF(MOD(F961,1)&lt;TIME(6,0,0),(MOD(F961,1)+1-TIME(22,0,0))*24,0)),2))</f>
        <v/>
      </c>
      <c r="K961" s="33">
        <f>IF(H961="","",ROUND(IF(L961="휴일근로",MIN(H961,8)*1.5+MAX(0,H961-8)*2,I961*1.5)+N(J961)*0.5,2))</f>
        <v/>
      </c>
      <c r="L961" s="18" t="n"/>
      <c r="M961" s="18" t="n"/>
      <c r="N961" s="22" t="n"/>
    </row>
    <row r="962">
      <c r="A962" s="19" t="n"/>
      <c r="B962" s="25">
        <f>IF(A962="","",CHOOSE(WEEKDAY(A962,2),"월","화","수","목","금","토","일"))</f>
        <v/>
      </c>
      <c r="C962" s="18" t="n"/>
      <c r="D962" s="25">
        <f>IFERROR(IF(C962="","",INDEX(직원명부!$B$5:$B$24,MATCH(C962,직원명부!$A$5:$A$24,0))),"사번 확인")</f>
        <v/>
      </c>
      <c r="E962" s="34" t="n"/>
      <c r="F962" s="34" t="n"/>
      <c r="G962" s="28" t="n"/>
      <c r="H962" s="33">
        <f>IF(OR(E962="",F962=""),"",ROUND(MOD(F962-E962,1)*24-N(G962),2))</f>
        <v/>
      </c>
      <c r="I962" s="33">
        <f>IF(H962="","",ROUND(MAX(0,H962-8),2))</f>
        <v/>
      </c>
      <c r="J962" s="33">
        <f>IF(OR(E962="",F962=""),"",ROUND(IF(MOD(F962,1)&gt;=TIME(22,0,0),(MOD(F962,1)-TIME(22,0,0))*24,IF(MOD(F962,1)&lt;TIME(6,0,0),(MOD(F962,1)+1-TIME(22,0,0))*24,0)),2))</f>
        <v/>
      </c>
      <c r="K962" s="33">
        <f>IF(H962="","",ROUND(IF(L962="휴일근로",MIN(H962,8)*1.5+MAX(0,H962-8)*2,I962*1.5)+N(J962)*0.5,2))</f>
        <v/>
      </c>
      <c r="L962" s="18" t="n"/>
      <c r="M962" s="18" t="n"/>
      <c r="N962" s="22" t="n"/>
    </row>
    <row r="963">
      <c r="A963" s="19" t="n"/>
      <c r="B963" s="25">
        <f>IF(A963="","",CHOOSE(WEEKDAY(A963,2),"월","화","수","목","금","토","일"))</f>
        <v/>
      </c>
      <c r="C963" s="18" t="n"/>
      <c r="D963" s="25">
        <f>IFERROR(IF(C963="","",INDEX(직원명부!$B$5:$B$24,MATCH(C963,직원명부!$A$5:$A$24,0))),"사번 확인")</f>
        <v/>
      </c>
      <c r="E963" s="34" t="n"/>
      <c r="F963" s="34" t="n"/>
      <c r="G963" s="28" t="n"/>
      <c r="H963" s="33">
        <f>IF(OR(E963="",F963=""),"",ROUND(MOD(F963-E963,1)*24-N(G963),2))</f>
        <v/>
      </c>
      <c r="I963" s="33">
        <f>IF(H963="","",ROUND(MAX(0,H963-8),2))</f>
        <v/>
      </c>
      <c r="J963" s="33">
        <f>IF(OR(E963="",F963=""),"",ROUND(IF(MOD(F963,1)&gt;=TIME(22,0,0),(MOD(F963,1)-TIME(22,0,0))*24,IF(MOD(F963,1)&lt;TIME(6,0,0),(MOD(F963,1)+1-TIME(22,0,0))*24,0)),2))</f>
        <v/>
      </c>
      <c r="K963" s="33">
        <f>IF(H963="","",ROUND(IF(L963="휴일근로",MIN(H963,8)*1.5+MAX(0,H963-8)*2,I963*1.5)+N(J963)*0.5,2))</f>
        <v/>
      </c>
      <c r="L963" s="18" t="n"/>
      <c r="M963" s="18" t="n"/>
      <c r="N963" s="22" t="n"/>
    </row>
    <row r="964">
      <c r="A964" s="19" t="n"/>
      <c r="B964" s="25">
        <f>IF(A964="","",CHOOSE(WEEKDAY(A964,2),"월","화","수","목","금","토","일"))</f>
        <v/>
      </c>
      <c r="C964" s="18" t="n"/>
      <c r="D964" s="25">
        <f>IFERROR(IF(C964="","",INDEX(직원명부!$B$5:$B$24,MATCH(C964,직원명부!$A$5:$A$24,0))),"사번 확인")</f>
        <v/>
      </c>
      <c r="E964" s="34" t="n"/>
      <c r="F964" s="34" t="n"/>
      <c r="G964" s="28" t="n"/>
      <c r="H964" s="33">
        <f>IF(OR(E964="",F964=""),"",ROUND(MOD(F964-E964,1)*24-N(G964),2))</f>
        <v/>
      </c>
      <c r="I964" s="33">
        <f>IF(H964="","",ROUND(MAX(0,H964-8),2))</f>
        <v/>
      </c>
      <c r="J964" s="33">
        <f>IF(OR(E964="",F964=""),"",ROUND(IF(MOD(F964,1)&gt;=TIME(22,0,0),(MOD(F964,1)-TIME(22,0,0))*24,IF(MOD(F964,1)&lt;TIME(6,0,0),(MOD(F964,1)+1-TIME(22,0,0))*24,0)),2))</f>
        <v/>
      </c>
      <c r="K964" s="33">
        <f>IF(H964="","",ROUND(IF(L964="휴일근로",MIN(H964,8)*1.5+MAX(0,H964-8)*2,I964*1.5)+N(J964)*0.5,2))</f>
        <v/>
      </c>
      <c r="L964" s="18" t="n"/>
      <c r="M964" s="18" t="n"/>
      <c r="N964" s="22" t="n"/>
    </row>
    <row r="965">
      <c r="A965" s="19" t="n"/>
      <c r="B965" s="25">
        <f>IF(A965="","",CHOOSE(WEEKDAY(A965,2),"월","화","수","목","금","토","일"))</f>
        <v/>
      </c>
      <c r="C965" s="18" t="n"/>
      <c r="D965" s="25">
        <f>IFERROR(IF(C965="","",INDEX(직원명부!$B$5:$B$24,MATCH(C965,직원명부!$A$5:$A$24,0))),"사번 확인")</f>
        <v/>
      </c>
      <c r="E965" s="34" t="n"/>
      <c r="F965" s="34" t="n"/>
      <c r="G965" s="28" t="n"/>
      <c r="H965" s="33">
        <f>IF(OR(E965="",F965=""),"",ROUND(MOD(F965-E965,1)*24-N(G965),2))</f>
        <v/>
      </c>
      <c r="I965" s="33">
        <f>IF(H965="","",ROUND(MAX(0,H965-8),2))</f>
        <v/>
      </c>
      <c r="J965" s="33">
        <f>IF(OR(E965="",F965=""),"",ROUND(IF(MOD(F965,1)&gt;=TIME(22,0,0),(MOD(F965,1)-TIME(22,0,0))*24,IF(MOD(F965,1)&lt;TIME(6,0,0),(MOD(F965,1)+1-TIME(22,0,0))*24,0)),2))</f>
        <v/>
      </c>
      <c r="K965" s="33">
        <f>IF(H965="","",ROUND(IF(L965="휴일근로",MIN(H965,8)*1.5+MAX(0,H965-8)*2,I965*1.5)+N(J965)*0.5,2))</f>
        <v/>
      </c>
      <c r="L965" s="18" t="n"/>
      <c r="M965" s="18" t="n"/>
      <c r="N965" s="22" t="n"/>
    </row>
    <row r="966">
      <c r="A966" s="19" t="n"/>
      <c r="B966" s="25">
        <f>IF(A966="","",CHOOSE(WEEKDAY(A966,2),"월","화","수","목","금","토","일"))</f>
        <v/>
      </c>
      <c r="C966" s="18" t="n"/>
      <c r="D966" s="25">
        <f>IFERROR(IF(C966="","",INDEX(직원명부!$B$5:$B$24,MATCH(C966,직원명부!$A$5:$A$24,0))),"사번 확인")</f>
        <v/>
      </c>
      <c r="E966" s="34" t="n"/>
      <c r="F966" s="34" t="n"/>
      <c r="G966" s="28" t="n"/>
      <c r="H966" s="33">
        <f>IF(OR(E966="",F966=""),"",ROUND(MOD(F966-E966,1)*24-N(G966),2))</f>
        <v/>
      </c>
      <c r="I966" s="33">
        <f>IF(H966="","",ROUND(MAX(0,H966-8),2))</f>
        <v/>
      </c>
      <c r="J966" s="33">
        <f>IF(OR(E966="",F966=""),"",ROUND(IF(MOD(F966,1)&gt;=TIME(22,0,0),(MOD(F966,1)-TIME(22,0,0))*24,IF(MOD(F966,1)&lt;TIME(6,0,0),(MOD(F966,1)+1-TIME(22,0,0))*24,0)),2))</f>
        <v/>
      </c>
      <c r="K966" s="33">
        <f>IF(H966="","",ROUND(IF(L966="휴일근로",MIN(H966,8)*1.5+MAX(0,H966-8)*2,I966*1.5)+N(J966)*0.5,2))</f>
        <v/>
      </c>
      <c r="L966" s="18" t="n"/>
      <c r="M966" s="18" t="n"/>
      <c r="N966" s="22" t="n"/>
    </row>
    <row r="967">
      <c r="A967" s="19" t="n"/>
      <c r="B967" s="25">
        <f>IF(A967="","",CHOOSE(WEEKDAY(A967,2),"월","화","수","목","금","토","일"))</f>
        <v/>
      </c>
      <c r="C967" s="18" t="n"/>
      <c r="D967" s="25">
        <f>IFERROR(IF(C967="","",INDEX(직원명부!$B$5:$B$24,MATCH(C967,직원명부!$A$5:$A$24,0))),"사번 확인")</f>
        <v/>
      </c>
      <c r="E967" s="34" t="n"/>
      <c r="F967" s="34" t="n"/>
      <c r="G967" s="28" t="n"/>
      <c r="H967" s="33">
        <f>IF(OR(E967="",F967=""),"",ROUND(MOD(F967-E967,1)*24-N(G967),2))</f>
        <v/>
      </c>
      <c r="I967" s="33">
        <f>IF(H967="","",ROUND(MAX(0,H967-8),2))</f>
        <v/>
      </c>
      <c r="J967" s="33">
        <f>IF(OR(E967="",F967=""),"",ROUND(IF(MOD(F967,1)&gt;=TIME(22,0,0),(MOD(F967,1)-TIME(22,0,0))*24,IF(MOD(F967,1)&lt;TIME(6,0,0),(MOD(F967,1)+1-TIME(22,0,0))*24,0)),2))</f>
        <v/>
      </c>
      <c r="K967" s="33">
        <f>IF(H967="","",ROUND(IF(L967="휴일근로",MIN(H967,8)*1.5+MAX(0,H967-8)*2,I967*1.5)+N(J967)*0.5,2))</f>
        <v/>
      </c>
      <c r="L967" s="18" t="n"/>
      <c r="M967" s="18" t="n"/>
      <c r="N967" s="22" t="n"/>
    </row>
    <row r="968">
      <c r="A968" s="19" t="n"/>
      <c r="B968" s="25">
        <f>IF(A968="","",CHOOSE(WEEKDAY(A968,2),"월","화","수","목","금","토","일"))</f>
        <v/>
      </c>
      <c r="C968" s="18" t="n"/>
      <c r="D968" s="25">
        <f>IFERROR(IF(C968="","",INDEX(직원명부!$B$5:$B$24,MATCH(C968,직원명부!$A$5:$A$24,0))),"사번 확인")</f>
        <v/>
      </c>
      <c r="E968" s="34" t="n"/>
      <c r="F968" s="34" t="n"/>
      <c r="G968" s="28" t="n"/>
      <c r="H968" s="33">
        <f>IF(OR(E968="",F968=""),"",ROUND(MOD(F968-E968,1)*24-N(G968),2))</f>
        <v/>
      </c>
      <c r="I968" s="33">
        <f>IF(H968="","",ROUND(MAX(0,H968-8),2))</f>
        <v/>
      </c>
      <c r="J968" s="33">
        <f>IF(OR(E968="",F968=""),"",ROUND(IF(MOD(F968,1)&gt;=TIME(22,0,0),(MOD(F968,1)-TIME(22,0,0))*24,IF(MOD(F968,1)&lt;TIME(6,0,0),(MOD(F968,1)+1-TIME(22,0,0))*24,0)),2))</f>
        <v/>
      </c>
      <c r="K968" s="33">
        <f>IF(H968="","",ROUND(IF(L968="휴일근로",MIN(H968,8)*1.5+MAX(0,H968-8)*2,I968*1.5)+N(J968)*0.5,2))</f>
        <v/>
      </c>
      <c r="L968" s="18" t="n"/>
      <c r="M968" s="18" t="n"/>
      <c r="N968" s="22" t="n"/>
    </row>
    <row r="969">
      <c r="A969" s="19" t="n"/>
      <c r="B969" s="25">
        <f>IF(A969="","",CHOOSE(WEEKDAY(A969,2),"월","화","수","목","금","토","일"))</f>
        <v/>
      </c>
      <c r="C969" s="18" t="n"/>
      <c r="D969" s="25">
        <f>IFERROR(IF(C969="","",INDEX(직원명부!$B$5:$B$24,MATCH(C969,직원명부!$A$5:$A$24,0))),"사번 확인")</f>
        <v/>
      </c>
      <c r="E969" s="34" t="n"/>
      <c r="F969" s="34" t="n"/>
      <c r="G969" s="28" t="n"/>
      <c r="H969" s="33">
        <f>IF(OR(E969="",F969=""),"",ROUND(MOD(F969-E969,1)*24-N(G969),2))</f>
        <v/>
      </c>
      <c r="I969" s="33">
        <f>IF(H969="","",ROUND(MAX(0,H969-8),2))</f>
        <v/>
      </c>
      <c r="J969" s="33">
        <f>IF(OR(E969="",F969=""),"",ROUND(IF(MOD(F969,1)&gt;=TIME(22,0,0),(MOD(F969,1)-TIME(22,0,0))*24,IF(MOD(F969,1)&lt;TIME(6,0,0),(MOD(F969,1)+1-TIME(22,0,0))*24,0)),2))</f>
        <v/>
      </c>
      <c r="K969" s="33">
        <f>IF(H969="","",ROUND(IF(L969="휴일근로",MIN(H969,8)*1.5+MAX(0,H969-8)*2,I969*1.5)+N(J969)*0.5,2))</f>
        <v/>
      </c>
      <c r="L969" s="18" t="n"/>
      <c r="M969" s="18" t="n"/>
      <c r="N969" s="22" t="n"/>
    </row>
    <row r="970">
      <c r="A970" s="19" t="n"/>
      <c r="B970" s="25">
        <f>IF(A970="","",CHOOSE(WEEKDAY(A970,2),"월","화","수","목","금","토","일"))</f>
        <v/>
      </c>
      <c r="C970" s="18" t="n"/>
      <c r="D970" s="25">
        <f>IFERROR(IF(C970="","",INDEX(직원명부!$B$5:$B$24,MATCH(C970,직원명부!$A$5:$A$24,0))),"사번 확인")</f>
        <v/>
      </c>
      <c r="E970" s="34" t="n"/>
      <c r="F970" s="34" t="n"/>
      <c r="G970" s="28" t="n"/>
      <c r="H970" s="33">
        <f>IF(OR(E970="",F970=""),"",ROUND(MOD(F970-E970,1)*24-N(G970),2))</f>
        <v/>
      </c>
      <c r="I970" s="33">
        <f>IF(H970="","",ROUND(MAX(0,H970-8),2))</f>
        <v/>
      </c>
      <c r="J970" s="33">
        <f>IF(OR(E970="",F970=""),"",ROUND(IF(MOD(F970,1)&gt;=TIME(22,0,0),(MOD(F970,1)-TIME(22,0,0))*24,IF(MOD(F970,1)&lt;TIME(6,0,0),(MOD(F970,1)+1-TIME(22,0,0))*24,0)),2))</f>
        <v/>
      </c>
      <c r="K970" s="33">
        <f>IF(H970="","",ROUND(IF(L970="휴일근로",MIN(H970,8)*1.5+MAX(0,H970-8)*2,I970*1.5)+N(J970)*0.5,2))</f>
        <v/>
      </c>
      <c r="L970" s="18" t="n"/>
      <c r="M970" s="18" t="n"/>
      <c r="N970" s="22" t="n"/>
    </row>
    <row r="971">
      <c r="A971" s="19" t="n"/>
      <c r="B971" s="25">
        <f>IF(A971="","",CHOOSE(WEEKDAY(A971,2),"월","화","수","목","금","토","일"))</f>
        <v/>
      </c>
      <c r="C971" s="18" t="n"/>
      <c r="D971" s="25">
        <f>IFERROR(IF(C971="","",INDEX(직원명부!$B$5:$B$24,MATCH(C971,직원명부!$A$5:$A$24,0))),"사번 확인")</f>
        <v/>
      </c>
      <c r="E971" s="34" t="n"/>
      <c r="F971" s="34" t="n"/>
      <c r="G971" s="28" t="n"/>
      <c r="H971" s="33">
        <f>IF(OR(E971="",F971=""),"",ROUND(MOD(F971-E971,1)*24-N(G971),2))</f>
        <v/>
      </c>
      <c r="I971" s="33">
        <f>IF(H971="","",ROUND(MAX(0,H971-8),2))</f>
        <v/>
      </c>
      <c r="J971" s="33">
        <f>IF(OR(E971="",F971=""),"",ROUND(IF(MOD(F971,1)&gt;=TIME(22,0,0),(MOD(F971,1)-TIME(22,0,0))*24,IF(MOD(F971,1)&lt;TIME(6,0,0),(MOD(F971,1)+1-TIME(22,0,0))*24,0)),2))</f>
        <v/>
      </c>
      <c r="K971" s="33">
        <f>IF(H971="","",ROUND(IF(L971="휴일근로",MIN(H971,8)*1.5+MAX(0,H971-8)*2,I971*1.5)+N(J971)*0.5,2))</f>
        <v/>
      </c>
      <c r="L971" s="18" t="n"/>
      <c r="M971" s="18" t="n"/>
      <c r="N971" s="22" t="n"/>
    </row>
    <row r="972">
      <c r="A972" s="19" t="n"/>
      <c r="B972" s="25">
        <f>IF(A972="","",CHOOSE(WEEKDAY(A972,2),"월","화","수","목","금","토","일"))</f>
        <v/>
      </c>
      <c r="C972" s="18" t="n"/>
      <c r="D972" s="25">
        <f>IFERROR(IF(C972="","",INDEX(직원명부!$B$5:$B$24,MATCH(C972,직원명부!$A$5:$A$24,0))),"사번 확인")</f>
        <v/>
      </c>
      <c r="E972" s="34" t="n"/>
      <c r="F972" s="34" t="n"/>
      <c r="G972" s="28" t="n"/>
      <c r="H972" s="33">
        <f>IF(OR(E972="",F972=""),"",ROUND(MOD(F972-E972,1)*24-N(G972),2))</f>
        <v/>
      </c>
      <c r="I972" s="33">
        <f>IF(H972="","",ROUND(MAX(0,H972-8),2))</f>
        <v/>
      </c>
      <c r="J972" s="33">
        <f>IF(OR(E972="",F972=""),"",ROUND(IF(MOD(F972,1)&gt;=TIME(22,0,0),(MOD(F972,1)-TIME(22,0,0))*24,IF(MOD(F972,1)&lt;TIME(6,0,0),(MOD(F972,1)+1-TIME(22,0,0))*24,0)),2))</f>
        <v/>
      </c>
      <c r="K972" s="33">
        <f>IF(H972="","",ROUND(IF(L972="휴일근로",MIN(H972,8)*1.5+MAX(0,H972-8)*2,I972*1.5)+N(J972)*0.5,2))</f>
        <v/>
      </c>
      <c r="L972" s="18" t="n"/>
      <c r="M972" s="18" t="n"/>
      <c r="N972" s="22" t="n"/>
    </row>
    <row r="973">
      <c r="A973" s="19" t="n"/>
      <c r="B973" s="25">
        <f>IF(A973="","",CHOOSE(WEEKDAY(A973,2),"월","화","수","목","금","토","일"))</f>
        <v/>
      </c>
      <c r="C973" s="18" t="n"/>
      <c r="D973" s="25">
        <f>IFERROR(IF(C973="","",INDEX(직원명부!$B$5:$B$24,MATCH(C973,직원명부!$A$5:$A$24,0))),"사번 확인")</f>
        <v/>
      </c>
      <c r="E973" s="34" t="n"/>
      <c r="F973" s="34" t="n"/>
      <c r="G973" s="28" t="n"/>
      <c r="H973" s="33">
        <f>IF(OR(E973="",F973=""),"",ROUND(MOD(F973-E973,1)*24-N(G973),2))</f>
        <v/>
      </c>
      <c r="I973" s="33">
        <f>IF(H973="","",ROUND(MAX(0,H973-8),2))</f>
        <v/>
      </c>
      <c r="J973" s="33">
        <f>IF(OR(E973="",F973=""),"",ROUND(IF(MOD(F973,1)&gt;=TIME(22,0,0),(MOD(F973,1)-TIME(22,0,0))*24,IF(MOD(F973,1)&lt;TIME(6,0,0),(MOD(F973,1)+1-TIME(22,0,0))*24,0)),2))</f>
        <v/>
      </c>
      <c r="K973" s="33">
        <f>IF(H973="","",ROUND(IF(L973="휴일근로",MIN(H973,8)*1.5+MAX(0,H973-8)*2,I973*1.5)+N(J973)*0.5,2))</f>
        <v/>
      </c>
      <c r="L973" s="18" t="n"/>
      <c r="M973" s="18" t="n"/>
      <c r="N973" s="22" t="n"/>
    </row>
    <row r="974">
      <c r="A974" s="19" t="n"/>
      <c r="B974" s="25">
        <f>IF(A974="","",CHOOSE(WEEKDAY(A974,2),"월","화","수","목","금","토","일"))</f>
        <v/>
      </c>
      <c r="C974" s="18" t="n"/>
      <c r="D974" s="25">
        <f>IFERROR(IF(C974="","",INDEX(직원명부!$B$5:$B$24,MATCH(C974,직원명부!$A$5:$A$24,0))),"사번 확인")</f>
        <v/>
      </c>
      <c r="E974" s="34" t="n"/>
      <c r="F974" s="34" t="n"/>
      <c r="G974" s="28" t="n"/>
      <c r="H974" s="33">
        <f>IF(OR(E974="",F974=""),"",ROUND(MOD(F974-E974,1)*24-N(G974),2))</f>
        <v/>
      </c>
      <c r="I974" s="33">
        <f>IF(H974="","",ROUND(MAX(0,H974-8),2))</f>
        <v/>
      </c>
      <c r="J974" s="33">
        <f>IF(OR(E974="",F974=""),"",ROUND(IF(MOD(F974,1)&gt;=TIME(22,0,0),(MOD(F974,1)-TIME(22,0,0))*24,IF(MOD(F974,1)&lt;TIME(6,0,0),(MOD(F974,1)+1-TIME(22,0,0))*24,0)),2))</f>
        <v/>
      </c>
      <c r="K974" s="33">
        <f>IF(H974="","",ROUND(IF(L974="휴일근로",MIN(H974,8)*1.5+MAX(0,H974-8)*2,I974*1.5)+N(J974)*0.5,2))</f>
        <v/>
      </c>
      <c r="L974" s="18" t="n"/>
      <c r="M974" s="18" t="n"/>
      <c r="N974" s="22" t="n"/>
    </row>
    <row r="975">
      <c r="A975" s="19" t="n"/>
      <c r="B975" s="25">
        <f>IF(A975="","",CHOOSE(WEEKDAY(A975,2),"월","화","수","목","금","토","일"))</f>
        <v/>
      </c>
      <c r="C975" s="18" t="n"/>
      <c r="D975" s="25">
        <f>IFERROR(IF(C975="","",INDEX(직원명부!$B$5:$B$24,MATCH(C975,직원명부!$A$5:$A$24,0))),"사번 확인")</f>
        <v/>
      </c>
      <c r="E975" s="34" t="n"/>
      <c r="F975" s="34" t="n"/>
      <c r="G975" s="28" t="n"/>
      <c r="H975" s="33">
        <f>IF(OR(E975="",F975=""),"",ROUND(MOD(F975-E975,1)*24-N(G975),2))</f>
        <v/>
      </c>
      <c r="I975" s="33">
        <f>IF(H975="","",ROUND(MAX(0,H975-8),2))</f>
        <v/>
      </c>
      <c r="J975" s="33">
        <f>IF(OR(E975="",F975=""),"",ROUND(IF(MOD(F975,1)&gt;=TIME(22,0,0),(MOD(F975,1)-TIME(22,0,0))*24,IF(MOD(F975,1)&lt;TIME(6,0,0),(MOD(F975,1)+1-TIME(22,0,0))*24,0)),2))</f>
        <v/>
      </c>
      <c r="K975" s="33">
        <f>IF(H975="","",ROUND(IF(L975="휴일근로",MIN(H975,8)*1.5+MAX(0,H975-8)*2,I975*1.5)+N(J975)*0.5,2))</f>
        <v/>
      </c>
      <c r="L975" s="18" t="n"/>
      <c r="M975" s="18" t="n"/>
      <c r="N975" s="22" t="n"/>
    </row>
    <row r="976">
      <c r="A976" s="19" t="n"/>
      <c r="B976" s="25">
        <f>IF(A976="","",CHOOSE(WEEKDAY(A976,2),"월","화","수","목","금","토","일"))</f>
        <v/>
      </c>
      <c r="C976" s="18" t="n"/>
      <c r="D976" s="25">
        <f>IFERROR(IF(C976="","",INDEX(직원명부!$B$5:$B$24,MATCH(C976,직원명부!$A$5:$A$24,0))),"사번 확인")</f>
        <v/>
      </c>
      <c r="E976" s="34" t="n"/>
      <c r="F976" s="34" t="n"/>
      <c r="G976" s="28" t="n"/>
      <c r="H976" s="33">
        <f>IF(OR(E976="",F976=""),"",ROUND(MOD(F976-E976,1)*24-N(G976),2))</f>
        <v/>
      </c>
      <c r="I976" s="33">
        <f>IF(H976="","",ROUND(MAX(0,H976-8),2))</f>
        <v/>
      </c>
      <c r="J976" s="33">
        <f>IF(OR(E976="",F976=""),"",ROUND(IF(MOD(F976,1)&gt;=TIME(22,0,0),(MOD(F976,1)-TIME(22,0,0))*24,IF(MOD(F976,1)&lt;TIME(6,0,0),(MOD(F976,1)+1-TIME(22,0,0))*24,0)),2))</f>
        <v/>
      </c>
      <c r="K976" s="33">
        <f>IF(H976="","",ROUND(IF(L976="휴일근로",MIN(H976,8)*1.5+MAX(0,H976-8)*2,I976*1.5)+N(J976)*0.5,2))</f>
        <v/>
      </c>
      <c r="L976" s="18" t="n"/>
      <c r="M976" s="18" t="n"/>
      <c r="N976" s="22" t="n"/>
    </row>
    <row r="977">
      <c r="A977" s="19" t="n"/>
      <c r="B977" s="25">
        <f>IF(A977="","",CHOOSE(WEEKDAY(A977,2),"월","화","수","목","금","토","일"))</f>
        <v/>
      </c>
      <c r="C977" s="18" t="n"/>
      <c r="D977" s="25">
        <f>IFERROR(IF(C977="","",INDEX(직원명부!$B$5:$B$24,MATCH(C977,직원명부!$A$5:$A$24,0))),"사번 확인")</f>
        <v/>
      </c>
      <c r="E977" s="34" t="n"/>
      <c r="F977" s="34" t="n"/>
      <c r="G977" s="28" t="n"/>
      <c r="H977" s="33">
        <f>IF(OR(E977="",F977=""),"",ROUND(MOD(F977-E977,1)*24-N(G977),2))</f>
        <v/>
      </c>
      <c r="I977" s="33">
        <f>IF(H977="","",ROUND(MAX(0,H977-8),2))</f>
        <v/>
      </c>
      <c r="J977" s="33">
        <f>IF(OR(E977="",F977=""),"",ROUND(IF(MOD(F977,1)&gt;=TIME(22,0,0),(MOD(F977,1)-TIME(22,0,0))*24,IF(MOD(F977,1)&lt;TIME(6,0,0),(MOD(F977,1)+1-TIME(22,0,0))*24,0)),2))</f>
        <v/>
      </c>
      <c r="K977" s="33">
        <f>IF(H977="","",ROUND(IF(L977="휴일근로",MIN(H977,8)*1.5+MAX(0,H977-8)*2,I977*1.5)+N(J977)*0.5,2))</f>
        <v/>
      </c>
      <c r="L977" s="18" t="n"/>
      <c r="M977" s="18" t="n"/>
      <c r="N977" s="22" t="n"/>
    </row>
    <row r="978">
      <c r="A978" s="19" t="n"/>
      <c r="B978" s="25">
        <f>IF(A978="","",CHOOSE(WEEKDAY(A978,2),"월","화","수","목","금","토","일"))</f>
        <v/>
      </c>
      <c r="C978" s="18" t="n"/>
      <c r="D978" s="25">
        <f>IFERROR(IF(C978="","",INDEX(직원명부!$B$5:$B$24,MATCH(C978,직원명부!$A$5:$A$24,0))),"사번 확인")</f>
        <v/>
      </c>
      <c r="E978" s="34" t="n"/>
      <c r="F978" s="34" t="n"/>
      <c r="G978" s="28" t="n"/>
      <c r="H978" s="33">
        <f>IF(OR(E978="",F978=""),"",ROUND(MOD(F978-E978,1)*24-N(G978),2))</f>
        <v/>
      </c>
      <c r="I978" s="33">
        <f>IF(H978="","",ROUND(MAX(0,H978-8),2))</f>
        <v/>
      </c>
      <c r="J978" s="33">
        <f>IF(OR(E978="",F978=""),"",ROUND(IF(MOD(F978,1)&gt;=TIME(22,0,0),(MOD(F978,1)-TIME(22,0,0))*24,IF(MOD(F978,1)&lt;TIME(6,0,0),(MOD(F978,1)+1-TIME(22,0,0))*24,0)),2))</f>
        <v/>
      </c>
      <c r="K978" s="33">
        <f>IF(H978="","",ROUND(IF(L978="휴일근로",MIN(H978,8)*1.5+MAX(0,H978-8)*2,I978*1.5)+N(J978)*0.5,2))</f>
        <v/>
      </c>
      <c r="L978" s="18" t="n"/>
      <c r="M978" s="18" t="n"/>
      <c r="N978" s="22" t="n"/>
    </row>
    <row r="979">
      <c r="A979" s="19" t="n"/>
      <c r="B979" s="25">
        <f>IF(A979="","",CHOOSE(WEEKDAY(A979,2),"월","화","수","목","금","토","일"))</f>
        <v/>
      </c>
      <c r="C979" s="18" t="n"/>
      <c r="D979" s="25">
        <f>IFERROR(IF(C979="","",INDEX(직원명부!$B$5:$B$24,MATCH(C979,직원명부!$A$5:$A$24,0))),"사번 확인")</f>
        <v/>
      </c>
      <c r="E979" s="34" t="n"/>
      <c r="F979" s="34" t="n"/>
      <c r="G979" s="28" t="n"/>
      <c r="H979" s="33">
        <f>IF(OR(E979="",F979=""),"",ROUND(MOD(F979-E979,1)*24-N(G979),2))</f>
        <v/>
      </c>
      <c r="I979" s="33">
        <f>IF(H979="","",ROUND(MAX(0,H979-8),2))</f>
        <v/>
      </c>
      <c r="J979" s="33">
        <f>IF(OR(E979="",F979=""),"",ROUND(IF(MOD(F979,1)&gt;=TIME(22,0,0),(MOD(F979,1)-TIME(22,0,0))*24,IF(MOD(F979,1)&lt;TIME(6,0,0),(MOD(F979,1)+1-TIME(22,0,0))*24,0)),2))</f>
        <v/>
      </c>
      <c r="K979" s="33">
        <f>IF(H979="","",ROUND(IF(L979="휴일근로",MIN(H979,8)*1.5+MAX(0,H979-8)*2,I979*1.5)+N(J979)*0.5,2))</f>
        <v/>
      </c>
      <c r="L979" s="18" t="n"/>
      <c r="M979" s="18" t="n"/>
      <c r="N979" s="22" t="n"/>
    </row>
    <row r="980">
      <c r="A980" s="19" t="n"/>
      <c r="B980" s="25">
        <f>IF(A980="","",CHOOSE(WEEKDAY(A980,2),"월","화","수","목","금","토","일"))</f>
        <v/>
      </c>
      <c r="C980" s="18" t="n"/>
      <c r="D980" s="25">
        <f>IFERROR(IF(C980="","",INDEX(직원명부!$B$5:$B$24,MATCH(C980,직원명부!$A$5:$A$24,0))),"사번 확인")</f>
        <v/>
      </c>
      <c r="E980" s="34" t="n"/>
      <c r="F980" s="34" t="n"/>
      <c r="G980" s="28" t="n"/>
      <c r="H980" s="33">
        <f>IF(OR(E980="",F980=""),"",ROUND(MOD(F980-E980,1)*24-N(G980),2))</f>
        <v/>
      </c>
      <c r="I980" s="33">
        <f>IF(H980="","",ROUND(MAX(0,H980-8),2))</f>
        <v/>
      </c>
      <c r="J980" s="33">
        <f>IF(OR(E980="",F980=""),"",ROUND(IF(MOD(F980,1)&gt;=TIME(22,0,0),(MOD(F980,1)-TIME(22,0,0))*24,IF(MOD(F980,1)&lt;TIME(6,0,0),(MOD(F980,1)+1-TIME(22,0,0))*24,0)),2))</f>
        <v/>
      </c>
      <c r="K980" s="33">
        <f>IF(H980="","",ROUND(IF(L980="휴일근로",MIN(H980,8)*1.5+MAX(0,H980-8)*2,I980*1.5)+N(J980)*0.5,2))</f>
        <v/>
      </c>
      <c r="L980" s="18" t="n"/>
      <c r="M980" s="18" t="n"/>
      <c r="N980" s="22" t="n"/>
    </row>
    <row r="981">
      <c r="A981" s="19" t="n"/>
      <c r="B981" s="25">
        <f>IF(A981="","",CHOOSE(WEEKDAY(A981,2),"월","화","수","목","금","토","일"))</f>
        <v/>
      </c>
      <c r="C981" s="18" t="n"/>
      <c r="D981" s="25">
        <f>IFERROR(IF(C981="","",INDEX(직원명부!$B$5:$B$24,MATCH(C981,직원명부!$A$5:$A$24,0))),"사번 확인")</f>
        <v/>
      </c>
      <c r="E981" s="34" t="n"/>
      <c r="F981" s="34" t="n"/>
      <c r="G981" s="28" t="n"/>
      <c r="H981" s="33">
        <f>IF(OR(E981="",F981=""),"",ROUND(MOD(F981-E981,1)*24-N(G981),2))</f>
        <v/>
      </c>
      <c r="I981" s="33">
        <f>IF(H981="","",ROUND(MAX(0,H981-8),2))</f>
        <v/>
      </c>
      <c r="J981" s="33">
        <f>IF(OR(E981="",F981=""),"",ROUND(IF(MOD(F981,1)&gt;=TIME(22,0,0),(MOD(F981,1)-TIME(22,0,0))*24,IF(MOD(F981,1)&lt;TIME(6,0,0),(MOD(F981,1)+1-TIME(22,0,0))*24,0)),2))</f>
        <v/>
      </c>
      <c r="K981" s="33">
        <f>IF(H981="","",ROUND(IF(L981="휴일근로",MIN(H981,8)*1.5+MAX(0,H981-8)*2,I981*1.5)+N(J981)*0.5,2))</f>
        <v/>
      </c>
      <c r="L981" s="18" t="n"/>
      <c r="M981" s="18" t="n"/>
      <c r="N981" s="22" t="n"/>
    </row>
    <row r="982">
      <c r="A982" s="19" t="n"/>
      <c r="B982" s="25">
        <f>IF(A982="","",CHOOSE(WEEKDAY(A982,2),"월","화","수","목","금","토","일"))</f>
        <v/>
      </c>
      <c r="C982" s="18" t="n"/>
      <c r="D982" s="25">
        <f>IFERROR(IF(C982="","",INDEX(직원명부!$B$5:$B$24,MATCH(C982,직원명부!$A$5:$A$24,0))),"사번 확인")</f>
        <v/>
      </c>
      <c r="E982" s="34" t="n"/>
      <c r="F982" s="34" t="n"/>
      <c r="G982" s="28" t="n"/>
      <c r="H982" s="33">
        <f>IF(OR(E982="",F982=""),"",ROUND(MOD(F982-E982,1)*24-N(G982),2))</f>
        <v/>
      </c>
      <c r="I982" s="33">
        <f>IF(H982="","",ROUND(MAX(0,H982-8),2))</f>
        <v/>
      </c>
      <c r="J982" s="33">
        <f>IF(OR(E982="",F982=""),"",ROUND(IF(MOD(F982,1)&gt;=TIME(22,0,0),(MOD(F982,1)-TIME(22,0,0))*24,IF(MOD(F982,1)&lt;TIME(6,0,0),(MOD(F982,1)+1-TIME(22,0,0))*24,0)),2))</f>
        <v/>
      </c>
      <c r="K982" s="33">
        <f>IF(H982="","",ROUND(IF(L982="휴일근로",MIN(H982,8)*1.5+MAX(0,H982-8)*2,I982*1.5)+N(J982)*0.5,2))</f>
        <v/>
      </c>
      <c r="L982" s="18" t="n"/>
      <c r="M982" s="18" t="n"/>
      <c r="N982" s="22" t="n"/>
    </row>
    <row r="983">
      <c r="A983" s="19" t="n"/>
      <c r="B983" s="25">
        <f>IF(A983="","",CHOOSE(WEEKDAY(A983,2),"월","화","수","목","금","토","일"))</f>
        <v/>
      </c>
      <c r="C983" s="18" t="n"/>
      <c r="D983" s="25">
        <f>IFERROR(IF(C983="","",INDEX(직원명부!$B$5:$B$24,MATCH(C983,직원명부!$A$5:$A$24,0))),"사번 확인")</f>
        <v/>
      </c>
      <c r="E983" s="34" t="n"/>
      <c r="F983" s="34" t="n"/>
      <c r="G983" s="28" t="n"/>
      <c r="H983" s="33">
        <f>IF(OR(E983="",F983=""),"",ROUND(MOD(F983-E983,1)*24-N(G983),2))</f>
        <v/>
      </c>
      <c r="I983" s="33">
        <f>IF(H983="","",ROUND(MAX(0,H983-8),2))</f>
        <v/>
      </c>
      <c r="J983" s="33">
        <f>IF(OR(E983="",F983=""),"",ROUND(IF(MOD(F983,1)&gt;=TIME(22,0,0),(MOD(F983,1)-TIME(22,0,0))*24,IF(MOD(F983,1)&lt;TIME(6,0,0),(MOD(F983,1)+1-TIME(22,0,0))*24,0)),2))</f>
        <v/>
      </c>
      <c r="K983" s="33">
        <f>IF(H983="","",ROUND(IF(L983="휴일근로",MIN(H983,8)*1.5+MAX(0,H983-8)*2,I983*1.5)+N(J983)*0.5,2))</f>
        <v/>
      </c>
      <c r="L983" s="18" t="n"/>
      <c r="M983" s="18" t="n"/>
      <c r="N983" s="22" t="n"/>
    </row>
    <row r="984">
      <c r="A984" s="19" t="n"/>
      <c r="B984" s="25">
        <f>IF(A984="","",CHOOSE(WEEKDAY(A984,2),"월","화","수","목","금","토","일"))</f>
        <v/>
      </c>
      <c r="C984" s="18" t="n"/>
      <c r="D984" s="25">
        <f>IFERROR(IF(C984="","",INDEX(직원명부!$B$5:$B$24,MATCH(C984,직원명부!$A$5:$A$24,0))),"사번 확인")</f>
        <v/>
      </c>
      <c r="E984" s="34" t="n"/>
      <c r="F984" s="34" t="n"/>
      <c r="G984" s="28" t="n"/>
      <c r="H984" s="33">
        <f>IF(OR(E984="",F984=""),"",ROUND(MOD(F984-E984,1)*24-N(G984),2))</f>
        <v/>
      </c>
      <c r="I984" s="33">
        <f>IF(H984="","",ROUND(MAX(0,H984-8),2))</f>
        <v/>
      </c>
      <c r="J984" s="33">
        <f>IF(OR(E984="",F984=""),"",ROUND(IF(MOD(F984,1)&gt;=TIME(22,0,0),(MOD(F984,1)-TIME(22,0,0))*24,IF(MOD(F984,1)&lt;TIME(6,0,0),(MOD(F984,1)+1-TIME(22,0,0))*24,0)),2))</f>
        <v/>
      </c>
      <c r="K984" s="33">
        <f>IF(H984="","",ROUND(IF(L984="휴일근로",MIN(H984,8)*1.5+MAX(0,H984-8)*2,I984*1.5)+N(J984)*0.5,2))</f>
        <v/>
      </c>
      <c r="L984" s="18" t="n"/>
      <c r="M984" s="18" t="n"/>
      <c r="N984" s="22" t="n"/>
    </row>
    <row r="985">
      <c r="A985" s="19" t="n"/>
      <c r="B985" s="25">
        <f>IF(A985="","",CHOOSE(WEEKDAY(A985,2),"월","화","수","목","금","토","일"))</f>
        <v/>
      </c>
      <c r="C985" s="18" t="n"/>
      <c r="D985" s="25">
        <f>IFERROR(IF(C985="","",INDEX(직원명부!$B$5:$B$24,MATCH(C985,직원명부!$A$5:$A$24,0))),"사번 확인")</f>
        <v/>
      </c>
      <c r="E985" s="34" t="n"/>
      <c r="F985" s="34" t="n"/>
      <c r="G985" s="28" t="n"/>
      <c r="H985" s="33">
        <f>IF(OR(E985="",F985=""),"",ROUND(MOD(F985-E985,1)*24-N(G985),2))</f>
        <v/>
      </c>
      <c r="I985" s="33">
        <f>IF(H985="","",ROUND(MAX(0,H985-8),2))</f>
        <v/>
      </c>
      <c r="J985" s="33">
        <f>IF(OR(E985="",F985=""),"",ROUND(IF(MOD(F985,1)&gt;=TIME(22,0,0),(MOD(F985,1)-TIME(22,0,0))*24,IF(MOD(F985,1)&lt;TIME(6,0,0),(MOD(F985,1)+1-TIME(22,0,0))*24,0)),2))</f>
        <v/>
      </c>
      <c r="K985" s="33">
        <f>IF(H985="","",ROUND(IF(L985="휴일근로",MIN(H985,8)*1.5+MAX(0,H985-8)*2,I985*1.5)+N(J985)*0.5,2))</f>
        <v/>
      </c>
      <c r="L985" s="18" t="n"/>
      <c r="M985" s="18" t="n"/>
      <c r="N985" s="22" t="n"/>
    </row>
    <row r="986">
      <c r="A986" s="19" t="n"/>
      <c r="B986" s="25">
        <f>IF(A986="","",CHOOSE(WEEKDAY(A986,2),"월","화","수","목","금","토","일"))</f>
        <v/>
      </c>
      <c r="C986" s="18" t="n"/>
      <c r="D986" s="25">
        <f>IFERROR(IF(C986="","",INDEX(직원명부!$B$5:$B$24,MATCH(C986,직원명부!$A$5:$A$24,0))),"사번 확인")</f>
        <v/>
      </c>
      <c r="E986" s="34" t="n"/>
      <c r="F986" s="34" t="n"/>
      <c r="G986" s="28" t="n"/>
      <c r="H986" s="33">
        <f>IF(OR(E986="",F986=""),"",ROUND(MOD(F986-E986,1)*24-N(G986),2))</f>
        <v/>
      </c>
      <c r="I986" s="33">
        <f>IF(H986="","",ROUND(MAX(0,H986-8),2))</f>
        <v/>
      </c>
      <c r="J986" s="33">
        <f>IF(OR(E986="",F986=""),"",ROUND(IF(MOD(F986,1)&gt;=TIME(22,0,0),(MOD(F986,1)-TIME(22,0,0))*24,IF(MOD(F986,1)&lt;TIME(6,0,0),(MOD(F986,1)+1-TIME(22,0,0))*24,0)),2))</f>
        <v/>
      </c>
      <c r="K986" s="33">
        <f>IF(H986="","",ROUND(IF(L986="휴일근로",MIN(H986,8)*1.5+MAX(0,H986-8)*2,I986*1.5)+N(J986)*0.5,2))</f>
        <v/>
      </c>
      <c r="L986" s="18" t="n"/>
      <c r="M986" s="18" t="n"/>
      <c r="N986" s="22" t="n"/>
    </row>
    <row r="987">
      <c r="A987" s="19" t="n"/>
      <c r="B987" s="25">
        <f>IF(A987="","",CHOOSE(WEEKDAY(A987,2),"월","화","수","목","금","토","일"))</f>
        <v/>
      </c>
      <c r="C987" s="18" t="n"/>
      <c r="D987" s="25">
        <f>IFERROR(IF(C987="","",INDEX(직원명부!$B$5:$B$24,MATCH(C987,직원명부!$A$5:$A$24,0))),"사번 확인")</f>
        <v/>
      </c>
      <c r="E987" s="34" t="n"/>
      <c r="F987" s="34" t="n"/>
      <c r="G987" s="28" t="n"/>
      <c r="H987" s="33">
        <f>IF(OR(E987="",F987=""),"",ROUND(MOD(F987-E987,1)*24-N(G987),2))</f>
        <v/>
      </c>
      <c r="I987" s="33">
        <f>IF(H987="","",ROUND(MAX(0,H987-8),2))</f>
        <v/>
      </c>
      <c r="J987" s="33">
        <f>IF(OR(E987="",F987=""),"",ROUND(IF(MOD(F987,1)&gt;=TIME(22,0,0),(MOD(F987,1)-TIME(22,0,0))*24,IF(MOD(F987,1)&lt;TIME(6,0,0),(MOD(F987,1)+1-TIME(22,0,0))*24,0)),2))</f>
        <v/>
      </c>
      <c r="K987" s="33">
        <f>IF(H987="","",ROUND(IF(L987="휴일근로",MIN(H987,8)*1.5+MAX(0,H987-8)*2,I987*1.5)+N(J987)*0.5,2))</f>
        <v/>
      </c>
      <c r="L987" s="18" t="n"/>
      <c r="M987" s="18" t="n"/>
      <c r="N987" s="22" t="n"/>
    </row>
    <row r="988">
      <c r="A988" s="19" t="n"/>
      <c r="B988" s="25">
        <f>IF(A988="","",CHOOSE(WEEKDAY(A988,2),"월","화","수","목","금","토","일"))</f>
        <v/>
      </c>
      <c r="C988" s="18" t="n"/>
      <c r="D988" s="25">
        <f>IFERROR(IF(C988="","",INDEX(직원명부!$B$5:$B$24,MATCH(C988,직원명부!$A$5:$A$24,0))),"사번 확인")</f>
        <v/>
      </c>
      <c r="E988" s="34" t="n"/>
      <c r="F988" s="34" t="n"/>
      <c r="G988" s="28" t="n"/>
      <c r="H988" s="33">
        <f>IF(OR(E988="",F988=""),"",ROUND(MOD(F988-E988,1)*24-N(G988),2))</f>
        <v/>
      </c>
      <c r="I988" s="33">
        <f>IF(H988="","",ROUND(MAX(0,H988-8),2))</f>
        <v/>
      </c>
      <c r="J988" s="33">
        <f>IF(OR(E988="",F988=""),"",ROUND(IF(MOD(F988,1)&gt;=TIME(22,0,0),(MOD(F988,1)-TIME(22,0,0))*24,IF(MOD(F988,1)&lt;TIME(6,0,0),(MOD(F988,1)+1-TIME(22,0,0))*24,0)),2))</f>
        <v/>
      </c>
      <c r="K988" s="33">
        <f>IF(H988="","",ROUND(IF(L988="휴일근로",MIN(H988,8)*1.5+MAX(0,H988-8)*2,I988*1.5)+N(J988)*0.5,2))</f>
        <v/>
      </c>
      <c r="L988" s="18" t="n"/>
      <c r="M988" s="18" t="n"/>
      <c r="N988" s="22" t="n"/>
    </row>
    <row r="989">
      <c r="A989" s="19" t="n"/>
      <c r="B989" s="25">
        <f>IF(A989="","",CHOOSE(WEEKDAY(A989,2),"월","화","수","목","금","토","일"))</f>
        <v/>
      </c>
      <c r="C989" s="18" t="n"/>
      <c r="D989" s="25">
        <f>IFERROR(IF(C989="","",INDEX(직원명부!$B$5:$B$24,MATCH(C989,직원명부!$A$5:$A$24,0))),"사번 확인")</f>
        <v/>
      </c>
      <c r="E989" s="34" t="n"/>
      <c r="F989" s="34" t="n"/>
      <c r="G989" s="28" t="n"/>
      <c r="H989" s="33">
        <f>IF(OR(E989="",F989=""),"",ROUND(MOD(F989-E989,1)*24-N(G989),2))</f>
        <v/>
      </c>
      <c r="I989" s="33">
        <f>IF(H989="","",ROUND(MAX(0,H989-8),2))</f>
        <v/>
      </c>
      <c r="J989" s="33">
        <f>IF(OR(E989="",F989=""),"",ROUND(IF(MOD(F989,1)&gt;=TIME(22,0,0),(MOD(F989,1)-TIME(22,0,0))*24,IF(MOD(F989,1)&lt;TIME(6,0,0),(MOD(F989,1)+1-TIME(22,0,0))*24,0)),2))</f>
        <v/>
      </c>
      <c r="K989" s="33">
        <f>IF(H989="","",ROUND(IF(L989="휴일근로",MIN(H989,8)*1.5+MAX(0,H989-8)*2,I989*1.5)+N(J989)*0.5,2))</f>
        <v/>
      </c>
      <c r="L989" s="18" t="n"/>
      <c r="M989" s="18" t="n"/>
      <c r="N989" s="22" t="n"/>
    </row>
    <row r="990">
      <c r="A990" s="19" t="n"/>
      <c r="B990" s="25">
        <f>IF(A990="","",CHOOSE(WEEKDAY(A990,2),"월","화","수","목","금","토","일"))</f>
        <v/>
      </c>
      <c r="C990" s="18" t="n"/>
      <c r="D990" s="25">
        <f>IFERROR(IF(C990="","",INDEX(직원명부!$B$5:$B$24,MATCH(C990,직원명부!$A$5:$A$24,0))),"사번 확인")</f>
        <v/>
      </c>
      <c r="E990" s="34" t="n"/>
      <c r="F990" s="34" t="n"/>
      <c r="G990" s="28" t="n"/>
      <c r="H990" s="33">
        <f>IF(OR(E990="",F990=""),"",ROUND(MOD(F990-E990,1)*24-N(G990),2))</f>
        <v/>
      </c>
      <c r="I990" s="33">
        <f>IF(H990="","",ROUND(MAX(0,H990-8),2))</f>
        <v/>
      </c>
      <c r="J990" s="33">
        <f>IF(OR(E990="",F990=""),"",ROUND(IF(MOD(F990,1)&gt;=TIME(22,0,0),(MOD(F990,1)-TIME(22,0,0))*24,IF(MOD(F990,1)&lt;TIME(6,0,0),(MOD(F990,1)+1-TIME(22,0,0))*24,0)),2))</f>
        <v/>
      </c>
      <c r="K990" s="33">
        <f>IF(H990="","",ROUND(IF(L990="휴일근로",MIN(H990,8)*1.5+MAX(0,H990-8)*2,I990*1.5)+N(J990)*0.5,2))</f>
        <v/>
      </c>
      <c r="L990" s="18" t="n"/>
      <c r="M990" s="18" t="n"/>
      <c r="N990" s="22" t="n"/>
    </row>
    <row r="991">
      <c r="A991" s="19" t="n"/>
      <c r="B991" s="25">
        <f>IF(A991="","",CHOOSE(WEEKDAY(A991,2),"월","화","수","목","금","토","일"))</f>
        <v/>
      </c>
      <c r="C991" s="18" t="n"/>
      <c r="D991" s="25">
        <f>IFERROR(IF(C991="","",INDEX(직원명부!$B$5:$B$24,MATCH(C991,직원명부!$A$5:$A$24,0))),"사번 확인")</f>
        <v/>
      </c>
      <c r="E991" s="34" t="n"/>
      <c r="F991" s="34" t="n"/>
      <c r="G991" s="28" t="n"/>
      <c r="H991" s="33">
        <f>IF(OR(E991="",F991=""),"",ROUND(MOD(F991-E991,1)*24-N(G991),2))</f>
        <v/>
      </c>
      <c r="I991" s="33">
        <f>IF(H991="","",ROUND(MAX(0,H991-8),2))</f>
        <v/>
      </c>
      <c r="J991" s="33">
        <f>IF(OR(E991="",F991=""),"",ROUND(IF(MOD(F991,1)&gt;=TIME(22,0,0),(MOD(F991,1)-TIME(22,0,0))*24,IF(MOD(F991,1)&lt;TIME(6,0,0),(MOD(F991,1)+1-TIME(22,0,0))*24,0)),2))</f>
        <v/>
      </c>
      <c r="K991" s="33">
        <f>IF(H991="","",ROUND(IF(L991="휴일근로",MIN(H991,8)*1.5+MAX(0,H991-8)*2,I991*1.5)+N(J991)*0.5,2))</f>
        <v/>
      </c>
      <c r="L991" s="18" t="n"/>
      <c r="M991" s="18" t="n"/>
      <c r="N991" s="22" t="n"/>
    </row>
    <row r="992">
      <c r="A992" s="19" t="n"/>
      <c r="B992" s="25">
        <f>IF(A992="","",CHOOSE(WEEKDAY(A992,2),"월","화","수","목","금","토","일"))</f>
        <v/>
      </c>
      <c r="C992" s="18" t="n"/>
      <c r="D992" s="25">
        <f>IFERROR(IF(C992="","",INDEX(직원명부!$B$5:$B$24,MATCH(C992,직원명부!$A$5:$A$24,0))),"사번 확인")</f>
        <v/>
      </c>
      <c r="E992" s="34" t="n"/>
      <c r="F992" s="34" t="n"/>
      <c r="G992" s="28" t="n"/>
      <c r="H992" s="33">
        <f>IF(OR(E992="",F992=""),"",ROUND(MOD(F992-E992,1)*24-N(G992),2))</f>
        <v/>
      </c>
      <c r="I992" s="33">
        <f>IF(H992="","",ROUND(MAX(0,H992-8),2))</f>
        <v/>
      </c>
      <c r="J992" s="33">
        <f>IF(OR(E992="",F992=""),"",ROUND(IF(MOD(F992,1)&gt;=TIME(22,0,0),(MOD(F992,1)-TIME(22,0,0))*24,IF(MOD(F992,1)&lt;TIME(6,0,0),(MOD(F992,1)+1-TIME(22,0,0))*24,0)),2))</f>
        <v/>
      </c>
      <c r="K992" s="33">
        <f>IF(H992="","",ROUND(IF(L992="휴일근로",MIN(H992,8)*1.5+MAX(0,H992-8)*2,I992*1.5)+N(J992)*0.5,2))</f>
        <v/>
      </c>
      <c r="L992" s="18" t="n"/>
      <c r="M992" s="18" t="n"/>
      <c r="N992" s="22" t="n"/>
    </row>
    <row r="993">
      <c r="A993" s="19" t="n"/>
      <c r="B993" s="25">
        <f>IF(A993="","",CHOOSE(WEEKDAY(A993,2),"월","화","수","목","금","토","일"))</f>
        <v/>
      </c>
      <c r="C993" s="18" t="n"/>
      <c r="D993" s="25">
        <f>IFERROR(IF(C993="","",INDEX(직원명부!$B$5:$B$24,MATCH(C993,직원명부!$A$5:$A$24,0))),"사번 확인")</f>
        <v/>
      </c>
      <c r="E993" s="34" t="n"/>
      <c r="F993" s="34" t="n"/>
      <c r="G993" s="28" t="n"/>
      <c r="H993" s="33">
        <f>IF(OR(E993="",F993=""),"",ROUND(MOD(F993-E993,1)*24-N(G993),2))</f>
        <v/>
      </c>
      <c r="I993" s="33">
        <f>IF(H993="","",ROUND(MAX(0,H993-8),2))</f>
        <v/>
      </c>
      <c r="J993" s="33">
        <f>IF(OR(E993="",F993=""),"",ROUND(IF(MOD(F993,1)&gt;=TIME(22,0,0),(MOD(F993,1)-TIME(22,0,0))*24,IF(MOD(F993,1)&lt;TIME(6,0,0),(MOD(F993,1)+1-TIME(22,0,0))*24,0)),2))</f>
        <v/>
      </c>
      <c r="K993" s="33">
        <f>IF(H993="","",ROUND(IF(L993="휴일근로",MIN(H993,8)*1.5+MAX(0,H993-8)*2,I993*1.5)+N(J993)*0.5,2))</f>
        <v/>
      </c>
      <c r="L993" s="18" t="n"/>
      <c r="M993" s="18" t="n"/>
      <c r="N993" s="22" t="n"/>
    </row>
    <row r="994">
      <c r="A994" s="19" t="n"/>
      <c r="B994" s="25">
        <f>IF(A994="","",CHOOSE(WEEKDAY(A994,2),"월","화","수","목","금","토","일"))</f>
        <v/>
      </c>
      <c r="C994" s="18" t="n"/>
      <c r="D994" s="25">
        <f>IFERROR(IF(C994="","",INDEX(직원명부!$B$5:$B$24,MATCH(C994,직원명부!$A$5:$A$24,0))),"사번 확인")</f>
        <v/>
      </c>
      <c r="E994" s="34" t="n"/>
      <c r="F994" s="34" t="n"/>
      <c r="G994" s="28" t="n"/>
      <c r="H994" s="33">
        <f>IF(OR(E994="",F994=""),"",ROUND(MOD(F994-E994,1)*24-N(G994),2))</f>
        <v/>
      </c>
      <c r="I994" s="33">
        <f>IF(H994="","",ROUND(MAX(0,H994-8),2))</f>
        <v/>
      </c>
      <c r="J994" s="33">
        <f>IF(OR(E994="",F994=""),"",ROUND(IF(MOD(F994,1)&gt;=TIME(22,0,0),(MOD(F994,1)-TIME(22,0,0))*24,IF(MOD(F994,1)&lt;TIME(6,0,0),(MOD(F994,1)+1-TIME(22,0,0))*24,0)),2))</f>
        <v/>
      </c>
      <c r="K994" s="33">
        <f>IF(H994="","",ROUND(IF(L994="휴일근로",MIN(H994,8)*1.5+MAX(0,H994-8)*2,I994*1.5)+N(J994)*0.5,2))</f>
        <v/>
      </c>
      <c r="L994" s="18" t="n"/>
      <c r="M994" s="18" t="n"/>
      <c r="N994" s="22" t="n"/>
    </row>
    <row r="995">
      <c r="A995" s="19" t="n"/>
      <c r="B995" s="25">
        <f>IF(A995="","",CHOOSE(WEEKDAY(A995,2),"월","화","수","목","금","토","일"))</f>
        <v/>
      </c>
      <c r="C995" s="18" t="n"/>
      <c r="D995" s="25">
        <f>IFERROR(IF(C995="","",INDEX(직원명부!$B$5:$B$24,MATCH(C995,직원명부!$A$5:$A$24,0))),"사번 확인")</f>
        <v/>
      </c>
      <c r="E995" s="34" t="n"/>
      <c r="F995" s="34" t="n"/>
      <c r="G995" s="28" t="n"/>
      <c r="H995" s="33">
        <f>IF(OR(E995="",F995=""),"",ROUND(MOD(F995-E995,1)*24-N(G995),2))</f>
        <v/>
      </c>
      <c r="I995" s="33">
        <f>IF(H995="","",ROUND(MAX(0,H995-8),2))</f>
        <v/>
      </c>
      <c r="J995" s="33">
        <f>IF(OR(E995="",F995=""),"",ROUND(IF(MOD(F995,1)&gt;=TIME(22,0,0),(MOD(F995,1)-TIME(22,0,0))*24,IF(MOD(F995,1)&lt;TIME(6,0,0),(MOD(F995,1)+1-TIME(22,0,0))*24,0)),2))</f>
        <v/>
      </c>
      <c r="K995" s="33">
        <f>IF(H995="","",ROUND(IF(L995="휴일근로",MIN(H995,8)*1.5+MAX(0,H995-8)*2,I995*1.5)+N(J995)*0.5,2))</f>
        <v/>
      </c>
      <c r="L995" s="18" t="n"/>
      <c r="M995" s="18" t="n"/>
      <c r="N995" s="22" t="n"/>
    </row>
    <row r="996">
      <c r="A996" s="19" t="n"/>
      <c r="B996" s="25">
        <f>IF(A996="","",CHOOSE(WEEKDAY(A996,2),"월","화","수","목","금","토","일"))</f>
        <v/>
      </c>
      <c r="C996" s="18" t="n"/>
      <c r="D996" s="25">
        <f>IFERROR(IF(C996="","",INDEX(직원명부!$B$5:$B$24,MATCH(C996,직원명부!$A$5:$A$24,0))),"사번 확인")</f>
        <v/>
      </c>
      <c r="E996" s="34" t="n"/>
      <c r="F996" s="34" t="n"/>
      <c r="G996" s="28" t="n"/>
      <c r="H996" s="33">
        <f>IF(OR(E996="",F996=""),"",ROUND(MOD(F996-E996,1)*24-N(G996),2))</f>
        <v/>
      </c>
      <c r="I996" s="33">
        <f>IF(H996="","",ROUND(MAX(0,H996-8),2))</f>
        <v/>
      </c>
      <c r="J996" s="33">
        <f>IF(OR(E996="",F996=""),"",ROUND(IF(MOD(F996,1)&gt;=TIME(22,0,0),(MOD(F996,1)-TIME(22,0,0))*24,IF(MOD(F996,1)&lt;TIME(6,0,0),(MOD(F996,1)+1-TIME(22,0,0))*24,0)),2))</f>
        <v/>
      </c>
      <c r="K996" s="33">
        <f>IF(H996="","",ROUND(IF(L996="휴일근로",MIN(H996,8)*1.5+MAX(0,H996-8)*2,I996*1.5)+N(J996)*0.5,2))</f>
        <v/>
      </c>
      <c r="L996" s="18" t="n"/>
      <c r="M996" s="18" t="n"/>
      <c r="N996" s="22" t="n"/>
    </row>
    <row r="997">
      <c r="A997" s="19" t="n"/>
      <c r="B997" s="25">
        <f>IF(A997="","",CHOOSE(WEEKDAY(A997,2),"월","화","수","목","금","토","일"))</f>
        <v/>
      </c>
      <c r="C997" s="18" t="n"/>
      <c r="D997" s="25">
        <f>IFERROR(IF(C997="","",INDEX(직원명부!$B$5:$B$24,MATCH(C997,직원명부!$A$5:$A$24,0))),"사번 확인")</f>
        <v/>
      </c>
      <c r="E997" s="34" t="n"/>
      <c r="F997" s="34" t="n"/>
      <c r="G997" s="28" t="n"/>
      <c r="H997" s="33">
        <f>IF(OR(E997="",F997=""),"",ROUND(MOD(F997-E997,1)*24-N(G997),2))</f>
        <v/>
      </c>
      <c r="I997" s="33">
        <f>IF(H997="","",ROUND(MAX(0,H997-8),2))</f>
        <v/>
      </c>
      <c r="J997" s="33">
        <f>IF(OR(E997="",F997=""),"",ROUND(IF(MOD(F997,1)&gt;=TIME(22,0,0),(MOD(F997,1)-TIME(22,0,0))*24,IF(MOD(F997,1)&lt;TIME(6,0,0),(MOD(F997,1)+1-TIME(22,0,0))*24,0)),2))</f>
        <v/>
      </c>
      <c r="K997" s="33">
        <f>IF(H997="","",ROUND(IF(L997="휴일근로",MIN(H997,8)*1.5+MAX(0,H997-8)*2,I997*1.5)+N(J997)*0.5,2))</f>
        <v/>
      </c>
      <c r="L997" s="18" t="n"/>
      <c r="M997" s="18" t="n"/>
      <c r="N997" s="22" t="n"/>
    </row>
    <row r="998">
      <c r="A998" s="19" t="n"/>
      <c r="B998" s="25">
        <f>IF(A998="","",CHOOSE(WEEKDAY(A998,2),"월","화","수","목","금","토","일"))</f>
        <v/>
      </c>
      <c r="C998" s="18" t="n"/>
      <c r="D998" s="25">
        <f>IFERROR(IF(C998="","",INDEX(직원명부!$B$5:$B$24,MATCH(C998,직원명부!$A$5:$A$24,0))),"사번 확인")</f>
        <v/>
      </c>
      <c r="E998" s="34" t="n"/>
      <c r="F998" s="34" t="n"/>
      <c r="G998" s="28" t="n"/>
      <c r="H998" s="33">
        <f>IF(OR(E998="",F998=""),"",ROUND(MOD(F998-E998,1)*24-N(G998),2))</f>
        <v/>
      </c>
      <c r="I998" s="33">
        <f>IF(H998="","",ROUND(MAX(0,H998-8),2))</f>
        <v/>
      </c>
      <c r="J998" s="33">
        <f>IF(OR(E998="",F998=""),"",ROUND(IF(MOD(F998,1)&gt;=TIME(22,0,0),(MOD(F998,1)-TIME(22,0,0))*24,IF(MOD(F998,1)&lt;TIME(6,0,0),(MOD(F998,1)+1-TIME(22,0,0))*24,0)),2))</f>
        <v/>
      </c>
      <c r="K998" s="33">
        <f>IF(H998="","",ROUND(IF(L998="휴일근로",MIN(H998,8)*1.5+MAX(0,H998-8)*2,I998*1.5)+N(J998)*0.5,2))</f>
        <v/>
      </c>
      <c r="L998" s="18" t="n"/>
      <c r="M998" s="18" t="n"/>
      <c r="N998" s="22" t="n"/>
    </row>
    <row r="999">
      <c r="A999" s="19" t="n"/>
      <c r="B999" s="25">
        <f>IF(A999="","",CHOOSE(WEEKDAY(A999,2),"월","화","수","목","금","토","일"))</f>
        <v/>
      </c>
      <c r="C999" s="18" t="n"/>
      <c r="D999" s="25">
        <f>IFERROR(IF(C999="","",INDEX(직원명부!$B$5:$B$24,MATCH(C999,직원명부!$A$5:$A$24,0))),"사번 확인")</f>
        <v/>
      </c>
      <c r="E999" s="34" t="n"/>
      <c r="F999" s="34" t="n"/>
      <c r="G999" s="28" t="n"/>
      <c r="H999" s="33">
        <f>IF(OR(E999="",F999=""),"",ROUND(MOD(F999-E999,1)*24-N(G999),2))</f>
        <v/>
      </c>
      <c r="I999" s="33">
        <f>IF(H999="","",ROUND(MAX(0,H999-8),2))</f>
        <v/>
      </c>
      <c r="J999" s="33">
        <f>IF(OR(E999="",F999=""),"",ROUND(IF(MOD(F999,1)&gt;=TIME(22,0,0),(MOD(F999,1)-TIME(22,0,0))*24,IF(MOD(F999,1)&lt;TIME(6,0,0),(MOD(F999,1)+1-TIME(22,0,0))*24,0)),2))</f>
        <v/>
      </c>
      <c r="K999" s="33">
        <f>IF(H999="","",ROUND(IF(L999="휴일근로",MIN(H999,8)*1.5+MAX(0,H999-8)*2,I999*1.5)+N(J999)*0.5,2))</f>
        <v/>
      </c>
      <c r="L999" s="18" t="n"/>
      <c r="M999" s="18" t="n"/>
      <c r="N999" s="22" t="n"/>
    </row>
    <row r="1000">
      <c r="A1000" s="19" t="n"/>
      <c r="B1000" s="25">
        <f>IF(A1000="","",CHOOSE(WEEKDAY(A1000,2),"월","화","수","목","금","토","일"))</f>
        <v/>
      </c>
      <c r="C1000" s="18" t="n"/>
      <c r="D1000" s="25">
        <f>IFERROR(IF(C1000="","",INDEX(직원명부!$B$5:$B$24,MATCH(C1000,직원명부!$A$5:$A$24,0))),"사번 확인")</f>
        <v/>
      </c>
      <c r="E1000" s="34" t="n"/>
      <c r="F1000" s="34" t="n"/>
      <c r="G1000" s="28" t="n"/>
      <c r="H1000" s="33">
        <f>IF(OR(E1000="",F1000=""),"",ROUND(MOD(F1000-E1000,1)*24-N(G1000),2))</f>
        <v/>
      </c>
      <c r="I1000" s="33">
        <f>IF(H1000="","",ROUND(MAX(0,H1000-8),2))</f>
        <v/>
      </c>
      <c r="J1000" s="33">
        <f>IF(OR(E1000="",F1000=""),"",ROUND(IF(MOD(F1000,1)&gt;=TIME(22,0,0),(MOD(F1000,1)-TIME(22,0,0))*24,IF(MOD(F1000,1)&lt;TIME(6,0,0),(MOD(F1000,1)+1-TIME(22,0,0))*24,0)),2))</f>
        <v/>
      </c>
      <c r="K1000" s="33">
        <f>IF(H1000="","",ROUND(IF(L1000="휴일근로",MIN(H1000,8)*1.5+MAX(0,H1000-8)*2,I1000*1.5)+N(J1000)*0.5,2))</f>
        <v/>
      </c>
      <c r="L1000" s="18" t="n"/>
      <c r="M1000" s="18" t="n"/>
      <c r="N1000" s="22" t="n"/>
    </row>
    <row r="1001">
      <c r="A1001" s="19" t="n"/>
      <c r="B1001" s="25">
        <f>IF(A1001="","",CHOOSE(WEEKDAY(A1001,2),"월","화","수","목","금","토","일"))</f>
        <v/>
      </c>
      <c r="C1001" s="18" t="n"/>
      <c r="D1001" s="25">
        <f>IFERROR(IF(C1001="","",INDEX(직원명부!$B$5:$B$24,MATCH(C1001,직원명부!$A$5:$A$24,0))),"사번 확인")</f>
        <v/>
      </c>
      <c r="E1001" s="34" t="n"/>
      <c r="F1001" s="34" t="n"/>
      <c r="G1001" s="28" t="n"/>
      <c r="H1001" s="33">
        <f>IF(OR(E1001="",F1001=""),"",ROUND(MOD(F1001-E1001,1)*24-N(G1001),2))</f>
        <v/>
      </c>
      <c r="I1001" s="33">
        <f>IF(H1001="","",ROUND(MAX(0,H1001-8),2))</f>
        <v/>
      </c>
      <c r="J1001" s="33">
        <f>IF(OR(E1001="",F1001=""),"",ROUND(IF(MOD(F1001,1)&gt;=TIME(22,0,0),(MOD(F1001,1)-TIME(22,0,0))*24,IF(MOD(F1001,1)&lt;TIME(6,0,0),(MOD(F1001,1)+1-TIME(22,0,0))*24,0)),2))</f>
        <v/>
      </c>
      <c r="K1001" s="33">
        <f>IF(H1001="","",ROUND(IF(L1001="휴일근로",MIN(H1001,8)*1.5+MAX(0,H1001-8)*2,I1001*1.5)+N(J1001)*0.5,2))</f>
        <v/>
      </c>
      <c r="L1001" s="18" t="n"/>
      <c r="M1001" s="18" t="n"/>
      <c r="N1001" s="22" t="n"/>
    </row>
    <row r="1002">
      <c r="A1002" s="19" t="n"/>
      <c r="B1002" s="25">
        <f>IF(A1002="","",CHOOSE(WEEKDAY(A1002,2),"월","화","수","목","금","토","일"))</f>
        <v/>
      </c>
      <c r="C1002" s="18" t="n"/>
      <c r="D1002" s="25">
        <f>IFERROR(IF(C1002="","",INDEX(직원명부!$B$5:$B$24,MATCH(C1002,직원명부!$A$5:$A$24,0))),"사번 확인")</f>
        <v/>
      </c>
      <c r="E1002" s="34" t="n"/>
      <c r="F1002" s="34" t="n"/>
      <c r="G1002" s="28" t="n"/>
      <c r="H1002" s="33">
        <f>IF(OR(E1002="",F1002=""),"",ROUND(MOD(F1002-E1002,1)*24-N(G1002),2))</f>
        <v/>
      </c>
      <c r="I1002" s="33">
        <f>IF(H1002="","",ROUND(MAX(0,H1002-8),2))</f>
        <v/>
      </c>
      <c r="J1002" s="33">
        <f>IF(OR(E1002="",F1002=""),"",ROUND(IF(MOD(F1002,1)&gt;=TIME(22,0,0),(MOD(F1002,1)-TIME(22,0,0))*24,IF(MOD(F1002,1)&lt;TIME(6,0,0),(MOD(F1002,1)+1-TIME(22,0,0))*24,0)),2))</f>
        <v/>
      </c>
      <c r="K1002" s="33">
        <f>IF(H1002="","",ROUND(IF(L1002="휴일근로",MIN(H1002,8)*1.5+MAX(0,H1002-8)*2,I1002*1.5)+N(J1002)*0.5,2))</f>
        <v/>
      </c>
      <c r="L1002" s="18" t="n"/>
      <c r="M1002" s="18" t="n"/>
      <c r="N1002" s="22" t="n"/>
    </row>
    <row r="1003">
      <c r="A1003" s="19" t="n"/>
      <c r="B1003" s="25">
        <f>IF(A1003="","",CHOOSE(WEEKDAY(A1003,2),"월","화","수","목","금","토","일"))</f>
        <v/>
      </c>
      <c r="C1003" s="18" t="n"/>
      <c r="D1003" s="25">
        <f>IFERROR(IF(C1003="","",INDEX(직원명부!$B$5:$B$24,MATCH(C1003,직원명부!$A$5:$A$24,0))),"사번 확인")</f>
        <v/>
      </c>
      <c r="E1003" s="34" t="n"/>
      <c r="F1003" s="34" t="n"/>
      <c r="G1003" s="28" t="n"/>
      <c r="H1003" s="33">
        <f>IF(OR(E1003="",F1003=""),"",ROUND(MOD(F1003-E1003,1)*24-N(G1003),2))</f>
        <v/>
      </c>
      <c r="I1003" s="33">
        <f>IF(H1003="","",ROUND(MAX(0,H1003-8),2))</f>
        <v/>
      </c>
      <c r="J1003" s="33">
        <f>IF(OR(E1003="",F1003=""),"",ROUND(IF(MOD(F1003,1)&gt;=TIME(22,0,0),(MOD(F1003,1)-TIME(22,0,0))*24,IF(MOD(F1003,1)&lt;TIME(6,0,0),(MOD(F1003,1)+1-TIME(22,0,0))*24,0)),2))</f>
        <v/>
      </c>
      <c r="K1003" s="33">
        <f>IF(H1003="","",ROUND(IF(L1003="휴일근로",MIN(H1003,8)*1.5+MAX(0,H1003-8)*2,I1003*1.5)+N(J1003)*0.5,2))</f>
        <v/>
      </c>
      <c r="L1003" s="18" t="n"/>
      <c r="M1003" s="18" t="n"/>
      <c r="N1003" s="22" t="n"/>
    </row>
    <row r="1004">
      <c r="A1004" s="19" t="n"/>
      <c r="B1004" s="25">
        <f>IF(A1004="","",CHOOSE(WEEKDAY(A1004,2),"월","화","수","목","금","토","일"))</f>
        <v/>
      </c>
      <c r="C1004" s="18" t="n"/>
      <c r="D1004" s="25">
        <f>IFERROR(IF(C1004="","",INDEX(직원명부!$B$5:$B$24,MATCH(C1004,직원명부!$A$5:$A$24,0))),"사번 확인")</f>
        <v/>
      </c>
      <c r="E1004" s="34" t="n"/>
      <c r="F1004" s="34" t="n"/>
      <c r="G1004" s="28" t="n"/>
      <c r="H1004" s="33">
        <f>IF(OR(E1004="",F1004=""),"",ROUND(MOD(F1004-E1004,1)*24-N(G1004),2))</f>
        <v/>
      </c>
      <c r="I1004" s="33">
        <f>IF(H1004="","",ROUND(MAX(0,H1004-8),2))</f>
        <v/>
      </c>
      <c r="J1004" s="33">
        <f>IF(OR(E1004="",F1004=""),"",ROUND(IF(MOD(F1004,1)&gt;=TIME(22,0,0),(MOD(F1004,1)-TIME(22,0,0))*24,IF(MOD(F1004,1)&lt;TIME(6,0,0),(MOD(F1004,1)+1-TIME(22,0,0))*24,0)),2))</f>
        <v/>
      </c>
      <c r="K1004" s="33">
        <f>IF(H1004="","",ROUND(IF(L1004="휴일근로",MIN(H1004,8)*1.5+MAX(0,H1004-8)*2,I1004*1.5)+N(J1004)*0.5,2))</f>
        <v/>
      </c>
      <c r="L1004" s="18" t="n"/>
      <c r="M1004" s="18" t="n"/>
      <c r="N1004" s="22" t="n"/>
    </row>
    <row r="1005">
      <c r="A1005" s="19" t="n"/>
      <c r="B1005" s="25">
        <f>IF(A1005="","",CHOOSE(WEEKDAY(A1005,2),"월","화","수","목","금","토","일"))</f>
        <v/>
      </c>
      <c r="C1005" s="18" t="n"/>
      <c r="D1005" s="25">
        <f>IFERROR(IF(C1005="","",INDEX(직원명부!$B$5:$B$24,MATCH(C1005,직원명부!$A$5:$A$24,0))),"사번 확인")</f>
        <v/>
      </c>
      <c r="E1005" s="34" t="n"/>
      <c r="F1005" s="34" t="n"/>
      <c r="G1005" s="28" t="n"/>
      <c r="H1005" s="33">
        <f>IF(OR(E1005="",F1005=""),"",ROUND(MOD(F1005-E1005,1)*24-N(G1005),2))</f>
        <v/>
      </c>
      <c r="I1005" s="33">
        <f>IF(H1005="","",ROUND(MAX(0,H1005-8),2))</f>
        <v/>
      </c>
      <c r="J1005" s="33">
        <f>IF(OR(E1005="",F1005=""),"",ROUND(IF(MOD(F1005,1)&gt;=TIME(22,0,0),(MOD(F1005,1)-TIME(22,0,0))*24,IF(MOD(F1005,1)&lt;TIME(6,0,0),(MOD(F1005,1)+1-TIME(22,0,0))*24,0)),2))</f>
        <v/>
      </c>
      <c r="K1005" s="33">
        <f>IF(H1005="","",ROUND(IF(L1005="휴일근로",MIN(H1005,8)*1.5+MAX(0,H1005-8)*2,I1005*1.5)+N(J1005)*0.5,2))</f>
        <v/>
      </c>
      <c r="L1005" s="18" t="n"/>
      <c r="M1005" s="18" t="n"/>
      <c r="N1005" s="22" t="n"/>
    </row>
    <row r="1006">
      <c r="A1006" s="19" t="n"/>
      <c r="B1006" s="25">
        <f>IF(A1006="","",CHOOSE(WEEKDAY(A1006,2),"월","화","수","목","금","토","일"))</f>
        <v/>
      </c>
      <c r="C1006" s="18" t="n"/>
      <c r="D1006" s="25">
        <f>IFERROR(IF(C1006="","",INDEX(직원명부!$B$5:$B$24,MATCH(C1006,직원명부!$A$5:$A$24,0))),"사번 확인")</f>
        <v/>
      </c>
      <c r="E1006" s="34" t="n"/>
      <c r="F1006" s="34" t="n"/>
      <c r="G1006" s="28" t="n"/>
      <c r="H1006" s="33">
        <f>IF(OR(E1006="",F1006=""),"",ROUND(MOD(F1006-E1006,1)*24-N(G1006),2))</f>
        <v/>
      </c>
      <c r="I1006" s="33">
        <f>IF(H1006="","",ROUND(MAX(0,H1006-8),2))</f>
        <v/>
      </c>
      <c r="J1006" s="33">
        <f>IF(OR(E1006="",F1006=""),"",ROUND(IF(MOD(F1006,1)&gt;=TIME(22,0,0),(MOD(F1006,1)-TIME(22,0,0))*24,IF(MOD(F1006,1)&lt;TIME(6,0,0),(MOD(F1006,1)+1-TIME(22,0,0))*24,0)),2))</f>
        <v/>
      </c>
      <c r="K1006" s="33">
        <f>IF(H1006="","",ROUND(IF(L1006="휴일근로",MIN(H1006,8)*1.5+MAX(0,H1006-8)*2,I1006*1.5)+N(J1006)*0.5,2))</f>
        <v/>
      </c>
      <c r="L1006" s="18" t="n"/>
      <c r="M1006" s="18" t="n"/>
      <c r="N1006" s="22" t="n"/>
    </row>
    <row r="1007">
      <c r="A1007" s="19" t="n"/>
      <c r="B1007" s="25">
        <f>IF(A1007="","",CHOOSE(WEEKDAY(A1007,2),"월","화","수","목","금","토","일"))</f>
        <v/>
      </c>
      <c r="C1007" s="18" t="n"/>
      <c r="D1007" s="25">
        <f>IFERROR(IF(C1007="","",INDEX(직원명부!$B$5:$B$24,MATCH(C1007,직원명부!$A$5:$A$24,0))),"사번 확인")</f>
        <v/>
      </c>
      <c r="E1007" s="34" t="n"/>
      <c r="F1007" s="34" t="n"/>
      <c r="G1007" s="28" t="n"/>
      <c r="H1007" s="33">
        <f>IF(OR(E1007="",F1007=""),"",ROUND(MOD(F1007-E1007,1)*24-N(G1007),2))</f>
        <v/>
      </c>
      <c r="I1007" s="33">
        <f>IF(H1007="","",ROUND(MAX(0,H1007-8),2))</f>
        <v/>
      </c>
      <c r="J1007" s="33">
        <f>IF(OR(E1007="",F1007=""),"",ROUND(IF(MOD(F1007,1)&gt;=TIME(22,0,0),(MOD(F1007,1)-TIME(22,0,0))*24,IF(MOD(F1007,1)&lt;TIME(6,0,0),(MOD(F1007,1)+1-TIME(22,0,0))*24,0)),2))</f>
        <v/>
      </c>
      <c r="K1007" s="33">
        <f>IF(H1007="","",ROUND(IF(L1007="휴일근로",MIN(H1007,8)*1.5+MAX(0,H1007-8)*2,I1007*1.5)+N(J1007)*0.5,2))</f>
        <v/>
      </c>
      <c r="L1007" s="18" t="n"/>
      <c r="M1007" s="18" t="n"/>
      <c r="N1007" s="22" t="n"/>
    </row>
    <row r="1008">
      <c r="A1008" s="19" t="n"/>
      <c r="B1008" s="25">
        <f>IF(A1008="","",CHOOSE(WEEKDAY(A1008,2),"월","화","수","목","금","토","일"))</f>
        <v/>
      </c>
      <c r="C1008" s="18" t="n"/>
      <c r="D1008" s="25">
        <f>IFERROR(IF(C1008="","",INDEX(직원명부!$B$5:$B$24,MATCH(C1008,직원명부!$A$5:$A$24,0))),"사번 확인")</f>
        <v/>
      </c>
      <c r="E1008" s="34" t="n"/>
      <c r="F1008" s="34" t="n"/>
      <c r="G1008" s="28" t="n"/>
      <c r="H1008" s="33">
        <f>IF(OR(E1008="",F1008=""),"",ROUND(MOD(F1008-E1008,1)*24-N(G1008),2))</f>
        <v/>
      </c>
      <c r="I1008" s="33">
        <f>IF(H1008="","",ROUND(MAX(0,H1008-8),2))</f>
        <v/>
      </c>
      <c r="J1008" s="33">
        <f>IF(OR(E1008="",F1008=""),"",ROUND(IF(MOD(F1008,1)&gt;=TIME(22,0,0),(MOD(F1008,1)-TIME(22,0,0))*24,IF(MOD(F1008,1)&lt;TIME(6,0,0),(MOD(F1008,1)+1-TIME(22,0,0))*24,0)),2))</f>
        <v/>
      </c>
      <c r="K1008" s="33">
        <f>IF(H1008="","",ROUND(IF(L1008="휴일근로",MIN(H1008,8)*1.5+MAX(0,H1008-8)*2,I1008*1.5)+N(J1008)*0.5,2))</f>
        <v/>
      </c>
      <c r="L1008" s="18" t="n"/>
      <c r="M1008" s="18" t="n"/>
      <c r="N1008" s="22" t="n"/>
    </row>
    <row r="1009">
      <c r="A1009" s="19" t="n"/>
      <c r="B1009" s="25">
        <f>IF(A1009="","",CHOOSE(WEEKDAY(A1009,2),"월","화","수","목","금","토","일"))</f>
        <v/>
      </c>
      <c r="C1009" s="18" t="n"/>
      <c r="D1009" s="25">
        <f>IFERROR(IF(C1009="","",INDEX(직원명부!$B$5:$B$24,MATCH(C1009,직원명부!$A$5:$A$24,0))),"사번 확인")</f>
        <v/>
      </c>
      <c r="E1009" s="34" t="n"/>
      <c r="F1009" s="34" t="n"/>
      <c r="G1009" s="28" t="n"/>
      <c r="H1009" s="33">
        <f>IF(OR(E1009="",F1009=""),"",ROUND(MOD(F1009-E1009,1)*24-N(G1009),2))</f>
        <v/>
      </c>
      <c r="I1009" s="33">
        <f>IF(H1009="","",ROUND(MAX(0,H1009-8),2))</f>
        <v/>
      </c>
      <c r="J1009" s="33">
        <f>IF(OR(E1009="",F1009=""),"",ROUND(IF(MOD(F1009,1)&gt;=TIME(22,0,0),(MOD(F1009,1)-TIME(22,0,0))*24,IF(MOD(F1009,1)&lt;TIME(6,0,0),(MOD(F1009,1)+1-TIME(22,0,0))*24,0)),2))</f>
        <v/>
      </c>
      <c r="K1009" s="33">
        <f>IF(H1009="","",ROUND(IF(L1009="휴일근로",MIN(H1009,8)*1.5+MAX(0,H1009-8)*2,I1009*1.5)+N(J1009)*0.5,2))</f>
        <v/>
      </c>
      <c r="L1009" s="18" t="n"/>
      <c r="M1009" s="18" t="n"/>
      <c r="N1009" s="22" t="n"/>
    </row>
    <row r="1010">
      <c r="A1010" s="19" t="n"/>
      <c r="B1010" s="25">
        <f>IF(A1010="","",CHOOSE(WEEKDAY(A1010,2),"월","화","수","목","금","토","일"))</f>
        <v/>
      </c>
      <c r="C1010" s="18" t="n"/>
      <c r="D1010" s="25">
        <f>IFERROR(IF(C1010="","",INDEX(직원명부!$B$5:$B$24,MATCH(C1010,직원명부!$A$5:$A$24,0))),"사번 확인")</f>
        <v/>
      </c>
      <c r="E1010" s="34" t="n"/>
      <c r="F1010" s="34" t="n"/>
      <c r="G1010" s="28" t="n"/>
      <c r="H1010" s="33">
        <f>IF(OR(E1010="",F1010=""),"",ROUND(MOD(F1010-E1010,1)*24-N(G1010),2))</f>
        <v/>
      </c>
      <c r="I1010" s="33">
        <f>IF(H1010="","",ROUND(MAX(0,H1010-8),2))</f>
        <v/>
      </c>
      <c r="J1010" s="33">
        <f>IF(OR(E1010="",F1010=""),"",ROUND(IF(MOD(F1010,1)&gt;=TIME(22,0,0),(MOD(F1010,1)-TIME(22,0,0))*24,IF(MOD(F1010,1)&lt;TIME(6,0,0),(MOD(F1010,1)+1-TIME(22,0,0))*24,0)),2))</f>
        <v/>
      </c>
      <c r="K1010" s="33">
        <f>IF(H1010="","",ROUND(IF(L1010="휴일근로",MIN(H1010,8)*1.5+MAX(0,H1010-8)*2,I1010*1.5)+N(J1010)*0.5,2))</f>
        <v/>
      </c>
      <c r="L1010" s="18" t="n"/>
      <c r="M1010" s="18" t="n"/>
      <c r="N1010" s="22" t="n"/>
    </row>
    <row r="1011">
      <c r="A1011" s="19" t="n"/>
      <c r="B1011" s="25">
        <f>IF(A1011="","",CHOOSE(WEEKDAY(A1011,2),"월","화","수","목","금","토","일"))</f>
        <v/>
      </c>
      <c r="C1011" s="18" t="n"/>
      <c r="D1011" s="25">
        <f>IFERROR(IF(C1011="","",INDEX(직원명부!$B$5:$B$24,MATCH(C1011,직원명부!$A$5:$A$24,0))),"사번 확인")</f>
        <v/>
      </c>
      <c r="E1011" s="34" t="n"/>
      <c r="F1011" s="34" t="n"/>
      <c r="G1011" s="28" t="n"/>
      <c r="H1011" s="33">
        <f>IF(OR(E1011="",F1011=""),"",ROUND(MOD(F1011-E1011,1)*24-N(G1011),2))</f>
        <v/>
      </c>
      <c r="I1011" s="33">
        <f>IF(H1011="","",ROUND(MAX(0,H1011-8),2))</f>
        <v/>
      </c>
      <c r="J1011" s="33">
        <f>IF(OR(E1011="",F1011=""),"",ROUND(IF(MOD(F1011,1)&gt;=TIME(22,0,0),(MOD(F1011,1)-TIME(22,0,0))*24,IF(MOD(F1011,1)&lt;TIME(6,0,0),(MOD(F1011,1)+1-TIME(22,0,0))*24,0)),2))</f>
        <v/>
      </c>
      <c r="K1011" s="33">
        <f>IF(H1011="","",ROUND(IF(L1011="휴일근로",MIN(H1011,8)*1.5+MAX(0,H1011-8)*2,I1011*1.5)+N(J1011)*0.5,2))</f>
        <v/>
      </c>
      <c r="L1011" s="18" t="n"/>
      <c r="M1011" s="18" t="n"/>
      <c r="N1011" s="22" t="n"/>
    </row>
    <row r="1012">
      <c r="A1012" s="19" t="n"/>
      <c r="B1012" s="25">
        <f>IF(A1012="","",CHOOSE(WEEKDAY(A1012,2),"월","화","수","목","금","토","일"))</f>
        <v/>
      </c>
      <c r="C1012" s="18" t="n"/>
      <c r="D1012" s="25">
        <f>IFERROR(IF(C1012="","",INDEX(직원명부!$B$5:$B$24,MATCH(C1012,직원명부!$A$5:$A$24,0))),"사번 확인")</f>
        <v/>
      </c>
      <c r="E1012" s="34" t="n"/>
      <c r="F1012" s="34" t="n"/>
      <c r="G1012" s="28" t="n"/>
      <c r="H1012" s="33">
        <f>IF(OR(E1012="",F1012=""),"",ROUND(MOD(F1012-E1012,1)*24-N(G1012),2))</f>
        <v/>
      </c>
      <c r="I1012" s="33">
        <f>IF(H1012="","",ROUND(MAX(0,H1012-8),2))</f>
        <v/>
      </c>
      <c r="J1012" s="33">
        <f>IF(OR(E1012="",F1012=""),"",ROUND(IF(MOD(F1012,1)&gt;=TIME(22,0,0),(MOD(F1012,1)-TIME(22,0,0))*24,IF(MOD(F1012,1)&lt;TIME(6,0,0),(MOD(F1012,1)+1-TIME(22,0,0))*24,0)),2))</f>
        <v/>
      </c>
      <c r="K1012" s="33">
        <f>IF(H1012="","",ROUND(IF(L1012="휴일근로",MIN(H1012,8)*1.5+MAX(0,H1012-8)*2,I1012*1.5)+N(J1012)*0.5,2))</f>
        <v/>
      </c>
      <c r="L1012" s="18" t="n"/>
      <c r="M1012" s="18" t="n"/>
      <c r="N1012" s="22" t="n"/>
    </row>
    <row r="1013">
      <c r="A1013" s="19" t="n"/>
      <c r="B1013" s="25">
        <f>IF(A1013="","",CHOOSE(WEEKDAY(A1013,2),"월","화","수","목","금","토","일"))</f>
        <v/>
      </c>
      <c r="C1013" s="18" t="n"/>
      <c r="D1013" s="25">
        <f>IFERROR(IF(C1013="","",INDEX(직원명부!$B$5:$B$24,MATCH(C1013,직원명부!$A$5:$A$24,0))),"사번 확인")</f>
        <v/>
      </c>
      <c r="E1013" s="34" t="n"/>
      <c r="F1013" s="34" t="n"/>
      <c r="G1013" s="28" t="n"/>
      <c r="H1013" s="33">
        <f>IF(OR(E1013="",F1013=""),"",ROUND(MOD(F1013-E1013,1)*24-N(G1013),2))</f>
        <v/>
      </c>
      <c r="I1013" s="33">
        <f>IF(H1013="","",ROUND(MAX(0,H1013-8),2))</f>
        <v/>
      </c>
      <c r="J1013" s="33">
        <f>IF(OR(E1013="",F1013=""),"",ROUND(IF(MOD(F1013,1)&gt;=TIME(22,0,0),(MOD(F1013,1)-TIME(22,0,0))*24,IF(MOD(F1013,1)&lt;TIME(6,0,0),(MOD(F1013,1)+1-TIME(22,0,0))*24,0)),2))</f>
        <v/>
      </c>
      <c r="K1013" s="33">
        <f>IF(H1013="","",ROUND(IF(L1013="휴일근로",MIN(H1013,8)*1.5+MAX(0,H1013-8)*2,I1013*1.5)+N(J1013)*0.5,2))</f>
        <v/>
      </c>
      <c r="L1013" s="18" t="n"/>
      <c r="M1013" s="18" t="n"/>
      <c r="N1013" s="22" t="n"/>
    </row>
    <row r="1014">
      <c r="A1014" s="19" t="n"/>
      <c r="B1014" s="25">
        <f>IF(A1014="","",CHOOSE(WEEKDAY(A1014,2),"월","화","수","목","금","토","일"))</f>
        <v/>
      </c>
      <c r="C1014" s="18" t="n"/>
      <c r="D1014" s="25">
        <f>IFERROR(IF(C1014="","",INDEX(직원명부!$B$5:$B$24,MATCH(C1014,직원명부!$A$5:$A$24,0))),"사번 확인")</f>
        <v/>
      </c>
      <c r="E1014" s="34" t="n"/>
      <c r="F1014" s="34" t="n"/>
      <c r="G1014" s="28" t="n"/>
      <c r="H1014" s="33">
        <f>IF(OR(E1014="",F1014=""),"",ROUND(MOD(F1014-E1014,1)*24-N(G1014),2))</f>
        <v/>
      </c>
      <c r="I1014" s="33">
        <f>IF(H1014="","",ROUND(MAX(0,H1014-8),2))</f>
        <v/>
      </c>
      <c r="J1014" s="33">
        <f>IF(OR(E1014="",F1014=""),"",ROUND(IF(MOD(F1014,1)&gt;=TIME(22,0,0),(MOD(F1014,1)-TIME(22,0,0))*24,IF(MOD(F1014,1)&lt;TIME(6,0,0),(MOD(F1014,1)+1-TIME(22,0,0))*24,0)),2))</f>
        <v/>
      </c>
      <c r="K1014" s="33">
        <f>IF(H1014="","",ROUND(IF(L1014="휴일근로",MIN(H1014,8)*1.5+MAX(0,H1014-8)*2,I1014*1.5)+N(J1014)*0.5,2))</f>
        <v/>
      </c>
      <c r="L1014" s="18" t="n"/>
      <c r="M1014" s="18" t="n"/>
      <c r="N1014" s="22" t="n"/>
    </row>
    <row r="1015">
      <c r="A1015" s="19" t="n"/>
      <c r="B1015" s="25">
        <f>IF(A1015="","",CHOOSE(WEEKDAY(A1015,2),"월","화","수","목","금","토","일"))</f>
        <v/>
      </c>
      <c r="C1015" s="18" t="n"/>
      <c r="D1015" s="25">
        <f>IFERROR(IF(C1015="","",INDEX(직원명부!$B$5:$B$24,MATCH(C1015,직원명부!$A$5:$A$24,0))),"사번 확인")</f>
        <v/>
      </c>
      <c r="E1015" s="34" t="n"/>
      <c r="F1015" s="34" t="n"/>
      <c r="G1015" s="28" t="n"/>
      <c r="H1015" s="33">
        <f>IF(OR(E1015="",F1015=""),"",ROUND(MOD(F1015-E1015,1)*24-N(G1015),2))</f>
        <v/>
      </c>
      <c r="I1015" s="33">
        <f>IF(H1015="","",ROUND(MAX(0,H1015-8),2))</f>
        <v/>
      </c>
      <c r="J1015" s="33">
        <f>IF(OR(E1015="",F1015=""),"",ROUND(IF(MOD(F1015,1)&gt;=TIME(22,0,0),(MOD(F1015,1)-TIME(22,0,0))*24,IF(MOD(F1015,1)&lt;TIME(6,0,0),(MOD(F1015,1)+1-TIME(22,0,0))*24,0)),2))</f>
        <v/>
      </c>
      <c r="K1015" s="33">
        <f>IF(H1015="","",ROUND(IF(L1015="휴일근로",MIN(H1015,8)*1.5+MAX(0,H1015-8)*2,I1015*1.5)+N(J1015)*0.5,2))</f>
        <v/>
      </c>
      <c r="L1015" s="18" t="n"/>
      <c r="M1015" s="18" t="n"/>
      <c r="N1015" s="22" t="n"/>
    </row>
    <row r="1016">
      <c r="A1016" s="19" t="n"/>
      <c r="B1016" s="25">
        <f>IF(A1016="","",CHOOSE(WEEKDAY(A1016,2),"월","화","수","목","금","토","일"))</f>
        <v/>
      </c>
      <c r="C1016" s="18" t="n"/>
      <c r="D1016" s="25">
        <f>IFERROR(IF(C1016="","",INDEX(직원명부!$B$5:$B$24,MATCH(C1016,직원명부!$A$5:$A$24,0))),"사번 확인")</f>
        <v/>
      </c>
      <c r="E1016" s="34" t="n"/>
      <c r="F1016" s="34" t="n"/>
      <c r="G1016" s="28" t="n"/>
      <c r="H1016" s="33">
        <f>IF(OR(E1016="",F1016=""),"",ROUND(MOD(F1016-E1016,1)*24-N(G1016),2))</f>
        <v/>
      </c>
      <c r="I1016" s="33">
        <f>IF(H1016="","",ROUND(MAX(0,H1016-8),2))</f>
        <v/>
      </c>
      <c r="J1016" s="33">
        <f>IF(OR(E1016="",F1016=""),"",ROUND(IF(MOD(F1016,1)&gt;=TIME(22,0,0),(MOD(F1016,1)-TIME(22,0,0))*24,IF(MOD(F1016,1)&lt;TIME(6,0,0),(MOD(F1016,1)+1-TIME(22,0,0))*24,0)),2))</f>
        <v/>
      </c>
      <c r="K1016" s="33">
        <f>IF(H1016="","",ROUND(IF(L1016="휴일근로",MIN(H1016,8)*1.5+MAX(0,H1016-8)*2,I1016*1.5)+N(J1016)*0.5,2))</f>
        <v/>
      </c>
      <c r="L1016" s="18" t="n"/>
      <c r="M1016" s="18" t="n"/>
      <c r="N1016" s="22" t="n"/>
    </row>
    <row r="1017">
      <c r="A1017" s="19" t="n"/>
      <c r="B1017" s="25">
        <f>IF(A1017="","",CHOOSE(WEEKDAY(A1017,2),"월","화","수","목","금","토","일"))</f>
        <v/>
      </c>
      <c r="C1017" s="18" t="n"/>
      <c r="D1017" s="25">
        <f>IFERROR(IF(C1017="","",INDEX(직원명부!$B$5:$B$24,MATCH(C1017,직원명부!$A$5:$A$24,0))),"사번 확인")</f>
        <v/>
      </c>
      <c r="E1017" s="34" t="n"/>
      <c r="F1017" s="34" t="n"/>
      <c r="G1017" s="28" t="n"/>
      <c r="H1017" s="33">
        <f>IF(OR(E1017="",F1017=""),"",ROUND(MOD(F1017-E1017,1)*24-N(G1017),2))</f>
        <v/>
      </c>
      <c r="I1017" s="33">
        <f>IF(H1017="","",ROUND(MAX(0,H1017-8),2))</f>
        <v/>
      </c>
      <c r="J1017" s="33">
        <f>IF(OR(E1017="",F1017=""),"",ROUND(IF(MOD(F1017,1)&gt;=TIME(22,0,0),(MOD(F1017,1)-TIME(22,0,0))*24,IF(MOD(F1017,1)&lt;TIME(6,0,0),(MOD(F1017,1)+1-TIME(22,0,0))*24,0)),2))</f>
        <v/>
      </c>
      <c r="K1017" s="33">
        <f>IF(H1017="","",ROUND(IF(L1017="휴일근로",MIN(H1017,8)*1.5+MAX(0,H1017-8)*2,I1017*1.5)+N(J1017)*0.5,2))</f>
        <v/>
      </c>
      <c r="L1017" s="18" t="n"/>
      <c r="M1017" s="18" t="n"/>
      <c r="N1017" s="22" t="n"/>
    </row>
    <row r="1018">
      <c r="A1018" s="19" t="n"/>
      <c r="B1018" s="25">
        <f>IF(A1018="","",CHOOSE(WEEKDAY(A1018,2),"월","화","수","목","금","토","일"))</f>
        <v/>
      </c>
      <c r="C1018" s="18" t="n"/>
      <c r="D1018" s="25">
        <f>IFERROR(IF(C1018="","",INDEX(직원명부!$B$5:$B$24,MATCH(C1018,직원명부!$A$5:$A$24,0))),"사번 확인")</f>
        <v/>
      </c>
      <c r="E1018" s="34" t="n"/>
      <c r="F1018" s="34" t="n"/>
      <c r="G1018" s="28" t="n"/>
      <c r="H1018" s="33">
        <f>IF(OR(E1018="",F1018=""),"",ROUND(MOD(F1018-E1018,1)*24-N(G1018),2))</f>
        <v/>
      </c>
      <c r="I1018" s="33">
        <f>IF(H1018="","",ROUND(MAX(0,H1018-8),2))</f>
        <v/>
      </c>
      <c r="J1018" s="33">
        <f>IF(OR(E1018="",F1018=""),"",ROUND(IF(MOD(F1018,1)&gt;=TIME(22,0,0),(MOD(F1018,1)-TIME(22,0,0))*24,IF(MOD(F1018,1)&lt;TIME(6,0,0),(MOD(F1018,1)+1-TIME(22,0,0))*24,0)),2))</f>
        <v/>
      </c>
      <c r="K1018" s="33">
        <f>IF(H1018="","",ROUND(IF(L1018="휴일근로",MIN(H1018,8)*1.5+MAX(0,H1018-8)*2,I1018*1.5)+N(J1018)*0.5,2))</f>
        <v/>
      </c>
      <c r="L1018" s="18" t="n"/>
      <c r="M1018" s="18" t="n"/>
      <c r="N1018" s="22" t="n"/>
    </row>
    <row r="1019">
      <c r="A1019" s="19" t="n"/>
      <c r="B1019" s="25">
        <f>IF(A1019="","",CHOOSE(WEEKDAY(A1019,2),"월","화","수","목","금","토","일"))</f>
        <v/>
      </c>
      <c r="C1019" s="18" t="n"/>
      <c r="D1019" s="25">
        <f>IFERROR(IF(C1019="","",INDEX(직원명부!$B$5:$B$24,MATCH(C1019,직원명부!$A$5:$A$24,0))),"사번 확인")</f>
        <v/>
      </c>
      <c r="E1019" s="34" t="n"/>
      <c r="F1019" s="34" t="n"/>
      <c r="G1019" s="28" t="n"/>
      <c r="H1019" s="33">
        <f>IF(OR(E1019="",F1019=""),"",ROUND(MOD(F1019-E1019,1)*24-N(G1019),2))</f>
        <v/>
      </c>
      <c r="I1019" s="33">
        <f>IF(H1019="","",ROUND(MAX(0,H1019-8),2))</f>
        <v/>
      </c>
      <c r="J1019" s="33">
        <f>IF(OR(E1019="",F1019=""),"",ROUND(IF(MOD(F1019,1)&gt;=TIME(22,0,0),(MOD(F1019,1)-TIME(22,0,0))*24,IF(MOD(F1019,1)&lt;TIME(6,0,0),(MOD(F1019,1)+1-TIME(22,0,0))*24,0)),2))</f>
        <v/>
      </c>
      <c r="K1019" s="33">
        <f>IF(H1019="","",ROUND(IF(L1019="휴일근로",MIN(H1019,8)*1.5+MAX(0,H1019-8)*2,I1019*1.5)+N(J1019)*0.5,2))</f>
        <v/>
      </c>
      <c r="L1019" s="18" t="n"/>
      <c r="M1019" s="18" t="n"/>
      <c r="N1019" s="22" t="n"/>
    </row>
    <row r="1020">
      <c r="A1020" s="19" t="n"/>
      <c r="B1020" s="25">
        <f>IF(A1020="","",CHOOSE(WEEKDAY(A1020,2),"월","화","수","목","금","토","일"))</f>
        <v/>
      </c>
      <c r="C1020" s="18" t="n"/>
      <c r="D1020" s="25">
        <f>IFERROR(IF(C1020="","",INDEX(직원명부!$B$5:$B$24,MATCH(C1020,직원명부!$A$5:$A$24,0))),"사번 확인")</f>
        <v/>
      </c>
      <c r="E1020" s="34" t="n"/>
      <c r="F1020" s="34" t="n"/>
      <c r="G1020" s="28" t="n"/>
      <c r="H1020" s="33">
        <f>IF(OR(E1020="",F1020=""),"",ROUND(MOD(F1020-E1020,1)*24-N(G1020),2))</f>
        <v/>
      </c>
      <c r="I1020" s="33">
        <f>IF(H1020="","",ROUND(MAX(0,H1020-8),2))</f>
        <v/>
      </c>
      <c r="J1020" s="33">
        <f>IF(OR(E1020="",F1020=""),"",ROUND(IF(MOD(F1020,1)&gt;=TIME(22,0,0),(MOD(F1020,1)-TIME(22,0,0))*24,IF(MOD(F1020,1)&lt;TIME(6,0,0),(MOD(F1020,1)+1-TIME(22,0,0))*24,0)),2))</f>
        <v/>
      </c>
      <c r="K1020" s="33">
        <f>IF(H1020="","",ROUND(IF(L1020="휴일근로",MIN(H1020,8)*1.5+MAX(0,H1020-8)*2,I1020*1.5)+N(J1020)*0.5,2))</f>
        <v/>
      </c>
      <c r="L1020" s="18" t="n"/>
      <c r="M1020" s="18" t="n"/>
      <c r="N1020" s="22" t="n"/>
    </row>
    <row r="1021">
      <c r="A1021" s="19" t="n"/>
      <c r="B1021" s="25">
        <f>IF(A1021="","",CHOOSE(WEEKDAY(A1021,2),"월","화","수","목","금","토","일"))</f>
        <v/>
      </c>
      <c r="C1021" s="18" t="n"/>
      <c r="D1021" s="25">
        <f>IFERROR(IF(C1021="","",INDEX(직원명부!$B$5:$B$24,MATCH(C1021,직원명부!$A$5:$A$24,0))),"사번 확인")</f>
        <v/>
      </c>
      <c r="E1021" s="34" t="n"/>
      <c r="F1021" s="34" t="n"/>
      <c r="G1021" s="28" t="n"/>
      <c r="H1021" s="33">
        <f>IF(OR(E1021="",F1021=""),"",ROUND(MOD(F1021-E1021,1)*24-N(G1021),2))</f>
        <v/>
      </c>
      <c r="I1021" s="33">
        <f>IF(H1021="","",ROUND(MAX(0,H1021-8),2))</f>
        <v/>
      </c>
      <c r="J1021" s="33">
        <f>IF(OR(E1021="",F1021=""),"",ROUND(IF(MOD(F1021,1)&gt;=TIME(22,0,0),(MOD(F1021,1)-TIME(22,0,0))*24,IF(MOD(F1021,1)&lt;TIME(6,0,0),(MOD(F1021,1)+1-TIME(22,0,0))*24,0)),2))</f>
        <v/>
      </c>
      <c r="K1021" s="33">
        <f>IF(H1021="","",ROUND(IF(L1021="휴일근로",MIN(H1021,8)*1.5+MAX(0,H1021-8)*2,I1021*1.5)+N(J1021)*0.5,2))</f>
        <v/>
      </c>
      <c r="L1021" s="18" t="n"/>
      <c r="M1021" s="18" t="n"/>
      <c r="N1021" s="22" t="n"/>
    </row>
    <row r="1022">
      <c r="A1022" s="19" t="n"/>
      <c r="B1022" s="25">
        <f>IF(A1022="","",CHOOSE(WEEKDAY(A1022,2),"월","화","수","목","금","토","일"))</f>
        <v/>
      </c>
      <c r="C1022" s="18" t="n"/>
      <c r="D1022" s="25">
        <f>IFERROR(IF(C1022="","",INDEX(직원명부!$B$5:$B$24,MATCH(C1022,직원명부!$A$5:$A$24,0))),"사번 확인")</f>
        <v/>
      </c>
      <c r="E1022" s="34" t="n"/>
      <c r="F1022" s="34" t="n"/>
      <c r="G1022" s="28" t="n"/>
      <c r="H1022" s="33">
        <f>IF(OR(E1022="",F1022=""),"",ROUND(MOD(F1022-E1022,1)*24-N(G1022),2))</f>
        <v/>
      </c>
      <c r="I1022" s="33">
        <f>IF(H1022="","",ROUND(MAX(0,H1022-8),2))</f>
        <v/>
      </c>
      <c r="J1022" s="33">
        <f>IF(OR(E1022="",F1022=""),"",ROUND(IF(MOD(F1022,1)&gt;=TIME(22,0,0),(MOD(F1022,1)-TIME(22,0,0))*24,IF(MOD(F1022,1)&lt;TIME(6,0,0),(MOD(F1022,1)+1-TIME(22,0,0))*24,0)),2))</f>
        <v/>
      </c>
      <c r="K1022" s="33">
        <f>IF(H1022="","",ROUND(IF(L1022="휴일근로",MIN(H1022,8)*1.5+MAX(0,H1022-8)*2,I1022*1.5)+N(J1022)*0.5,2))</f>
        <v/>
      </c>
      <c r="L1022" s="18" t="n"/>
      <c r="M1022" s="18" t="n"/>
      <c r="N1022" s="22" t="n"/>
    </row>
    <row r="1023">
      <c r="A1023" s="19" t="n"/>
      <c r="B1023" s="25">
        <f>IF(A1023="","",CHOOSE(WEEKDAY(A1023,2),"월","화","수","목","금","토","일"))</f>
        <v/>
      </c>
      <c r="C1023" s="18" t="n"/>
      <c r="D1023" s="25">
        <f>IFERROR(IF(C1023="","",INDEX(직원명부!$B$5:$B$24,MATCH(C1023,직원명부!$A$5:$A$24,0))),"사번 확인")</f>
        <v/>
      </c>
      <c r="E1023" s="34" t="n"/>
      <c r="F1023" s="34" t="n"/>
      <c r="G1023" s="28" t="n"/>
      <c r="H1023" s="33">
        <f>IF(OR(E1023="",F1023=""),"",ROUND(MOD(F1023-E1023,1)*24-N(G1023),2))</f>
        <v/>
      </c>
      <c r="I1023" s="33">
        <f>IF(H1023="","",ROUND(MAX(0,H1023-8),2))</f>
        <v/>
      </c>
      <c r="J1023" s="33">
        <f>IF(OR(E1023="",F1023=""),"",ROUND(IF(MOD(F1023,1)&gt;=TIME(22,0,0),(MOD(F1023,1)-TIME(22,0,0))*24,IF(MOD(F1023,1)&lt;TIME(6,0,0),(MOD(F1023,1)+1-TIME(22,0,0))*24,0)),2))</f>
        <v/>
      </c>
      <c r="K1023" s="33">
        <f>IF(H1023="","",ROUND(IF(L1023="휴일근로",MIN(H1023,8)*1.5+MAX(0,H1023-8)*2,I1023*1.5)+N(J1023)*0.5,2))</f>
        <v/>
      </c>
      <c r="L1023" s="18" t="n"/>
      <c r="M1023" s="18" t="n"/>
      <c r="N1023" s="22" t="n"/>
    </row>
    <row r="1024">
      <c r="A1024" s="19" t="n"/>
      <c r="B1024" s="25">
        <f>IF(A1024="","",CHOOSE(WEEKDAY(A1024,2),"월","화","수","목","금","토","일"))</f>
        <v/>
      </c>
      <c r="C1024" s="18" t="n"/>
      <c r="D1024" s="25">
        <f>IFERROR(IF(C1024="","",INDEX(직원명부!$B$5:$B$24,MATCH(C1024,직원명부!$A$5:$A$24,0))),"사번 확인")</f>
        <v/>
      </c>
      <c r="E1024" s="34" t="n"/>
      <c r="F1024" s="34" t="n"/>
      <c r="G1024" s="28" t="n"/>
      <c r="H1024" s="33">
        <f>IF(OR(E1024="",F1024=""),"",ROUND(MOD(F1024-E1024,1)*24-N(G1024),2))</f>
        <v/>
      </c>
      <c r="I1024" s="33">
        <f>IF(H1024="","",ROUND(MAX(0,H1024-8),2))</f>
        <v/>
      </c>
      <c r="J1024" s="33">
        <f>IF(OR(E1024="",F1024=""),"",ROUND(IF(MOD(F1024,1)&gt;=TIME(22,0,0),(MOD(F1024,1)-TIME(22,0,0))*24,IF(MOD(F1024,1)&lt;TIME(6,0,0),(MOD(F1024,1)+1-TIME(22,0,0))*24,0)),2))</f>
        <v/>
      </c>
      <c r="K1024" s="33">
        <f>IF(H1024="","",ROUND(IF(L1024="휴일근로",MIN(H1024,8)*1.5+MAX(0,H1024-8)*2,I1024*1.5)+N(J1024)*0.5,2))</f>
        <v/>
      </c>
      <c r="L1024" s="18" t="n"/>
      <c r="M1024" s="18" t="n"/>
      <c r="N1024" s="22" t="n"/>
    </row>
    <row r="1025">
      <c r="A1025" s="19" t="n"/>
      <c r="B1025" s="25">
        <f>IF(A1025="","",CHOOSE(WEEKDAY(A1025,2),"월","화","수","목","금","토","일"))</f>
        <v/>
      </c>
      <c r="C1025" s="18" t="n"/>
      <c r="D1025" s="25">
        <f>IFERROR(IF(C1025="","",INDEX(직원명부!$B$5:$B$24,MATCH(C1025,직원명부!$A$5:$A$24,0))),"사번 확인")</f>
        <v/>
      </c>
      <c r="E1025" s="34" t="n"/>
      <c r="F1025" s="34" t="n"/>
      <c r="G1025" s="28" t="n"/>
      <c r="H1025" s="33">
        <f>IF(OR(E1025="",F1025=""),"",ROUND(MOD(F1025-E1025,1)*24-N(G1025),2))</f>
        <v/>
      </c>
      <c r="I1025" s="33">
        <f>IF(H1025="","",ROUND(MAX(0,H1025-8),2))</f>
        <v/>
      </c>
      <c r="J1025" s="33">
        <f>IF(OR(E1025="",F1025=""),"",ROUND(IF(MOD(F1025,1)&gt;=TIME(22,0,0),(MOD(F1025,1)-TIME(22,0,0))*24,IF(MOD(F1025,1)&lt;TIME(6,0,0),(MOD(F1025,1)+1-TIME(22,0,0))*24,0)),2))</f>
        <v/>
      </c>
      <c r="K1025" s="33">
        <f>IF(H1025="","",ROUND(IF(L1025="휴일근로",MIN(H1025,8)*1.5+MAX(0,H1025-8)*2,I1025*1.5)+N(J1025)*0.5,2))</f>
        <v/>
      </c>
      <c r="L1025" s="18" t="n"/>
      <c r="M1025" s="18" t="n"/>
      <c r="N1025" s="22" t="n"/>
    </row>
    <row r="1026">
      <c r="A1026" s="19" t="n"/>
      <c r="B1026" s="25">
        <f>IF(A1026="","",CHOOSE(WEEKDAY(A1026,2),"월","화","수","목","금","토","일"))</f>
        <v/>
      </c>
      <c r="C1026" s="18" t="n"/>
      <c r="D1026" s="25">
        <f>IFERROR(IF(C1026="","",INDEX(직원명부!$B$5:$B$24,MATCH(C1026,직원명부!$A$5:$A$24,0))),"사번 확인")</f>
        <v/>
      </c>
      <c r="E1026" s="34" t="n"/>
      <c r="F1026" s="34" t="n"/>
      <c r="G1026" s="28" t="n"/>
      <c r="H1026" s="33">
        <f>IF(OR(E1026="",F1026=""),"",ROUND(MOD(F1026-E1026,1)*24-N(G1026),2))</f>
        <v/>
      </c>
      <c r="I1026" s="33">
        <f>IF(H1026="","",ROUND(MAX(0,H1026-8),2))</f>
        <v/>
      </c>
      <c r="J1026" s="33">
        <f>IF(OR(E1026="",F1026=""),"",ROUND(IF(MOD(F1026,1)&gt;=TIME(22,0,0),(MOD(F1026,1)-TIME(22,0,0))*24,IF(MOD(F1026,1)&lt;TIME(6,0,0),(MOD(F1026,1)+1-TIME(22,0,0))*24,0)),2))</f>
        <v/>
      </c>
      <c r="K1026" s="33">
        <f>IF(H1026="","",ROUND(IF(L1026="휴일근로",MIN(H1026,8)*1.5+MAX(0,H1026-8)*2,I1026*1.5)+N(J1026)*0.5,2))</f>
        <v/>
      </c>
      <c r="L1026" s="18" t="n"/>
      <c r="M1026" s="18" t="n"/>
      <c r="N1026" s="22" t="n"/>
    </row>
    <row r="1027">
      <c r="A1027" s="19" t="n"/>
      <c r="B1027" s="25">
        <f>IF(A1027="","",CHOOSE(WEEKDAY(A1027,2),"월","화","수","목","금","토","일"))</f>
        <v/>
      </c>
      <c r="C1027" s="18" t="n"/>
      <c r="D1027" s="25">
        <f>IFERROR(IF(C1027="","",INDEX(직원명부!$B$5:$B$24,MATCH(C1027,직원명부!$A$5:$A$24,0))),"사번 확인")</f>
        <v/>
      </c>
      <c r="E1027" s="34" t="n"/>
      <c r="F1027" s="34" t="n"/>
      <c r="G1027" s="28" t="n"/>
      <c r="H1027" s="33">
        <f>IF(OR(E1027="",F1027=""),"",ROUND(MOD(F1027-E1027,1)*24-N(G1027),2))</f>
        <v/>
      </c>
      <c r="I1027" s="33">
        <f>IF(H1027="","",ROUND(MAX(0,H1027-8),2))</f>
        <v/>
      </c>
      <c r="J1027" s="33">
        <f>IF(OR(E1027="",F1027=""),"",ROUND(IF(MOD(F1027,1)&gt;=TIME(22,0,0),(MOD(F1027,1)-TIME(22,0,0))*24,IF(MOD(F1027,1)&lt;TIME(6,0,0),(MOD(F1027,1)+1-TIME(22,0,0))*24,0)),2))</f>
        <v/>
      </c>
      <c r="K1027" s="33">
        <f>IF(H1027="","",ROUND(IF(L1027="휴일근로",MIN(H1027,8)*1.5+MAX(0,H1027-8)*2,I1027*1.5)+N(J1027)*0.5,2))</f>
        <v/>
      </c>
      <c r="L1027" s="18" t="n"/>
      <c r="M1027" s="18" t="n"/>
      <c r="N1027" s="22" t="n"/>
    </row>
    <row r="1028">
      <c r="A1028" s="19" t="n"/>
      <c r="B1028" s="25">
        <f>IF(A1028="","",CHOOSE(WEEKDAY(A1028,2),"월","화","수","목","금","토","일"))</f>
        <v/>
      </c>
      <c r="C1028" s="18" t="n"/>
      <c r="D1028" s="25">
        <f>IFERROR(IF(C1028="","",INDEX(직원명부!$B$5:$B$24,MATCH(C1028,직원명부!$A$5:$A$24,0))),"사번 확인")</f>
        <v/>
      </c>
      <c r="E1028" s="34" t="n"/>
      <c r="F1028" s="34" t="n"/>
      <c r="G1028" s="28" t="n"/>
      <c r="H1028" s="33">
        <f>IF(OR(E1028="",F1028=""),"",ROUND(MOD(F1028-E1028,1)*24-N(G1028),2))</f>
        <v/>
      </c>
      <c r="I1028" s="33">
        <f>IF(H1028="","",ROUND(MAX(0,H1028-8),2))</f>
        <v/>
      </c>
      <c r="J1028" s="33">
        <f>IF(OR(E1028="",F1028=""),"",ROUND(IF(MOD(F1028,1)&gt;=TIME(22,0,0),(MOD(F1028,1)-TIME(22,0,0))*24,IF(MOD(F1028,1)&lt;TIME(6,0,0),(MOD(F1028,1)+1-TIME(22,0,0))*24,0)),2))</f>
        <v/>
      </c>
      <c r="K1028" s="33">
        <f>IF(H1028="","",ROUND(IF(L1028="휴일근로",MIN(H1028,8)*1.5+MAX(0,H1028-8)*2,I1028*1.5)+N(J1028)*0.5,2))</f>
        <v/>
      </c>
      <c r="L1028" s="18" t="n"/>
      <c r="M1028" s="18" t="n"/>
      <c r="N1028" s="22" t="n"/>
    </row>
    <row r="1029">
      <c r="A1029" s="19" t="n"/>
      <c r="B1029" s="25">
        <f>IF(A1029="","",CHOOSE(WEEKDAY(A1029,2),"월","화","수","목","금","토","일"))</f>
        <v/>
      </c>
      <c r="C1029" s="18" t="n"/>
      <c r="D1029" s="25">
        <f>IFERROR(IF(C1029="","",INDEX(직원명부!$B$5:$B$24,MATCH(C1029,직원명부!$A$5:$A$24,0))),"사번 확인")</f>
        <v/>
      </c>
      <c r="E1029" s="34" t="n"/>
      <c r="F1029" s="34" t="n"/>
      <c r="G1029" s="28" t="n"/>
      <c r="H1029" s="33">
        <f>IF(OR(E1029="",F1029=""),"",ROUND(MOD(F1029-E1029,1)*24-N(G1029),2))</f>
        <v/>
      </c>
      <c r="I1029" s="33">
        <f>IF(H1029="","",ROUND(MAX(0,H1029-8),2))</f>
        <v/>
      </c>
      <c r="J1029" s="33">
        <f>IF(OR(E1029="",F1029=""),"",ROUND(IF(MOD(F1029,1)&gt;=TIME(22,0,0),(MOD(F1029,1)-TIME(22,0,0))*24,IF(MOD(F1029,1)&lt;TIME(6,0,0),(MOD(F1029,1)+1-TIME(22,0,0))*24,0)),2))</f>
        <v/>
      </c>
      <c r="K1029" s="33">
        <f>IF(H1029="","",ROUND(IF(L1029="휴일근로",MIN(H1029,8)*1.5+MAX(0,H1029-8)*2,I1029*1.5)+N(J1029)*0.5,2))</f>
        <v/>
      </c>
      <c r="L1029" s="18" t="n"/>
      <c r="M1029" s="18" t="n"/>
      <c r="N1029" s="22" t="n"/>
    </row>
    <row r="1030">
      <c r="A1030" s="19" t="n"/>
      <c r="B1030" s="25">
        <f>IF(A1030="","",CHOOSE(WEEKDAY(A1030,2),"월","화","수","목","금","토","일"))</f>
        <v/>
      </c>
      <c r="C1030" s="18" t="n"/>
      <c r="D1030" s="25">
        <f>IFERROR(IF(C1030="","",INDEX(직원명부!$B$5:$B$24,MATCH(C1030,직원명부!$A$5:$A$24,0))),"사번 확인")</f>
        <v/>
      </c>
      <c r="E1030" s="34" t="n"/>
      <c r="F1030" s="34" t="n"/>
      <c r="G1030" s="28" t="n"/>
      <c r="H1030" s="33">
        <f>IF(OR(E1030="",F1030=""),"",ROUND(MOD(F1030-E1030,1)*24-N(G1030),2))</f>
        <v/>
      </c>
      <c r="I1030" s="33">
        <f>IF(H1030="","",ROUND(MAX(0,H1030-8),2))</f>
        <v/>
      </c>
      <c r="J1030" s="33">
        <f>IF(OR(E1030="",F1030=""),"",ROUND(IF(MOD(F1030,1)&gt;=TIME(22,0,0),(MOD(F1030,1)-TIME(22,0,0))*24,IF(MOD(F1030,1)&lt;TIME(6,0,0),(MOD(F1030,1)+1-TIME(22,0,0))*24,0)),2))</f>
        <v/>
      </c>
      <c r="K1030" s="33">
        <f>IF(H1030="","",ROUND(IF(L1030="휴일근로",MIN(H1030,8)*1.5+MAX(0,H1030-8)*2,I1030*1.5)+N(J1030)*0.5,2))</f>
        <v/>
      </c>
      <c r="L1030" s="18" t="n"/>
      <c r="M1030" s="18" t="n"/>
      <c r="N1030" s="22" t="n"/>
    </row>
    <row r="1031">
      <c r="A1031" s="19" t="n"/>
      <c r="B1031" s="25">
        <f>IF(A1031="","",CHOOSE(WEEKDAY(A1031,2),"월","화","수","목","금","토","일"))</f>
        <v/>
      </c>
      <c r="C1031" s="18" t="n"/>
      <c r="D1031" s="25">
        <f>IFERROR(IF(C1031="","",INDEX(직원명부!$B$5:$B$24,MATCH(C1031,직원명부!$A$5:$A$24,0))),"사번 확인")</f>
        <v/>
      </c>
      <c r="E1031" s="34" t="n"/>
      <c r="F1031" s="34" t="n"/>
      <c r="G1031" s="28" t="n"/>
      <c r="H1031" s="33">
        <f>IF(OR(E1031="",F1031=""),"",ROUND(MOD(F1031-E1031,1)*24-N(G1031),2))</f>
        <v/>
      </c>
      <c r="I1031" s="33">
        <f>IF(H1031="","",ROUND(MAX(0,H1031-8),2))</f>
        <v/>
      </c>
      <c r="J1031" s="33">
        <f>IF(OR(E1031="",F1031=""),"",ROUND(IF(MOD(F1031,1)&gt;=TIME(22,0,0),(MOD(F1031,1)-TIME(22,0,0))*24,IF(MOD(F1031,1)&lt;TIME(6,0,0),(MOD(F1031,1)+1-TIME(22,0,0))*24,0)),2))</f>
        <v/>
      </c>
      <c r="K1031" s="33">
        <f>IF(H1031="","",ROUND(IF(L1031="휴일근로",MIN(H1031,8)*1.5+MAX(0,H1031-8)*2,I1031*1.5)+N(J1031)*0.5,2))</f>
        <v/>
      </c>
      <c r="L1031" s="18" t="n"/>
      <c r="M1031" s="18" t="n"/>
      <c r="N1031" s="22" t="n"/>
    </row>
    <row r="1032">
      <c r="A1032" s="19" t="n"/>
      <c r="B1032" s="25">
        <f>IF(A1032="","",CHOOSE(WEEKDAY(A1032,2),"월","화","수","목","금","토","일"))</f>
        <v/>
      </c>
      <c r="C1032" s="18" t="n"/>
      <c r="D1032" s="25">
        <f>IFERROR(IF(C1032="","",INDEX(직원명부!$B$5:$B$24,MATCH(C1032,직원명부!$A$5:$A$24,0))),"사번 확인")</f>
        <v/>
      </c>
      <c r="E1032" s="34" t="n"/>
      <c r="F1032" s="34" t="n"/>
      <c r="G1032" s="28" t="n"/>
      <c r="H1032" s="33">
        <f>IF(OR(E1032="",F1032=""),"",ROUND(MOD(F1032-E1032,1)*24-N(G1032),2))</f>
        <v/>
      </c>
      <c r="I1032" s="33">
        <f>IF(H1032="","",ROUND(MAX(0,H1032-8),2))</f>
        <v/>
      </c>
      <c r="J1032" s="33">
        <f>IF(OR(E1032="",F1032=""),"",ROUND(IF(MOD(F1032,1)&gt;=TIME(22,0,0),(MOD(F1032,1)-TIME(22,0,0))*24,IF(MOD(F1032,1)&lt;TIME(6,0,0),(MOD(F1032,1)+1-TIME(22,0,0))*24,0)),2))</f>
        <v/>
      </c>
      <c r="K1032" s="33">
        <f>IF(H1032="","",ROUND(IF(L1032="휴일근로",MIN(H1032,8)*1.5+MAX(0,H1032-8)*2,I1032*1.5)+N(J1032)*0.5,2))</f>
        <v/>
      </c>
      <c r="L1032" s="18" t="n"/>
      <c r="M1032" s="18" t="n"/>
      <c r="N1032" s="22" t="n"/>
    </row>
    <row r="1033">
      <c r="A1033" s="19" t="n"/>
      <c r="B1033" s="25">
        <f>IF(A1033="","",CHOOSE(WEEKDAY(A1033,2),"월","화","수","목","금","토","일"))</f>
        <v/>
      </c>
      <c r="C1033" s="18" t="n"/>
      <c r="D1033" s="25">
        <f>IFERROR(IF(C1033="","",INDEX(직원명부!$B$5:$B$24,MATCH(C1033,직원명부!$A$5:$A$24,0))),"사번 확인")</f>
        <v/>
      </c>
      <c r="E1033" s="34" t="n"/>
      <c r="F1033" s="34" t="n"/>
      <c r="G1033" s="28" t="n"/>
      <c r="H1033" s="33">
        <f>IF(OR(E1033="",F1033=""),"",ROUND(MOD(F1033-E1033,1)*24-N(G1033),2))</f>
        <v/>
      </c>
      <c r="I1033" s="33">
        <f>IF(H1033="","",ROUND(MAX(0,H1033-8),2))</f>
        <v/>
      </c>
      <c r="J1033" s="33">
        <f>IF(OR(E1033="",F1033=""),"",ROUND(IF(MOD(F1033,1)&gt;=TIME(22,0,0),(MOD(F1033,1)-TIME(22,0,0))*24,IF(MOD(F1033,1)&lt;TIME(6,0,0),(MOD(F1033,1)+1-TIME(22,0,0))*24,0)),2))</f>
        <v/>
      </c>
      <c r="K1033" s="33">
        <f>IF(H1033="","",ROUND(IF(L1033="휴일근로",MIN(H1033,8)*1.5+MAX(0,H1033-8)*2,I1033*1.5)+N(J1033)*0.5,2))</f>
        <v/>
      </c>
      <c r="L1033" s="18" t="n"/>
      <c r="M1033" s="18" t="n"/>
      <c r="N1033" s="22" t="n"/>
    </row>
    <row r="1034">
      <c r="A1034" s="19" t="n"/>
      <c r="B1034" s="25">
        <f>IF(A1034="","",CHOOSE(WEEKDAY(A1034,2),"월","화","수","목","금","토","일"))</f>
        <v/>
      </c>
      <c r="C1034" s="18" t="n"/>
      <c r="D1034" s="25">
        <f>IFERROR(IF(C1034="","",INDEX(직원명부!$B$5:$B$24,MATCH(C1034,직원명부!$A$5:$A$24,0))),"사번 확인")</f>
        <v/>
      </c>
      <c r="E1034" s="34" t="n"/>
      <c r="F1034" s="34" t="n"/>
      <c r="G1034" s="28" t="n"/>
      <c r="H1034" s="33">
        <f>IF(OR(E1034="",F1034=""),"",ROUND(MOD(F1034-E1034,1)*24-N(G1034),2))</f>
        <v/>
      </c>
      <c r="I1034" s="33">
        <f>IF(H1034="","",ROUND(MAX(0,H1034-8),2))</f>
        <v/>
      </c>
      <c r="J1034" s="33">
        <f>IF(OR(E1034="",F1034=""),"",ROUND(IF(MOD(F1034,1)&gt;=TIME(22,0,0),(MOD(F1034,1)-TIME(22,0,0))*24,IF(MOD(F1034,1)&lt;TIME(6,0,0),(MOD(F1034,1)+1-TIME(22,0,0))*24,0)),2))</f>
        <v/>
      </c>
      <c r="K1034" s="33">
        <f>IF(H1034="","",ROUND(IF(L1034="휴일근로",MIN(H1034,8)*1.5+MAX(0,H1034-8)*2,I1034*1.5)+N(J1034)*0.5,2))</f>
        <v/>
      </c>
      <c r="L1034" s="18" t="n"/>
      <c r="M1034" s="18" t="n"/>
      <c r="N1034" s="22" t="n"/>
    </row>
    <row r="1035">
      <c r="A1035" s="19" t="n"/>
      <c r="B1035" s="25">
        <f>IF(A1035="","",CHOOSE(WEEKDAY(A1035,2),"월","화","수","목","금","토","일"))</f>
        <v/>
      </c>
      <c r="C1035" s="18" t="n"/>
      <c r="D1035" s="25">
        <f>IFERROR(IF(C1035="","",INDEX(직원명부!$B$5:$B$24,MATCH(C1035,직원명부!$A$5:$A$24,0))),"사번 확인")</f>
        <v/>
      </c>
      <c r="E1035" s="34" t="n"/>
      <c r="F1035" s="34" t="n"/>
      <c r="G1035" s="28" t="n"/>
      <c r="H1035" s="33">
        <f>IF(OR(E1035="",F1035=""),"",ROUND(MOD(F1035-E1035,1)*24-N(G1035),2))</f>
        <v/>
      </c>
      <c r="I1035" s="33">
        <f>IF(H1035="","",ROUND(MAX(0,H1035-8),2))</f>
        <v/>
      </c>
      <c r="J1035" s="33">
        <f>IF(OR(E1035="",F1035=""),"",ROUND(IF(MOD(F1035,1)&gt;=TIME(22,0,0),(MOD(F1035,1)-TIME(22,0,0))*24,IF(MOD(F1035,1)&lt;TIME(6,0,0),(MOD(F1035,1)+1-TIME(22,0,0))*24,0)),2))</f>
        <v/>
      </c>
      <c r="K1035" s="33">
        <f>IF(H1035="","",ROUND(IF(L1035="휴일근로",MIN(H1035,8)*1.5+MAX(0,H1035-8)*2,I1035*1.5)+N(J1035)*0.5,2))</f>
        <v/>
      </c>
      <c r="L1035" s="18" t="n"/>
      <c r="M1035" s="18" t="n"/>
      <c r="N1035" s="22" t="n"/>
    </row>
    <row r="1036">
      <c r="A1036" s="19" t="n"/>
      <c r="B1036" s="25">
        <f>IF(A1036="","",CHOOSE(WEEKDAY(A1036,2),"월","화","수","목","금","토","일"))</f>
        <v/>
      </c>
      <c r="C1036" s="18" t="n"/>
      <c r="D1036" s="25">
        <f>IFERROR(IF(C1036="","",INDEX(직원명부!$B$5:$B$24,MATCH(C1036,직원명부!$A$5:$A$24,0))),"사번 확인")</f>
        <v/>
      </c>
      <c r="E1036" s="34" t="n"/>
      <c r="F1036" s="34" t="n"/>
      <c r="G1036" s="28" t="n"/>
      <c r="H1036" s="33">
        <f>IF(OR(E1036="",F1036=""),"",ROUND(MOD(F1036-E1036,1)*24-N(G1036),2))</f>
        <v/>
      </c>
      <c r="I1036" s="33">
        <f>IF(H1036="","",ROUND(MAX(0,H1036-8),2))</f>
        <v/>
      </c>
      <c r="J1036" s="33">
        <f>IF(OR(E1036="",F1036=""),"",ROUND(IF(MOD(F1036,1)&gt;=TIME(22,0,0),(MOD(F1036,1)-TIME(22,0,0))*24,IF(MOD(F1036,1)&lt;TIME(6,0,0),(MOD(F1036,1)+1-TIME(22,0,0))*24,0)),2))</f>
        <v/>
      </c>
      <c r="K1036" s="33">
        <f>IF(H1036="","",ROUND(IF(L1036="휴일근로",MIN(H1036,8)*1.5+MAX(0,H1036-8)*2,I1036*1.5)+N(J1036)*0.5,2))</f>
        <v/>
      </c>
      <c r="L1036" s="18" t="n"/>
      <c r="M1036" s="18" t="n"/>
      <c r="N1036" s="22" t="n"/>
    </row>
    <row r="1037">
      <c r="A1037" s="19" t="n"/>
      <c r="B1037" s="25">
        <f>IF(A1037="","",CHOOSE(WEEKDAY(A1037,2),"월","화","수","목","금","토","일"))</f>
        <v/>
      </c>
      <c r="C1037" s="18" t="n"/>
      <c r="D1037" s="25">
        <f>IFERROR(IF(C1037="","",INDEX(직원명부!$B$5:$B$24,MATCH(C1037,직원명부!$A$5:$A$24,0))),"사번 확인")</f>
        <v/>
      </c>
      <c r="E1037" s="34" t="n"/>
      <c r="F1037" s="34" t="n"/>
      <c r="G1037" s="28" t="n"/>
      <c r="H1037" s="33">
        <f>IF(OR(E1037="",F1037=""),"",ROUND(MOD(F1037-E1037,1)*24-N(G1037),2))</f>
        <v/>
      </c>
      <c r="I1037" s="33">
        <f>IF(H1037="","",ROUND(MAX(0,H1037-8),2))</f>
        <v/>
      </c>
      <c r="J1037" s="33">
        <f>IF(OR(E1037="",F1037=""),"",ROUND(IF(MOD(F1037,1)&gt;=TIME(22,0,0),(MOD(F1037,1)-TIME(22,0,0))*24,IF(MOD(F1037,1)&lt;TIME(6,0,0),(MOD(F1037,1)+1-TIME(22,0,0))*24,0)),2))</f>
        <v/>
      </c>
      <c r="K1037" s="33">
        <f>IF(H1037="","",ROUND(IF(L1037="휴일근로",MIN(H1037,8)*1.5+MAX(0,H1037-8)*2,I1037*1.5)+N(J1037)*0.5,2))</f>
        <v/>
      </c>
      <c r="L1037" s="18" t="n"/>
      <c r="M1037" s="18" t="n"/>
      <c r="N1037" s="22" t="n"/>
    </row>
    <row r="1038">
      <c r="A1038" s="19" t="n"/>
      <c r="B1038" s="25">
        <f>IF(A1038="","",CHOOSE(WEEKDAY(A1038,2),"월","화","수","목","금","토","일"))</f>
        <v/>
      </c>
      <c r="C1038" s="18" t="n"/>
      <c r="D1038" s="25">
        <f>IFERROR(IF(C1038="","",INDEX(직원명부!$B$5:$B$24,MATCH(C1038,직원명부!$A$5:$A$24,0))),"사번 확인")</f>
        <v/>
      </c>
      <c r="E1038" s="34" t="n"/>
      <c r="F1038" s="34" t="n"/>
      <c r="G1038" s="28" t="n"/>
      <c r="H1038" s="33">
        <f>IF(OR(E1038="",F1038=""),"",ROUND(MOD(F1038-E1038,1)*24-N(G1038),2))</f>
        <v/>
      </c>
      <c r="I1038" s="33">
        <f>IF(H1038="","",ROUND(MAX(0,H1038-8),2))</f>
        <v/>
      </c>
      <c r="J1038" s="33">
        <f>IF(OR(E1038="",F1038=""),"",ROUND(IF(MOD(F1038,1)&gt;=TIME(22,0,0),(MOD(F1038,1)-TIME(22,0,0))*24,IF(MOD(F1038,1)&lt;TIME(6,0,0),(MOD(F1038,1)+1-TIME(22,0,0))*24,0)),2))</f>
        <v/>
      </c>
      <c r="K1038" s="33">
        <f>IF(H1038="","",ROUND(IF(L1038="휴일근로",MIN(H1038,8)*1.5+MAX(0,H1038-8)*2,I1038*1.5)+N(J1038)*0.5,2))</f>
        <v/>
      </c>
      <c r="L1038" s="18" t="n"/>
      <c r="M1038" s="18" t="n"/>
      <c r="N1038" s="22" t="n"/>
    </row>
    <row r="1039">
      <c r="A1039" s="19" t="n"/>
      <c r="B1039" s="25">
        <f>IF(A1039="","",CHOOSE(WEEKDAY(A1039,2),"월","화","수","목","금","토","일"))</f>
        <v/>
      </c>
      <c r="C1039" s="18" t="n"/>
      <c r="D1039" s="25">
        <f>IFERROR(IF(C1039="","",INDEX(직원명부!$B$5:$B$24,MATCH(C1039,직원명부!$A$5:$A$24,0))),"사번 확인")</f>
        <v/>
      </c>
      <c r="E1039" s="34" t="n"/>
      <c r="F1039" s="34" t="n"/>
      <c r="G1039" s="28" t="n"/>
      <c r="H1039" s="33">
        <f>IF(OR(E1039="",F1039=""),"",ROUND(MOD(F1039-E1039,1)*24-N(G1039),2))</f>
        <v/>
      </c>
      <c r="I1039" s="33">
        <f>IF(H1039="","",ROUND(MAX(0,H1039-8),2))</f>
        <v/>
      </c>
      <c r="J1039" s="33">
        <f>IF(OR(E1039="",F1039=""),"",ROUND(IF(MOD(F1039,1)&gt;=TIME(22,0,0),(MOD(F1039,1)-TIME(22,0,0))*24,IF(MOD(F1039,1)&lt;TIME(6,0,0),(MOD(F1039,1)+1-TIME(22,0,0))*24,0)),2))</f>
        <v/>
      </c>
      <c r="K1039" s="33">
        <f>IF(H1039="","",ROUND(IF(L1039="휴일근로",MIN(H1039,8)*1.5+MAX(0,H1039-8)*2,I1039*1.5)+N(J1039)*0.5,2))</f>
        <v/>
      </c>
      <c r="L1039" s="18" t="n"/>
      <c r="M1039" s="18" t="n"/>
      <c r="N1039" s="22" t="n"/>
    </row>
    <row r="1040">
      <c r="A1040" s="19" t="n"/>
      <c r="B1040" s="25">
        <f>IF(A1040="","",CHOOSE(WEEKDAY(A1040,2),"월","화","수","목","금","토","일"))</f>
        <v/>
      </c>
      <c r="C1040" s="18" t="n"/>
      <c r="D1040" s="25">
        <f>IFERROR(IF(C1040="","",INDEX(직원명부!$B$5:$B$24,MATCH(C1040,직원명부!$A$5:$A$24,0))),"사번 확인")</f>
        <v/>
      </c>
      <c r="E1040" s="34" t="n"/>
      <c r="F1040" s="34" t="n"/>
      <c r="G1040" s="28" t="n"/>
      <c r="H1040" s="33">
        <f>IF(OR(E1040="",F1040=""),"",ROUND(MOD(F1040-E1040,1)*24-N(G1040),2))</f>
        <v/>
      </c>
      <c r="I1040" s="33">
        <f>IF(H1040="","",ROUND(MAX(0,H1040-8),2))</f>
        <v/>
      </c>
      <c r="J1040" s="33">
        <f>IF(OR(E1040="",F1040=""),"",ROUND(IF(MOD(F1040,1)&gt;=TIME(22,0,0),(MOD(F1040,1)-TIME(22,0,0))*24,IF(MOD(F1040,1)&lt;TIME(6,0,0),(MOD(F1040,1)+1-TIME(22,0,0))*24,0)),2))</f>
        <v/>
      </c>
      <c r="K1040" s="33">
        <f>IF(H1040="","",ROUND(IF(L1040="휴일근로",MIN(H1040,8)*1.5+MAX(0,H1040-8)*2,I1040*1.5)+N(J1040)*0.5,2))</f>
        <v/>
      </c>
      <c r="L1040" s="18" t="n"/>
      <c r="M1040" s="18" t="n"/>
      <c r="N1040" s="22" t="n"/>
    </row>
    <row r="1041">
      <c r="A1041" s="19" t="n"/>
      <c r="B1041" s="25">
        <f>IF(A1041="","",CHOOSE(WEEKDAY(A1041,2),"월","화","수","목","금","토","일"))</f>
        <v/>
      </c>
      <c r="C1041" s="18" t="n"/>
      <c r="D1041" s="25">
        <f>IFERROR(IF(C1041="","",INDEX(직원명부!$B$5:$B$24,MATCH(C1041,직원명부!$A$5:$A$24,0))),"사번 확인")</f>
        <v/>
      </c>
      <c r="E1041" s="34" t="n"/>
      <c r="F1041" s="34" t="n"/>
      <c r="G1041" s="28" t="n"/>
      <c r="H1041" s="33">
        <f>IF(OR(E1041="",F1041=""),"",ROUND(MOD(F1041-E1041,1)*24-N(G1041),2))</f>
        <v/>
      </c>
      <c r="I1041" s="33">
        <f>IF(H1041="","",ROUND(MAX(0,H1041-8),2))</f>
        <v/>
      </c>
      <c r="J1041" s="33">
        <f>IF(OR(E1041="",F1041=""),"",ROUND(IF(MOD(F1041,1)&gt;=TIME(22,0,0),(MOD(F1041,1)-TIME(22,0,0))*24,IF(MOD(F1041,1)&lt;TIME(6,0,0),(MOD(F1041,1)+1-TIME(22,0,0))*24,0)),2))</f>
        <v/>
      </c>
      <c r="K1041" s="33">
        <f>IF(H1041="","",ROUND(IF(L1041="휴일근로",MIN(H1041,8)*1.5+MAX(0,H1041-8)*2,I1041*1.5)+N(J1041)*0.5,2))</f>
        <v/>
      </c>
      <c r="L1041" s="18" t="n"/>
      <c r="M1041" s="18" t="n"/>
      <c r="N1041" s="22" t="n"/>
    </row>
    <row r="1042">
      <c r="A1042" s="19" t="n"/>
      <c r="B1042" s="25">
        <f>IF(A1042="","",CHOOSE(WEEKDAY(A1042,2),"월","화","수","목","금","토","일"))</f>
        <v/>
      </c>
      <c r="C1042" s="18" t="n"/>
      <c r="D1042" s="25">
        <f>IFERROR(IF(C1042="","",INDEX(직원명부!$B$5:$B$24,MATCH(C1042,직원명부!$A$5:$A$24,0))),"사번 확인")</f>
        <v/>
      </c>
      <c r="E1042" s="34" t="n"/>
      <c r="F1042" s="34" t="n"/>
      <c r="G1042" s="28" t="n"/>
      <c r="H1042" s="33">
        <f>IF(OR(E1042="",F1042=""),"",ROUND(MOD(F1042-E1042,1)*24-N(G1042),2))</f>
        <v/>
      </c>
      <c r="I1042" s="33">
        <f>IF(H1042="","",ROUND(MAX(0,H1042-8),2))</f>
        <v/>
      </c>
      <c r="J1042" s="33">
        <f>IF(OR(E1042="",F1042=""),"",ROUND(IF(MOD(F1042,1)&gt;=TIME(22,0,0),(MOD(F1042,1)-TIME(22,0,0))*24,IF(MOD(F1042,1)&lt;TIME(6,0,0),(MOD(F1042,1)+1-TIME(22,0,0))*24,0)),2))</f>
        <v/>
      </c>
      <c r="K1042" s="33">
        <f>IF(H1042="","",ROUND(IF(L1042="휴일근로",MIN(H1042,8)*1.5+MAX(0,H1042-8)*2,I1042*1.5)+N(J1042)*0.5,2))</f>
        <v/>
      </c>
      <c r="L1042" s="18" t="n"/>
      <c r="M1042" s="18" t="n"/>
      <c r="N1042" s="22" t="n"/>
    </row>
    <row r="1043">
      <c r="A1043" s="19" t="n"/>
      <c r="B1043" s="25">
        <f>IF(A1043="","",CHOOSE(WEEKDAY(A1043,2),"월","화","수","목","금","토","일"))</f>
        <v/>
      </c>
      <c r="C1043" s="18" t="n"/>
      <c r="D1043" s="25">
        <f>IFERROR(IF(C1043="","",INDEX(직원명부!$B$5:$B$24,MATCH(C1043,직원명부!$A$5:$A$24,0))),"사번 확인")</f>
        <v/>
      </c>
      <c r="E1043" s="34" t="n"/>
      <c r="F1043" s="34" t="n"/>
      <c r="G1043" s="28" t="n"/>
      <c r="H1043" s="33">
        <f>IF(OR(E1043="",F1043=""),"",ROUND(MOD(F1043-E1043,1)*24-N(G1043),2))</f>
        <v/>
      </c>
      <c r="I1043" s="33">
        <f>IF(H1043="","",ROUND(MAX(0,H1043-8),2))</f>
        <v/>
      </c>
      <c r="J1043" s="33">
        <f>IF(OR(E1043="",F1043=""),"",ROUND(IF(MOD(F1043,1)&gt;=TIME(22,0,0),(MOD(F1043,1)-TIME(22,0,0))*24,IF(MOD(F1043,1)&lt;TIME(6,0,0),(MOD(F1043,1)+1-TIME(22,0,0))*24,0)),2))</f>
        <v/>
      </c>
      <c r="K1043" s="33">
        <f>IF(H1043="","",ROUND(IF(L1043="휴일근로",MIN(H1043,8)*1.5+MAX(0,H1043-8)*2,I1043*1.5)+N(J1043)*0.5,2))</f>
        <v/>
      </c>
      <c r="L1043" s="18" t="n"/>
      <c r="M1043" s="18" t="n"/>
      <c r="N1043" s="22" t="n"/>
    </row>
    <row r="1044">
      <c r="A1044" s="19" t="n"/>
      <c r="B1044" s="25">
        <f>IF(A1044="","",CHOOSE(WEEKDAY(A1044,2),"월","화","수","목","금","토","일"))</f>
        <v/>
      </c>
      <c r="C1044" s="18" t="n"/>
      <c r="D1044" s="25">
        <f>IFERROR(IF(C1044="","",INDEX(직원명부!$B$5:$B$24,MATCH(C1044,직원명부!$A$5:$A$24,0))),"사번 확인")</f>
        <v/>
      </c>
      <c r="E1044" s="34" t="n"/>
      <c r="F1044" s="34" t="n"/>
      <c r="G1044" s="28" t="n"/>
      <c r="H1044" s="33">
        <f>IF(OR(E1044="",F1044=""),"",ROUND(MOD(F1044-E1044,1)*24-N(G1044),2))</f>
        <v/>
      </c>
      <c r="I1044" s="33">
        <f>IF(H1044="","",ROUND(MAX(0,H1044-8),2))</f>
        <v/>
      </c>
      <c r="J1044" s="33">
        <f>IF(OR(E1044="",F1044=""),"",ROUND(IF(MOD(F1044,1)&gt;=TIME(22,0,0),(MOD(F1044,1)-TIME(22,0,0))*24,IF(MOD(F1044,1)&lt;TIME(6,0,0),(MOD(F1044,1)+1-TIME(22,0,0))*24,0)),2))</f>
        <v/>
      </c>
      <c r="K1044" s="33">
        <f>IF(H1044="","",ROUND(IF(L1044="휴일근로",MIN(H1044,8)*1.5+MAX(0,H1044-8)*2,I1044*1.5)+N(J1044)*0.5,2))</f>
        <v/>
      </c>
      <c r="L1044" s="18" t="n"/>
      <c r="M1044" s="18" t="n"/>
      <c r="N1044" s="22" t="n"/>
    </row>
    <row r="1045">
      <c r="A1045" s="19" t="n"/>
      <c r="B1045" s="25">
        <f>IF(A1045="","",CHOOSE(WEEKDAY(A1045,2),"월","화","수","목","금","토","일"))</f>
        <v/>
      </c>
      <c r="C1045" s="18" t="n"/>
      <c r="D1045" s="25">
        <f>IFERROR(IF(C1045="","",INDEX(직원명부!$B$5:$B$24,MATCH(C1045,직원명부!$A$5:$A$24,0))),"사번 확인")</f>
        <v/>
      </c>
      <c r="E1045" s="34" t="n"/>
      <c r="F1045" s="34" t="n"/>
      <c r="G1045" s="28" t="n"/>
      <c r="H1045" s="33">
        <f>IF(OR(E1045="",F1045=""),"",ROUND(MOD(F1045-E1045,1)*24-N(G1045),2))</f>
        <v/>
      </c>
      <c r="I1045" s="33">
        <f>IF(H1045="","",ROUND(MAX(0,H1045-8),2))</f>
        <v/>
      </c>
      <c r="J1045" s="33">
        <f>IF(OR(E1045="",F1045=""),"",ROUND(IF(MOD(F1045,1)&gt;=TIME(22,0,0),(MOD(F1045,1)-TIME(22,0,0))*24,IF(MOD(F1045,1)&lt;TIME(6,0,0),(MOD(F1045,1)+1-TIME(22,0,0))*24,0)),2))</f>
        <v/>
      </c>
      <c r="K1045" s="33">
        <f>IF(H1045="","",ROUND(IF(L1045="휴일근로",MIN(H1045,8)*1.5+MAX(0,H1045-8)*2,I1045*1.5)+N(J1045)*0.5,2))</f>
        <v/>
      </c>
      <c r="L1045" s="18" t="n"/>
      <c r="M1045" s="18" t="n"/>
      <c r="N1045" s="22" t="n"/>
    </row>
    <row r="1046">
      <c r="A1046" s="19" t="n"/>
      <c r="B1046" s="25">
        <f>IF(A1046="","",CHOOSE(WEEKDAY(A1046,2),"월","화","수","목","금","토","일"))</f>
        <v/>
      </c>
      <c r="C1046" s="18" t="n"/>
      <c r="D1046" s="25">
        <f>IFERROR(IF(C1046="","",INDEX(직원명부!$B$5:$B$24,MATCH(C1046,직원명부!$A$5:$A$24,0))),"사번 확인")</f>
        <v/>
      </c>
      <c r="E1046" s="34" t="n"/>
      <c r="F1046" s="34" t="n"/>
      <c r="G1046" s="28" t="n"/>
      <c r="H1046" s="33">
        <f>IF(OR(E1046="",F1046=""),"",ROUND(MOD(F1046-E1046,1)*24-N(G1046),2))</f>
        <v/>
      </c>
      <c r="I1046" s="33">
        <f>IF(H1046="","",ROUND(MAX(0,H1046-8),2))</f>
        <v/>
      </c>
      <c r="J1046" s="33">
        <f>IF(OR(E1046="",F1046=""),"",ROUND(IF(MOD(F1046,1)&gt;=TIME(22,0,0),(MOD(F1046,1)-TIME(22,0,0))*24,IF(MOD(F1046,1)&lt;TIME(6,0,0),(MOD(F1046,1)+1-TIME(22,0,0))*24,0)),2))</f>
        <v/>
      </c>
      <c r="K1046" s="33">
        <f>IF(H1046="","",ROUND(IF(L1046="휴일근로",MIN(H1046,8)*1.5+MAX(0,H1046-8)*2,I1046*1.5)+N(J1046)*0.5,2))</f>
        <v/>
      </c>
      <c r="L1046" s="18" t="n"/>
      <c r="M1046" s="18" t="n"/>
      <c r="N1046" s="22" t="n"/>
    </row>
    <row r="1047">
      <c r="A1047" s="19" t="n"/>
      <c r="B1047" s="25">
        <f>IF(A1047="","",CHOOSE(WEEKDAY(A1047,2),"월","화","수","목","금","토","일"))</f>
        <v/>
      </c>
      <c r="C1047" s="18" t="n"/>
      <c r="D1047" s="25">
        <f>IFERROR(IF(C1047="","",INDEX(직원명부!$B$5:$B$24,MATCH(C1047,직원명부!$A$5:$A$24,0))),"사번 확인")</f>
        <v/>
      </c>
      <c r="E1047" s="34" t="n"/>
      <c r="F1047" s="34" t="n"/>
      <c r="G1047" s="28" t="n"/>
      <c r="H1047" s="33">
        <f>IF(OR(E1047="",F1047=""),"",ROUND(MOD(F1047-E1047,1)*24-N(G1047),2))</f>
        <v/>
      </c>
      <c r="I1047" s="33">
        <f>IF(H1047="","",ROUND(MAX(0,H1047-8),2))</f>
        <v/>
      </c>
      <c r="J1047" s="33">
        <f>IF(OR(E1047="",F1047=""),"",ROUND(IF(MOD(F1047,1)&gt;=TIME(22,0,0),(MOD(F1047,1)-TIME(22,0,0))*24,IF(MOD(F1047,1)&lt;TIME(6,0,0),(MOD(F1047,1)+1-TIME(22,0,0))*24,0)),2))</f>
        <v/>
      </c>
      <c r="K1047" s="33">
        <f>IF(H1047="","",ROUND(IF(L1047="휴일근로",MIN(H1047,8)*1.5+MAX(0,H1047-8)*2,I1047*1.5)+N(J1047)*0.5,2))</f>
        <v/>
      </c>
      <c r="L1047" s="18" t="n"/>
      <c r="M1047" s="18" t="n"/>
      <c r="N1047" s="22" t="n"/>
    </row>
    <row r="1048">
      <c r="A1048" s="19" t="n"/>
      <c r="B1048" s="25">
        <f>IF(A1048="","",CHOOSE(WEEKDAY(A1048,2),"월","화","수","목","금","토","일"))</f>
        <v/>
      </c>
      <c r="C1048" s="18" t="n"/>
      <c r="D1048" s="25">
        <f>IFERROR(IF(C1048="","",INDEX(직원명부!$B$5:$B$24,MATCH(C1048,직원명부!$A$5:$A$24,0))),"사번 확인")</f>
        <v/>
      </c>
      <c r="E1048" s="34" t="n"/>
      <c r="F1048" s="34" t="n"/>
      <c r="G1048" s="28" t="n"/>
      <c r="H1048" s="33">
        <f>IF(OR(E1048="",F1048=""),"",ROUND(MOD(F1048-E1048,1)*24-N(G1048),2))</f>
        <v/>
      </c>
      <c r="I1048" s="33">
        <f>IF(H1048="","",ROUND(MAX(0,H1048-8),2))</f>
        <v/>
      </c>
      <c r="J1048" s="33">
        <f>IF(OR(E1048="",F1048=""),"",ROUND(IF(MOD(F1048,1)&gt;=TIME(22,0,0),(MOD(F1048,1)-TIME(22,0,0))*24,IF(MOD(F1048,1)&lt;TIME(6,0,0),(MOD(F1048,1)+1-TIME(22,0,0))*24,0)),2))</f>
        <v/>
      </c>
      <c r="K1048" s="33">
        <f>IF(H1048="","",ROUND(IF(L1048="휴일근로",MIN(H1048,8)*1.5+MAX(0,H1048-8)*2,I1048*1.5)+N(J1048)*0.5,2))</f>
        <v/>
      </c>
      <c r="L1048" s="18" t="n"/>
      <c r="M1048" s="18" t="n"/>
      <c r="N1048" s="22" t="n"/>
    </row>
    <row r="1049">
      <c r="A1049" s="19" t="n"/>
      <c r="B1049" s="25">
        <f>IF(A1049="","",CHOOSE(WEEKDAY(A1049,2),"월","화","수","목","금","토","일"))</f>
        <v/>
      </c>
      <c r="C1049" s="18" t="n"/>
      <c r="D1049" s="25">
        <f>IFERROR(IF(C1049="","",INDEX(직원명부!$B$5:$B$24,MATCH(C1049,직원명부!$A$5:$A$24,0))),"사번 확인")</f>
        <v/>
      </c>
      <c r="E1049" s="34" t="n"/>
      <c r="F1049" s="34" t="n"/>
      <c r="G1049" s="28" t="n"/>
      <c r="H1049" s="33">
        <f>IF(OR(E1049="",F1049=""),"",ROUND(MOD(F1049-E1049,1)*24-N(G1049),2))</f>
        <v/>
      </c>
      <c r="I1049" s="33">
        <f>IF(H1049="","",ROUND(MAX(0,H1049-8),2))</f>
        <v/>
      </c>
      <c r="J1049" s="33">
        <f>IF(OR(E1049="",F1049=""),"",ROUND(IF(MOD(F1049,1)&gt;=TIME(22,0,0),(MOD(F1049,1)-TIME(22,0,0))*24,IF(MOD(F1049,1)&lt;TIME(6,0,0),(MOD(F1049,1)+1-TIME(22,0,0))*24,0)),2))</f>
        <v/>
      </c>
      <c r="K1049" s="33">
        <f>IF(H1049="","",ROUND(IF(L1049="휴일근로",MIN(H1049,8)*1.5+MAX(0,H1049-8)*2,I1049*1.5)+N(J1049)*0.5,2))</f>
        <v/>
      </c>
      <c r="L1049" s="18" t="n"/>
      <c r="M1049" s="18" t="n"/>
      <c r="N1049" s="22" t="n"/>
    </row>
    <row r="1050">
      <c r="A1050" s="19" t="n"/>
      <c r="B1050" s="25">
        <f>IF(A1050="","",CHOOSE(WEEKDAY(A1050,2),"월","화","수","목","금","토","일"))</f>
        <v/>
      </c>
      <c r="C1050" s="18" t="n"/>
      <c r="D1050" s="25">
        <f>IFERROR(IF(C1050="","",INDEX(직원명부!$B$5:$B$24,MATCH(C1050,직원명부!$A$5:$A$24,0))),"사번 확인")</f>
        <v/>
      </c>
      <c r="E1050" s="34" t="n"/>
      <c r="F1050" s="34" t="n"/>
      <c r="G1050" s="28" t="n"/>
      <c r="H1050" s="33">
        <f>IF(OR(E1050="",F1050=""),"",ROUND(MOD(F1050-E1050,1)*24-N(G1050),2))</f>
        <v/>
      </c>
      <c r="I1050" s="33">
        <f>IF(H1050="","",ROUND(MAX(0,H1050-8),2))</f>
        <v/>
      </c>
      <c r="J1050" s="33">
        <f>IF(OR(E1050="",F1050=""),"",ROUND(IF(MOD(F1050,1)&gt;=TIME(22,0,0),(MOD(F1050,1)-TIME(22,0,0))*24,IF(MOD(F1050,1)&lt;TIME(6,0,0),(MOD(F1050,1)+1-TIME(22,0,0))*24,0)),2))</f>
        <v/>
      </c>
      <c r="K1050" s="33">
        <f>IF(H1050="","",ROUND(IF(L1050="휴일근로",MIN(H1050,8)*1.5+MAX(0,H1050-8)*2,I1050*1.5)+N(J1050)*0.5,2))</f>
        <v/>
      </c>
      <c r="L1050" s="18" t="n"/>
      <c r="M1050" s="18" t="n"/>
      <c r="N1050" s="22" t="n"/>
    </row>
    <row r="1051">
      <c r="A1051" s="19" t="n"/>
      <c r="B1051" s="25">
        <f>IF(A1051="","",CHOOSE(WEEKDAY(A1051,2),"월","화","수","목","금","토","일"))</f>
        <v/>
      </c>
      <c r="C1051" s="18" t="n"/>
      <c r="D1051" s="25">
        <f>IFERROR(IF(C1051="","",INDEX(직원명부!$B$5:$B$24,MATCH(C1051,직원명부!$A$5:$A$24,0))),"사번 확인")</f>
        <v/>
      </c>
      <c r="E1051" s="34" t="n"/>
      <c r="F1051" s="34" t="n"/>
      <c r="G1051" s="28" t="n"/>
      <c r="H1051" s="33">
        <f>IF(OR(E1051="",F1051=""),"",ROUND(MOD(F1051-E1051,1)*24-N(G1051),2))</f>
        <v/>
      </c>
      <c r="I1051" s="33">
        <f>IF(H1051="","",ROUND(MAX(0,H1051-8),2))</f>
        <v/>
      </c>
      <c r="J1051" s="33">
        <f>IF(OR(E1051="",F1051=""),"",ROUND(IF(MOD(F1051,1)&gt;=TIME(22,0,0),(MOD(F1051,1)-TIME(22,0,0))*24,IF(MOD(F1051,1)&lt;TIME(6,0,0),(MOD(F1051,1)+1-TIME(22,0,0))*24,0)),2))</f>
        <v/>
      </c>
      <c r="K1051" s="33">
        <f>IF(H1051="","",ROUND(IF(L1051="휴일근로",MIN(H1051,8)*1.5+MAX(0,H1051-8)*2,I1051*1.5)+N(J1051)*0.5,2))</f>
        <v/>
      </c>
      <c r="L1051" s="18" t="n"/>
      <c r="M1051" s="18" t="n"/>
      <c r="N1051" s="22" t="n"/>
    </row>
    <row r="1052">
      <c r="A1052" s="19" t="n"/>
      <c r="B1052" s="25">
        <f>IF(A1052="","",CHOOSE(WEEKDAY(A1052,2),"월","화","수","목","금","토","일"))</f>
        <v/>
      </c>
      <c r="C1052" s="18" t="n"/>
      <c r="D1052" s="25">
        <f>IFERROR(IF(C1052="","",INDEX(직원명부!$B$5:$B$24,MATCH(C1052,직원명부!$A$5:$A$24,0))),"사번 확인")</f>
        <v/>
      </c>
      <c r="E1052" s="34" t="n"/>
      <c r="F1052" s="34" t="n"/>
      <c r="G1052" s="28" t="n"/>
      <c r="H1052" s="33">
        <f>IF(OR(E1052="",F1052=""),"",ROUND(MOD(F1052-E1052,1)*24-N(G1052),2))</f>
        <v/>
      </c>
      <c r="I1052" s="33">
        <f>IF(H1052="","",ROUND(MAX(0,H1052-8),2))</f>
        <v/>
      </c>
      <c r="J1052" s="33">
        <f>IF(OR(E1052="",F1052=""),"",ROUND(IF(MOD(F1052,1)&gt;=TIME(22,0,0),(MOD(F1052,1)-TIME(22,0,0))*24,IF(MOD(F1052,1)&lt;TIME(6,0,0),(MOD(F1052,1)+1-TIME(22,0,0))*24,0)),2))</f>
        <v/>
      </c>
      <c r="K1052" s="33">
        <f>IF(H1052="","",ROUND(IF(L1052="휴일근로",MIN(H1052,8)*1.5+MAX(0,H1052-8)*2,I1052*1.5)+N(J1052)*0.5,2))</f>
        <v/>
      </c>
      <c r="L1052" s="18" t="n"/>
      <c r="M1052" s="18" t="n"/>
      <c r="N1052" s="22" t="n"/>
    </row>
    <row r="1053">
      <c r="A1053" s="19" t="n"/>
      <c r="B1053" s="25">
        <f>IF(A1053="","",CHOOSE(WEEKDAY(A1053,2),"월","화","수","목","금","토","일"))</f>
        <v/>
      </c>
      <c r="C1053" s="18" t="n"/>
      <c r="D1053" s="25">
        <f>IFERROR(IF(C1053="","",INDEX(직원명부!$B$5:$B$24,MATCH(C1053,직원명부!$A$5:$A$24,0))),"사번 확인")</f>
        <v/>
      </c>
      <c r="E1053" s="34" t="n"/>
      <c r="F1053" s="34" t="n"/>
      <c r="G1053" s="28" t="n"/>
      <c r="H1053" s="33">
        <f>IF(OR(E1053="",F1053=""),"",ROUND(MOD(F1053-E1053,1)*24-N(G1053),2))</f>
        <v/>
      </c>
      <c r="I1053" s="33">
        <f>IF(H1053="","",ROUND(MAX(0,H1053-8),2))</f>
        <v/>
      </c>
      <c r="J1053" s="33">
        <f>IF(OR(E1053="",F1053=""),"",ROUND(IF(MOD(F1053,1)&gt;=TIME(22,0,0),(MOD(F1053,1)-TIME(22,0,0))*24,IF(MOD(F1053,1)&lt;TIME(6,0,0),(MOD(F1053,1)+1-TIME(22,0,0))*24,0)),2))</f>
        <v/>
      </c>
      <c r="K1053" s="33">
        <f>IF(H1053="","",ROUND(IF(L1053="휴일근로",MIN(H1053,8)*1.5+MAX(0,H1053-8)*2,I1053*1.5)+N(J1053)*0.5,2))</f>
        <v/>
      </c>
      <c r="L1053" s="18" t="n"/>
      <c r="M1053" s="18" t="n"/>
      <c r="N1053" s="22" t="n"/>
    </row>
    <row r="1054">
      <c r="A1054" s="19" t="n"/>
      <c r="B1054" s="25">
        <f>IF(A1054="","",CHOOSE(WEEKDAY(A1054,2),"월","화","수","목","금","토","일"))</f>
        <v/>
      </c>
      <c r="C1054" s="18" t="n"/>
      <c r="D1054" s="25">
        <f>IFERROR(IF(C1054="","",INDEX(직원명부!$B$5:$B$24,MATCH(C1054,직원명부!$A$5:$A$24,0))),"사번 확인")</f>
        <v/>
      </c>
      <c r="E1054" s="34" t="n"/>
      <c r="F1054" s="34" t="n"/>
      <c r="G1054" s="28" t="n"/>
      <c r="H1054" s="33">
        <f>IF(OR(E1054="",F1054=""),"",ROUND(MOD(F1054-E1054,1)*24-N(G1054),2))</f>
        <v/>
      </c>
      <c r="I1054" s="33">
        <f>IF(H1054="","",ROUND(MAX(0,H1054-8),2))</f>
        <v/>
      </c>
      <c r="J1054" s="33">
        <f>IF(OR(E1054="",F1054=""),"",ROUND(IF(MOD(F1054,1)&gt;=TIME(22,0,0),(MOD(F1054,1)-TIME(22,0,0))*24,IF(MOD(F1054,1)&lt;TIME(6,0,0),(MOD(F1054,1)+1-TIME(22,0,0))*24,0)),2))</f>
        <v/>
      </c>
      <c r="K1054" s="33">
        <f>IF(H1054="","",ROUND(IF(L1054="휴일근로",MIN(H1054,8)*1.5+MAX(0,H1054-8)*2,I1054*1.5)+N(J1054)*0.5,2))</f>
        <v/>
      </c>
      <c r="L1054" s="18" t="n"/>
      <c r="M1054" s="18" t="n"/>
      <c r="N1054" s="22" t="n"/>
    </row>
    <row r="1055">
      <c r="A1055" s="19" t="n"/>
      <c r="B1055" s="25">
        <f>IF(A1055="","",CHOOSE(WEEKDAY(A1055,2),"월","화","수","목","금","토","일"))</f>
        <v/>
      </c>
      <c r="C1055" s="18" t="n"/>
      <c r="D1055" s="25">
        <f>IFERROR(IF(C1055="","",INDEX(직원명부!$B$5:$B$24,MATCH(C1055,직원명부!$A$5:$A$24,0))),"사번 확인")</f>
        <v/>
      </c>
      <c r="E1055" s="34" t="n"/>
      <c r="F1055" s="34" t="n"/>
      <c r="G1055" s="28" t="n"/>
      <c r="H1055" s="33">
        <f>IF(OR(E1055="",F1055=""),"",ROUND(MOD(F1055-E1055,1)*24-N(G1055),2))</f>
        <v/>
      </c>
      <c r="I1055" s="33">
        <f>IF(H1055="","",ROUND(MAX(0,H1055-8),2))</f>
        <v/>
      </c>
      <c r="J1055" s="33">
        <f>IF(OR(E1055="",F1055=""),"",ROUND(IF(MOD(F1055,1)&gt;=TIME(22,0,0),(MOD(F1055,1)-TIME(22,0,0))*24,IF(MOD(F1055,1)&lt;TIME(6,0,0),(MOD(F1055,1)+1-TIME(22,0,0))*24,0)),2))</f>
        <v/>
      </c>
      <c r="K1055" s="33">
        <f>IF(H1055="","",ROUND(IF(L1055="휴일근로",MIN(H1055,8)*1.5+MAX(0,H1055-8)*2,I1055*1.5)+N(J1055)*0.5,2))</f>
        <v/>
      </c>
      <c r="L1055" s="18" t="n"/>
      <c r="M1055" s="18" t="n"/>
      <c r="N1055" s="22" t="n"/>
    </row>
    <row r="1056">
      <c r="A1056" s="19" t="n"/>
      <c r="B1056" s="25">
        <f>IF(A1056="","",CHOOSE(WEEKDAY(A1056,2),"월","화","수","목","금","토","일"))</f>
        <v/>
      </c>
      <c r="C1056" s="18" t="n"/>
      <c r="D1056" s="25">
        <f>IFERROR(IF(C1056="","",INDEX(직원명부!$B$5:$B$24,MATCH(C1056,직원명부!$A$5:$A$24,0))),"사번 확인")</f>
        <v/>
      </c>
      <c r="E1056" s="34" t="n"/>
      <c r="F1056" s="34" t="n"/>
      <c r="G1056" s="28" t="n"/>
      <c r="H1056" s="33">
        <f>IF(OR(E1056="",F1056=""),"",ROUND(MOD(F1056-E1056,1)*24-N(G1056),2))</f>
        <v/>
      </c>
      <c r="I1056" s="33">
        <f>IF(H1056="","",ROUND(MAX(0,H1056-8),2))</f>
        <v/>
      </c>
      <c r="J1056" s="33">
        <f>IF(OR(E1056="",F1056=""),"",ROUND(IF(MOD(F1056,1)&gt;=TIME(22,0,0),(MOD(F1056,1)-TIME(22,0,0))*24,IF(MOD(F1056,1)&lt;TIME(6,0,0),(MOD(F1056,1)+1-TIME(22,0,0))*24,0)),2))</f>
        <v/>
      </c>
      <c r="K1056" s="33">
        <f>IF(H1056="","",ROUND(IF(L1056="휴일근로",MIN(H1056,8)*1.5+MAX(0,H1056-8)*2,I1056*1.5)+N(J1056)*0.5,2))</f>
        <v/>
      </c>
      <c r="L1056" s="18" t="n"/>
      <c r="M1056" s="18" t="n"/>
      <c r="N1056" s="22" t="n"/>
    </row>
    <row r="1057">
      <c r="A1057" s="19" t="n"/>
      <c r="B1057" s="25">
        <f>IF(A1057="","",CHOOSE(WEEKDAY(A1057,2),"월","화","수","목","금","토","일"))</f>
        <v/>
      </c>
      <c r="C1057" s="18" t="n"/>
      <c r="D1057" s="25">
        <f>IFERROR(IF(C1057="","",INDEX(직원명부!$B$5:$B$24,MATCH(C1057,직원명부!$A$5:$A$24,0))),"사번 확인")</f>
        <v/>
      </c>
      <c r="E1057" s="34" t="n"/>
      <c r="F1057" s="34" t="n"/>
      <c r="G1057" s="28" t="n"/>
      <c r="H1057" s="33">
        <f>IF(OR(E1057="",F1057=""),"",ROUND(MOD(F1057-E1057,1)*24-N(G1057),2))</f>
        <v/>
      </c>
      <c r="I1057" s="33">
        <f>IF(H1057="","",ROUND(MAX(0,H1057-8),2))</f>
        <v/>
      </c>
      <c r="J1057" s="33">
        <f>IF(OR(E1057="",F1057=""),"",ROUND(IF(MOD(F1057,1)&gt;=TIME(22,0,0),(MOD(F1057,1)-TIME(22,0,0))*24,IF(MOD(F1057,1)&lt;TIME(6,0,0),(MOD(F1057,1)+1-TIME(22,0,0))*24,0)),2))</f>
        <v/>
      </c>
      <c r="K1057" s="33">
        <f>IF(H1057="","",ROUND(IF(L1057="휴일근로",MIN(H1057,8)*1.5+MAX(0,H1057-8)*2,I1057*1.5)+N(J1057)*0.5,2))</f>
        <v/>
      </c>
      <c r="L1057" s="18" t="n"/>
      <c r="M1057" s="18" t="n"/>
      <c r="N1057" s="22" t="n"/>
    </row>
    <row r="1058">
      <c r="A1058" s="19" t="n"/>
      <c r="B1058" s="25">
        <f>IF(A1058="","",CHOOSE(WEEKDAY(A1058,2),"월","화","수","목","금","토","일"))</f>
        <v/>
      </c>
      <c r="C1058" s="18" t="n"/>
      <c r="D1058" s="25">
        <f>IFERROR(IF(C1058="","",INDEX(직원명부!$B$5:$B$24,MATCH(C1058,직원명부!$A$5:$A$24,0))),"사번 확인")</f>
        <v/>
      </c>
      <c r="E1058" s="34" t="n"/>
      <c r="F1058" s="34" t="n"/>
      <c r="G1058" s="28" t="n"/>
      <c r="H1058" s="33">
        <f>IF(OR(E1058="",F1058=""),"",ROUND(MOD(F1058-E1058,1)*24-N(G1058),2))</f>
        <v/>
      </c>
      <c r="I1058" s="33">
        <f>IF(H1058="","",ROUND(MAX(0,H1058-8),2))</f>
        <v/>
      </c>
      <c r="J1058" s="33">
        <f>IF(OR(E1058="",F1058=""),"",ROUND(IF(MOD(F1058,1)&gt;=TIME(22,0,0),(MOD(F1058,1)-TIME(22,0,0))*24,IF(MOD(F1058,1)&lt;TIME(6,0,0),(MOD(F1058,1)+1-TIME(22,0,0))*24,0)),2))</f>
        <v/>
      </c>
      <c r="K1058" s="33">
        <f>IF(H1058="","",ROUND(IF(L1058="휴일근로",MIN(H1058,8)*1.5+MAX(0,H1058-8)*2,I1058*1.5)+N(J1058)*0.5,2))</f>
        <v/>
      </c>
      <c r="L1058" s="18" t="n"/>
      <c r="M1058" s="18" t="n"/>
      <c r="N1058" s="22" t="n"/>
    </row>
    <row r="1059">
      <c r="A1059" s="19" t="n"/>
      <c r="B1059" s="25">
        <f>IF(A1059="","",CHOOSE(WEEKDAY(A1059,2),"월","화","수","목","금","토","일"))</f>
        <v/>
      </c>
      <c r="C1059" s="18" t="n"/>
      <c r="D1059" s="25">
        <f>IFERROR(IF(C1059="","",INDEX(직원명부!$B$5:$B$24,MATCH(C1059,직원명부!$A$5:$A$24,0))),"사번 확인")</f>
        <v/>
      </c>
      <c r="E1059" s="34" t="n"/>
      <c r="F1059" s="34" t="n"/>
      <c r="G1059" s="28" t="n"/>
      <c r="H1059" s="33">
        <f>IF(OR(E1059="",F1059=""),"",ROUND(MOD(F1059-E1059,1)*24-N(G1059),2))</f>
        <v/>
      </c>
      <c r="I1059" s="33">
        <f>IF(H1059="","",ROUND(MAX(0,H1059-8),2))</f>
        <v/>
      </c>
      <c r="J1059" s="33">
        <f>IF(OR(E1059="",F1059=""),"",ROUND(IF(MOD(F1059,1)&gt;=TIME(22,0,0),(MOD(F1059,1)-TIME(22,0,0))*24,IF(MOD(F1059,1)&lt;TIME(6,0,0),(MOD(F1059,1)+1-TIME(22,0,0))*24,0)),2))</f>
        <v/>
      </c>
      <c r="K1059" s="33">
        <f>IF(H1059="","",ROUND(IF(L1059="휴일근로",MIN(H1059,8)*1.5+MAX(0,H1059-8)*2,I1059*1.5)+N(J1059)*0.5,2))</f>
        <v/>
      </c>
      <c r="L1059" s="18" t="n"/>
      <c r="M1059" s="18" t="n"/>
      <c r="N1059" s="22" t="n"/>
    </row>
    <row r="1060">
      <c r="A1060" s="19" t="n"/>
      <c r="B1060" s="25">
        <f>IF(A1060="","",CHOOSE(WEEKDAY(A1060,2),"월","화","수","목","금","토","일"))</f>
        <v/>
      </c>
      <c r="C1060" s="18" t="n"/>
      <c r="D1060" s="25">
        <f>IFERROR(IF(C1060="","",INDEX(직원명부!$B$5:$B$24,MATCH(C1060,직원명부!$A$5:$A$24,0))),"사번 확인")</f>
        <v/>
      </c>
      <c r="E1060" s="34" t="n"/>
      <c r="F1060" s="34" t="n"/>
      <c r="G1060" s="28" t="n"/>
      <c r="H1060" s="33">
        <f>IF(OR(E1060="",F1060=""),"",ROUND(MOD(F1060-E1060,1)*24-N(G1060),2))</f>
        <v/>
      </c>
      <c r="I1060" s="33">
        <f>IF(H1060="","",ROUND(MAX(0,H1060-8),2))</f>
        <v/>
      </c>
      <c r="J1060" s="33">
        <f>IF(OR(E1060="",F1060=""),"",ROUND(IF(MOD(F1060,1)&gt;=TIME(22,0,0),(MOD(F1060,1)-TIME(22,0,0))*24,IF(MOD(F1060,1)&lt;TIME(6,0,0),(MOD(F1060,1)+1-TIME(22,0,0))*24,0)),2))</f>
        <v/>
      </c>
      <c r="K1060" s="33">
        <f>IF(H1060="","",ROUND(IF(L1060="휴일근로",MIN(H1060,8)*1.5+MAX(0,H1060-8)*2,I1060*1.5)+N(J1060)*0.5,2))</f>
        <v/>
      </c>
      <c r="L1060" s="18" t="n"/>
      <c r="M1060" s="18" t="n"/>
      <c r="N1060" s="22" t="n"/>
    </row>
    <row r="1061">
      <c r="A1061" s="19" t="n"/>
      <c r="B1061" s="25">
        <f>IF(A1061="","",CHOOSE(WEEKDAY(A1061,2),"월","화","수","목","금","토","일"))</f>
        <v/>
      </c>
      <c r="C1061" s="18" t="n"/>
      <c r="D1061" s="25">
        <f>IFERROR(IF(C1061="","",INDEX(직원명부!$B$5:$B$24,MATCH(C1061,직원명부!$A$5:$A$24,0))),"사번 확인")</f>
        <v/>
      </c>
      <c r="E1061" s="34" t="n"/>
      <c r="F1061" s="34" t="n"/>
      <c r="G1061" s="28" t="n"/>
      <c r="H1061" s="33">
        <f>IF(OR(E1061="",F1061=""),"",ROUND(MOD(F1061-E1061,1)*24-N(G1061),2))</f>
        <v/>
      </c>
      <c r="I1061" s="33">
        <f>IF(H1061="","",ROUND(MAX(0,H1061-8),2))</f>
        <v/>
      </c>
      <c r="J1061" s="33">
        <f>IF(OR(E1061="",F1061=""),"",ROUND(IF(MOD(F1061,1)&gt;=TIME(22,0,0),(MOD(F1061,1)-TIME(22,0,0))*24,IF(MOD(F1061,1)&lt;TIME(6,0,0),(MOD(F1061,1)+1-TIME(22,0,0))*24,0)),2))</f>
        <v/>
      </c>
      <c r="K1061" s="33">
        <f>IF(H1061="","",ROUND(IF(L1061="휴일근로",MIN(H1061,8)*1.5+MAX(0,H1061-8)*2,I1061*1.5)+N(J1061)*0.5,2))</f>
        <v/>
      </c>
      <c r="L1061" s="18" t="n"/>
      <c r="M1061" s="18" t="n"/>
      <c r="N1061" s="22" t="n"/>
    </row>
    <row r="1062">
      <c r="A1062" s="19" t="n"/>
      <c r="B1062" s="25">
        <f>IF(A1062="","",CHOOSE(WEEKDAY(A1062,2),"월","화","수","목","금","토","일"))</f>
        <v/>
      </c>
      <c r="C1062" s="18" t="n"/>
      <c r="D1062" s="25">
        <f>IFERROR(IF(C1062="","",INDEX(직원명부!$B$5:$B$24,MATCH(C1062,직원명부!$A$5:$A$24,0))),"사번 확인")</f>
        <v/>
      </c>
      <c r="E1062" s="34" t="n"/>
      <c r="F1062" s="34" t="n"/>
      <c r="G1062" s="28" t="n"/>
      <c r="H1062" s="33">
        <f>IF(OR(E1062="",F1062=""),"",ROUND(MOD(F1062-E1062,1)*24-N(G1062),2))</f>
        <v/>
      </c>
      <c r="I1062" s="33">
        <f>IF(H1062="","",ROUND(MAX(0,H1062-8),2))</f>
        <v/>
      </c>
      <c r="J1062" s="33">
        <f>IF(OR(E1062="",F1062=""),"",ROUND(IF(MOD(F1062,1)&gt;=TIME(22,0,0),(MOD(F1062,1)-TIME(22,0,0))*24,IF(MOD(F1062,1)&lt;TIME(6,0,0),(MOD(F1062,1)+1-TIME(22,0,0))*24,0)),2))</f>
        <v/>
      </c>
      <c r="K1062" s="33">
        <f>IF(H1062="","",ROUND(IF(L1062="휴일근로",MIN(H1062,8)*1.5+MAX(0,H1062-8)*2,I1062*1.5)+N(J1062)*0.5,2))</f>
        <v/>
      </c>
      <c r="L1062" s="18" t="n"/>
      <c r="M1062" s="18" t="n"/>
      <c r="N1062" s="22" t="n"/>
    </row>
    <row r="1063">
      <c r="A1063" s="19" t="n"/>
      <c r="B1063" s="25">
        <f>IF(A1063="","",CHOOSE(WEEKDAY(A1063,2),"월","화","수","목","금","토","일"))</f>
        <v/>
      </c>
      <c r="C1063" s="18" t="n"/>
      <c r="D1063" s="25">
        <f>IFERROR(IF(C1063="","",INDEX(직원명부!$B$5:$B$24,MATCH(C1063,직원명부!$A$5:$A$24,0))),"사번 확인")</f>
        <v/>
      </c>
      <c r="E1063" s="34" t="n"/>
      <c r="F1063" s="34" t="n"/>
      <c r="G1063" s="28" t="n"/>
      <c r="H1063" s="33">
        <f>IF(OR(E1063="",F1063=""),"",ROUND(MOD(F1063-E1063,1)*24-N(G1063),2))</f>
        <v/>
      </c>
      <c r="I1063" s="33">
        <f>IF(H1063="","",ROUND(MAX(0,H1063-8),2))</f>
        <v/>
      </c>
      <c r="J1063" s="33">
        <f>IF(OR(E1063="",F1063=""),"",ROUND(IF(MOD(F1063,1)&gt;=TIME(22,0,0),(MOD(F1063,1)-TIME(22,0,0))*24,IF(MOD(F1063,1)&lt;TIME(6,0,0),(MOD(F1063,1)+1-TIME(22,0,0))*24,0)),2))</f>
        <v/>
      </c>
      <c r="K1063" s="33">
        <f>IF(H1063="","",ROUND(IF(L1063="휴일근로",MIN(H1063,8)*1.5+MAX(0,H1063-8)*2,I1063*1.5)+N(J1063)*0.5,2))</f>
        <v/>
      </c>
      <c r="L1063" s="18" t="n"/>
      <c r="M1063" s="18" t="n"/>
      <c r="N1063" s="22" t="n"/>
    </row>
    <row r="1064">
      <c r="A1064" s="19" t="n"/>
      <c r="B1064" s="25">
        <f>IF(A1064="","",CHOOSE(WEEKDAY(A1064,2),"월","화","수","목","금","토","일"))</f>
        <v/>
      </c>
      <c r="C1064" s="18" t="n"/>
      <c r="D1064" s="25">
        <f>IFERROR(IF(C1064="","",INDEX(직원명부!$B$5:$B$24,MATCH(C1064,직원명부!$A$5:$A$24,0))),"사번 확인")</f>
        <v/>
      </c>
      <c r="E1064" s="34" t="n"/>
      <c r="F1064" s="34" t="n"/>
      <c r="G1064" s="28" t="n"/>
      <c r="H1064" s="33">
        <f>IF(OR(E1064="",F1064=""),"",ROUND(MOD(F1064-E1064,1)*24-N(G1064),2))</f>
        <v/>
      </c>
      <c r="I1064" s="33">
        <f>IF(H1064="","",ROUND(MAX(0,H1064-8),2))</f>
        <v/>
      </c>
      <c r="J1064" s="33">
        <f>IF(OR(E1064="",F1064=""),"",ROUND(IF(MOD(F1064,1)&gt;=TIME(22,0,0),(MOD(F1064,1)-TIME(22,0,0))*24,IF(MOD(F1064,1)&lt;TIME(6,0,0),(MOD(F1064,1)+1-TIME(22,0,0))*24,0)),2))</f>
        <v/>
      </c>
      <c r="K1064" s="33">
        <f>IF(H1064="","",ROUND(IF(L1064="휴일근로",MIN(H1064,8)*1.5+MAX(0,H1064-8)*2,I1064*1.5)+N(J1064)*0.5,2))</f>
        <v/>
      </c>
      <c r="L1064" s="18" t="n"/>
      <c r="M1064" s="18" t="n"/>
      <c r="N1064" s="22" t="n"/>
    </row>
    <row r="1065">
      <c r="A1065" s="19" t="n"/>
      <c r="B1065" s="25">
        <f>IF(A1065="","",CHOOSE(WEEKDAY(A1065,2),"월","화","수","목","금","토","일"))</f>
        <v/>
      </c>
      <c r="C1065" s="18" t="n"/>
      <c r="D1065" s="25">
        <f>IFERROR(IF(C1065="","",INDEX(직원명부!$B$5:$B$24,MATCH(C1065,직원명부!$A$5:$A$24,0))),"사번 확인")</f>
        <v/>
      </c>
      <c r="E1065" s="34" t="n"/>
      <c r="F1065" s="34" t="n"/>
      <c r="G1065" s="28" t="n"/>
      <c r="H1065" s="33">
        <f>IF(OR(E1065="",F1065=""),"",ROUND(MOD(F1065-E1065,1)*24-N(G1065),2))</f>
        <v/>
      </c>
      <c r="I1065" s="33">
        <f>IF(H1065="","",ROUND(MAX(0,H1065-8),2))</f>
        <v/>
      </c>
      <c r="J1065" s="33">
        <f>IF(OR(E1065="",F1065=""),"",ROUND(IF(MOD(F1065,1)&gt;=TIME(22,0,0),(MOD(F1065,1)-TIME(22,0,0))*24,IF(MOD(F1065,1)&lt;TIME(6,0,0),(MOD(F1065,1)+1-TIME(22,0,0))*24,0)),2))</f>
        <v/>
      </c>
      <c r="K1065" s="33">
        <f>IF(H1065="","",ROUND(IF(L1065="휴일근로",MIN(H1065,8)*1.5+MAX(0,H1065-8)*2,I1065*1.5)+N(J1065)*0.5,2))</f>
        <v/>
      </c>
      <c r="L1065" s="18" t="n"/>
      <c r="M1065" s="18" t="n"/>
      <c r="N1065" s="22" t="n"/>
    </row>
    <row r="1066">
      <c r="A1066" s="19" t="n"/>
      <c r="B1066" s="25">
        <f>IF(A1066="","",CHOOSE(WEEKDAY(A1066,2),"월","화","수","목","금","토","일"))</f>
        <v/>
      </c>
      <c r="C1066" s="18" t="n"/>
      <c r="D1066" s="25">
        <f>IFERROR(IF(C1066="","",INDEX(직원명부!$B$5:$B$24,MATCH(C1066,직원명부!$A$5:$A$24,0))),"사번 확인")</f>
        <v/>
      </c>
      <c r="E1066" s="34" t="n"/>
      <c r="F1066" s="34" t="n"/>
      <c r="G1066" s="28" t="n"/>
      <c r="H1066" s="33">
        <f>IF(OR(E1066="",F1066=""),"",ROUND(MOD(F1066-E1066,1)*24-N(G1066),2))</f>
        <v/>
      </c>
      <c r="I1066" s="33">
        <f>IF(H1066="","",ROUND(MAX(0,H1066-8),2))</f>
        <v/>
      </c>
      <c r="J1066" s="33">
        <f>IF(OR(E1066="",F1066=""),"",ROUND(IF(MOD(F1066,1)&gt;=TIME(22,0,0),(MOD(F1066,1)-TIME(22,0,0))*24,IF(MOD(F1066,1)&lt;TIME(6,0,0),(MOD(F1066,1)+1-TIME(22,0,0))*24,0)),2))</f>
        <v/>
      </c>
      <c r="K1066" s="33">
        <f>IF(H1066="","",ROUND(IF(L1066="휴일근로",MIN(H1066,8)*1.5+MAX(0,H1066-8)*2,I1066*1.5)+N(J1066)*0.5,2))</f>
        <v/>
      </c>
      <c r="L1066" s="18" t="n"/>
      <c r="M1066" s="18" t="n"/>
      <c r="N1066" s="22" t="n"/>
    </row>
    <row r="1067">
      <c r="A1067" s="19" t="n"/>
      <c r="B1067" s="25">
        <f>IF(A1067="","",CHOOSE(WEEKDAY(A1067,2),"월","화","수","목","금","토","일"))</f>
        <v/>
      </c>
      <c r="C1067" s="18" t="n"/>
      <c r="D1067" s="25">
        <f>IFERROR(IF(C1067="","",INDEX(직원명부!$B$5:$B$24,MATCH(C1067,직원명부!$A$5:$A$24,0))),"사번 확인")</f>
        <v/>
      </c>
      <c r="E1067" s="34" t="n"/>
      <c r="F1067" s="34" t="n"/>
      <c r="G1067" s="28" t="n"/>
      <c r="H1067" s="33">
        <f>IF(OR(E1067="",F1067=""),"",ROUND(MOD(F1067-E1067,1)*24-N(G1067),2))</f>
        <v/>
      </c>
      <c r="I1067" s="33">
        <f>IF(H1067="","",ROUND(MAX(0,H1067-8),2))</f>
        <v/>
      </c>
      <c r="J1067" s="33">
        <f>IF(OR(E1067="",F1067=""),"",ROUND(IF(MOD(F1067,1)&gt;=TIME(22,0,0),(MOD(F1067,1)-TIME(22,0,0))*24,IF(MOD(F1067,1)&lt;TIME(6,0,0),(MOD(F1067,1)+1-TIME(22,0,0))*24,0)),2))</f>
        <v/>
      </c>
      <c r="K1067" s="33">
        <f>IF(H1067="","",ROUND(IF(L1067="휴일근로",MIN(H1067,8)*1.5+MAX(0,H1067-8)*2,I1067*1.5)+N(J1067)*0.5,2))</f>
        <v/>
      </c>
      <c r="L1067" s="18" t="n"/>
      <c r="M1067" s="18" t="n"/>
      <c r="N1067" s="22" t="n"/>
    </row>
    <row r="1068">
      <c r="A1068" s="19" t="n"/>
      <c r="B1068" s="25">
        <f>IF(A1068="","",CHOOSE(WEEKDAY(A1068,2),"월","화","수","목","금","토","일"))</f>
        <v/>
      </c>
      <c r="C1068" s="18" t="n"/>
      <c r="D1068" s="25">
        <f>IFERROR(IF(C1068="","",INDEX(직원명부!$B$5:$B$24,MATCH(C1068,직원명부!$A$5:$A$24,0))),"사번 확인")</f>
        <v/>
      </c>
      <c r="E1068" s="34" t="n"/>
      <c r="F1068" s="34" t="n"/>
      <c r="G1068" s="28" t="n"/>
      <c r="H1068" s="33">
        <f>IF(OR(E1068="",F1068=""),"",ROUND(MOD(F1068-E1068,1)*24-N(G1068),2))</f>
        <v/>
      </c>
      <c r="I1068" s="33">
        <f>IF(H1068="","",ROUND(MAX(0,H1068-8),2))</f>
        <v/>
      </c>
      <c r="J1068" s="33">
        <f>IF(OR(E1068="",F1068=""),"",ROUND(IF(MOD(F1068,1)&gt;=TIME(22,0,0),(MOD(F1068,1)-TIME(22,0,0))*24,IF(MOD(F1068,1)&lt;TIME(6,0,0),(MOD(F1068,1)+1-TIME(22,0,0))*24,0)),2))</f>
        <v/>
      </c>
      <c r="K1068" s="33">
        <f>IF(H1068="","",ROUND(IF(L1068="휴일근로",MIN(H1068,8)*1.5+MAX(0,H1068-8)*2,I1068*1.5)+N(J1068)*0.5,2))</f>
        <v/>
      </c>
      <c r="L1068" s="18" t="n"/>
      <c r="M1068" s="18" t="n"/>
      <c r="N1068" s="22" t="n"/>
    </row>
    <row r="1069">
      <c r="A1069" s="19" t="n"/>
      <c r="B1069" s="25">
        <f>IF(A1069="","",CHOOSE(WEEKDAY(A1069,2),"월","화","수","목","금","토","일"))</f>
        <v/>
      </c>
      <c r="C1069" s="18" t="n"/>
      <c r="D1069" s="25">
        <f>IFERROR(IF(C1069="","",INDEX(직원명부!$B$5:$B$24,MATCH(C1069,직원명부!$A$5:$A$24,0))),"사번 확인")</f>
        <v/>
      </c>
      <c r="E1069" s="34" t="n"/>
      <c r="F1069" s="34" t="n"/>
      <c r="G1069" s="28" t="n"/>
      <c r="H1069" s="33">
        <f>IF(OR(E1069="",F1069=""),"",ROUND(MOD(F1069-E1069,1)*24-N(G1069),2))</f>
        <v/>
      </c>
      <c r="I1069" s="33">
        <f>IF(H1069="","",ROUND(MAX(0,H1069-8),2))</f>
        <v/>
      </c>
      <c r="J1069" s="33">
        <f>IF(OR(E1069="",F1069=""),"",ROUND(IF(MOD(F1069,1)&gt;=TIME(22,0,0),(MOD(F1069,1)-TIME(22,0,0))*24,IF(MOD(F1069,1)&lt;TIME(6,0,0),(MOD(F1069,1)+1-TIME(22,0,0))*24,0)),2))</f>
        <v/>
      </c>
      <c r="K1069" s="33">
        <f>IF(H1069="","",ROUND(IF(L1069="휴일근로",MIN(H1069,8)*1.5+MAX(0,H1069-8)*2,I1069*1.5)+N(J1069)*0.5,2))</f>
        <v/>
      </c>
      <c r="L1069" s="18" t="n"/>
      <c r="M1069" s="18" t="n"/>
      <c r="N1069" s="22" t="n"/>
    </row>
    <row r="1070">
      <c r="A1070" s="19" t="n"/>
      <c r="B1070" s="25">
        <f>IF(A1070="","",CHOOSE(WEEKDAY(A1070,2),"월","화","수","목","금","토","일"))</f>
        <v/>
      </c>
      <c r="C1070" s="18" t="n"/>
      <c r="D1070" s="25">
        <f>IFERROR(IF(C1070="","",INDEX(직원명부!$B$5:$B$24,MATCH(C1070,직원명부!$A$5:$A$24,0))),"사번 확인")</f>
        <v/>
      </c>
      <c r="E1070" s="34" t="n"/>
      <c r="F1070" s="34" t="n"/>
      <c r="G1070" s="28" t="n"/>
      <c r="H1070" s="33">
        <f>IF(OR(E1070="",F1070=""),"",ROUND(MOD(F1070-E1070,1)*24-N(G1070),2))</f>
        <v/>
      </c>
      <c r="I1070" s="33">
        <f>IF(H1070="","",ROUND(MAX(0,H1070-8),2))</f>
        <v/>
      </c>
      <c r="J1070" s="33">
        <f>IF(OR(E1070="",F1070=""),"",ROUND(IF(MOD(F1070,1)&gt;=TIME(22,0,0),(MOD(F1070,1)-TIME(22,0,0))*24,IF(MOD(F1070,1)&lt;TIME(6,0,0),(MOD(F1070,1)+1-TIME(22,0,0))*24,0)),2))</f>
        <v/>
      </c>
      <c r="K1070" s="33">
        <f>IF(H1070="","",ROUND(IF(L1070="휴일근로",MIN(H1070,8)*1.5+MAX(0,H1070-8)*2,I1070*1.5)+N(J1070)*0.5,2))</f>
        <v/>
      </c>
      <c r="L1070" s="18" t="n"/>
      <c r="M1070" s="18" t="n"/>
      <c r="N1070" s="22" t="n"/>
    </row>
    <row r="1071">
      <c r="A1071" s="19" t="n"/>
      <c r="B1071" s="25">
        <f>IF(A1071="","",CHOOSE(WEEKDAY(A1071,2),"월","화","수","목","금","토","일"))</f>
        <v/>
      </c>
      <c r="C1071" s="18" t="n"/>
      <c r="D1071" s="25">
        <f>IFERROR(IF(C1071="","",INDEX(직원명부!$B$5:$B$24,MATCH(C1071,직원명부!$A$5:$A$24,0))),"사번 확인")</f>
        <v/>
      </c>
      <c r="E1071" s="34" t="n"/>
      <c r="F1071" s="34" t="n"/>
      <c r="G1071" s="28" t="n"/>
      <c r="H1071" s="33">
        <f>IF(OR(E1071="",F1071=""),"",ROUND(MOD(F1071-E1071,1)*24-N(G1071),2))</f>
        <v/>
      </c>
      <c r="I1071" s="33">
        <f>IF(H1071="","",ROUND(MAX(0,H1071-8),2))</f>
        <v/>
      </c>
      <c r="J1071" s="33">
        <f>IF(OR(E1071="",F1071=""),"",ROUND(IF(MOD(F1071,1)&gt;=TIME(22,0,0),(MOD(F1071,1)-TIME(22,0,0))*24,IF(MOD(F1071,1)&lt;TIME(6,0,0),(MOD(F1071,1)+1-TIME(22,0,0))*24,0)),2))</f>
        <v/>
      </c>
      <c r="K1071" s="33">
        <f>IF(H1071="","",ROUND(IF(L1071="휴일근로",MIN(H1071,8)*1.5+MAX(0,H1071-8)*2,I1071*1.5)+N(J1071)*0.5,2))</f>
        <v/>
      </c>
      <c r="L1071" s="18" t="n"/>
      <c r="M1071" s="18" t="n"/>
      <c r="N1071" s="22" t="n"/>
    </row>
    <row r="1072">
      <c r="A1072" s="19" t="n"/>
      <c r="B1072" s="25">
        <f>IF(A1072="","",CHOOSE(WEEKDAY(A1072,2),"월","화","수","목","금","토","일"))</f>
        <v/>
      </c>
      <c r="C1072" s="18" t="n"/>
      <c r="D1072" s="25">
        <f>IFERROR(IF(C1072="","",INDEX(직원명부!$B$5:$B$24,MATCH(C1072,직원명부!$A$5:$A$24,0))),"사번 확인")</f>
        <v/>
      </c>
      <c r="E1072" s="34" t="n"/>
      <c r="F1072" s="34" t="n"/>
      <c r="G1072" s="28" t="n"/>
      <c r="H1072" s="33">
        <f>IF(OR(E1072="",F1072=""),"",ROUND(MOD(F1072-E1072,1)*24-N(G1072),2))</f>
        <v/>
      </c>
      <c r="I1072" s="33">
        <f>IF(H1072="","",ROUND(MAX(0,H1072-8),2))</f>
        <v/>
      </c>
      <c r="J1072" s="33">
        <f>IF(OR(E1072="",F1072=""),"",ROUND(IF(MOD(F1072,1)&gt;=TIME(22,0,0),(MOD(F1072,1)-TIME(22,0,0))*24,IF(MOD(F1072,1)&lt;TIME(6,0,0),(MOD(F1072,1)+1-TIME(22,0,0))*24,0)),2))</f>
        <v/>
      </c>
      <c r="K1072" s="33">
        <f>IF(H1072="","",ROUND(IF(L1072="휴일근로",MIN(H1072,8)*1.5+MAX(0,H1072-8)*2,I1072*1.5)+N(J1072)*0.5,2))</f>
        <v/>
      </c>
      <c r="L1072" s="18" t="n"/>
      <c r="M1072" s="18" t="n"/>
      <c r="N1072" s="22" t="n"/>
    </row>
    <row r="1073">
      <c r="A1073" s="19" t="n"/>
      <c r="B1073" s="25">
        <f>IF(A1073="","",CHOOSE(WEEKDAY(A1073,2),"월","화","수","목","금","토","일"))</f>
        <v/>
      </c>
      <c r="C1073" s="18" t="n"/>
      <c r="D1073" s="25">
        <f>IFERROR(IF(C1073="","",INDEX(직원명부!$B$5:$B$24,MATCH(C1073,직원명부!$A$5:$A$24,0))),"사번 확인")</f>
        <v/>
      </c>
      <c r="E1073" s="34" t="n"/>
      <c r="F1073" s="34" t="n"/>
      <c r="G1073" s="28" t="n"/>
      <c r="H1073" s="33">
        <f>IF(OR(E1073="",F1073=""),"",ROUND(MOD(F1073-E1073,1)*24-N(G1073),2))</f>
        <v/>
      </c>
      <c r="I1073" s="33">
        <f>IF(H1073="","",ROUND(MAX(0,H1073-8),2))</f>
        <v/>
      </c>
      <c r="J1073" s="33">
        <f>IF(OR(E1073="",F1073=""),"",ROUND(IF(MOD(F1073,1)&gt;=TIME(22,0,0),(MOD(F1073,1)-TIME(22,0,0))*24,IF(MOD(F1073,1)&lt;TIME(6,0,0),(MOD(F1073,1)+1-TIME(22,0,0))*24,0)),2))</f>
        <v/>
      </c>
      <c r="K1073" s="33">
        <f>IF(H1073="","",ROUND(IF(L1073="휴일근로",MIN(H1073,8)*1.5+MAX(0,H1073-8)*2,I1073*1.5)+N(J1073)*0.5,2))</f>
        <v/>
      </c>
      <c r="L1073" s="18" t="n"/>
      <c r="M1073" s="18" t="n"/>
      <c r="N1073" s="22" t="n"/>
    </row>
    <row r="1074">
      <c r="A1074" s="19" t="n"/>
      <c r="B1074" s="25">
        <f>IF(A1074="","",CHOOSE(WEEKDAY(A1074,2),"월","화","수","목","금","토","일"))</f>
        <v/>
      </c>
      <c r="C1074" s="18" t="n"/>
      <c r="D1074" s="25">
        <f>IFERROR(IF(C1074="","",INDEX(직원명부!$B$5:$B$24,MATCH(C1074,직원명부!$A$5:$A$24,0))),"사번 확인")</f>
        <v/>
      </c>
      <c r="E1074" s="34" t="n"/>
      <c r="F1074" s="34" t="n"/>
      <c r="G1074" s="28" t="n"/>
      <c r="H1074" s="33">
        <f>IF(OR(E1074="",F1074=""),"",ROUND(MOD(F1074-E1074,1)*24-N(G1074),2))</f>
        <v/>
      </c>
      <c r="I1074" s="33">
        <f>IF(H1074="","",ROUND(MAX(0,H1074-8),2))</f>
        <v/>
      </c>
      <c r="J1074" s="33">
        <f>IF(OR(E1074="",F1074=""),"",ROUND(IF(MOD(F1074,1)&gt;=TIME(22,0,0),(MOD(F1074,1)-TIME(22,0,0))*24,IF(MOD(F1074,1)&lt;TIME(6,0,0),(MOD(F1074,1)+1-TIME(22,0,0))*24,0)),2))</f>
        <v/>
      </c>
      <c r="K1074" s="33">
        <f>IF(H1074="","",ROUND(IF(L1074="휴일근로",MIN(H1074,8)*1.5+MAX(0,H1074-8)*2,I1074*1.5)+N(J1074)*0.5,2))</f>
        <v/>
      </c>
      <c r="L1074" s="18" t="n"/>
      <c r="M1074" s="18" t="n"/>
      <c r="N1074" s="22" t="n"/>
    </row>
    <row r="1075">
      <c r="A1075" s="19" t="n"/>
      <c r="B1075" s="25">
        <f>IF(A1075="","",CHOOSE(WEEKDAY(A1075,2),"월","화","수","목","금","토","일"))</f>
        <v/>
      </c>
      <c r="C1075" s="18" t="n"/>
      <c r="D1075" s="25">
        <f>IFERROR(IF(C1075="","",INDEX(직원명부!$B$5:$B$24,MATCH(C1075,직원명부!$A$5:$A$24,0))),"사번 확인")</f>
        <v/>
      </c>
      <c r="E1075" s="34" t="n"/>
      <c r="F1075" s="34" t="n"/>
      <c r="G1075" s="28" t="n"/>
      <c r="H1075" s="33">
        <f>IF(OR(E1075="",F1075=""),"",ROUND(MOD(F1075-E1075,1)*24-N(G1075),2))</f>
        <v/>
      </c>
      <c r="I1075" s="33">
        <f>IF(H1075="","",ROUND(MAX(0,H1075-8),2))</f>
        <v/>
      </c>
      <c r="J1075" s="33">
        <f>IF(OR(E1075="",F1075=""),"",ROUND(IF(MOD(F1075,1)&gt;=TIME(22,0,0),(MOD(F1075,1)-TIME(22,0,0))*24,IF(MOD(F1075,1)&lt;TIME(6,0,0),(MOD(F1075,1)+1-TIME(22,0,0))*24,0)),2))</f>
        <v/>
      </c>
      <c r="K1075" s="33">
        <f>IF(H1075="","",ROUND(IF(L1075="휴일근로",MIN(H1075,8)*1.5+MAX(0,H1075-8)*2,I1075*1.5)+N(J1075)*0.5,2))</f>
        <v/>
      </c>
      <c r="L1075" s="18" t="n"/>
      <c r="M1075" s="18" t="n"/>
      <c r="N1075" s="22" t="n"/>
    </row>
    <row r="1076">
      <c r="A1076" s="19" t="n"/>
      <c r="B1076" s="25">
        <f>IF(A1076="","",CHOOSE(WEEKDAY(A1076,2),"월","화","수","목","금","토","일"))</f>
        <v/>
      </c>
      <c r="C1076" s="18" t="n"/>
      <c r="D1076" s="25">
        <f>IFERROR(IF(C1076="","",INDEX(직원명부!$B$5:$B$24,MATCH(C1076,직원명부!$A$5:$A$24,0))),"사번 확인")</f>
        <v/>
      </c>
      <c r="E1076" s="34" t="n"/>
      <c r="F1076" s="34" t="n"/>
      <c r="G1076" s="28" t="n"/>
      <c r="H1076" s="33">
        <f>IF(OR(E1076="",F1076=""),"",ROUND(MOD(F1076-E1076,1)*24-N(G1076),2))</f>
        <v/>
      </c>
      <c r="I1076" s="33">
        <f>IF(H1076="","",ROUND(MAX(0,H1076-8),2))</f>
        <v/>
      </c>
      <c r="J1076" s="33">
        <f>IF(OR(E1076="",F1076=""),"",ROUND(IF(MOD(F1076,1)&gt;=TIME(22,0,0),(MOD(F1076,1)-TIME(22,0,0))*24,IF(MOD(F1076,1)&lt;TIME(6,0,0),(MOD(F1076,1)+1-TIME(22,0,0))*24,0)),2))</f>
        <v/>
      </c>
      <c r="K1076" s="33">
        <f>IF(H1076="","",ROUND(IF(L1076="휴일근로",MIN(H1076,8)*1.5+MAX(0,H1076-8)*2,I1076*1.5)+N(J1076)*0.5,2))</f>
        <v/>
      </c>
      <c r="L1076" s="18" t="n"/>
      <c r="M1076" s="18" t="n"/>
      <c r="N1076" s="22" t="n"/>
    </row>
    <row r="1077">
      <c r="A1077" s="19" t="n"/>
      <c r="B1077" s="25">
        <f>IF(A1077="","",CHOOSE(WEEKDAY(A1077,2),"월","화","수","목","금","토","일"))</f>
        <v/>
      </c>
      <c r="C1077" s="18" t="n"/>
      <c r="D1077" s="25">
        <f>IFERROR(IF(C1077="","",INDEX(직원명부!$B$5:$B$24,MATCH(C1077,직원명부!$A$5:$A$24,0))),"사번 확인")</f>
        <v/>
      </c>
      <c r="E1077" s="34" t="n"/>
      <c r="F1077" s="34" t="n"/>
      <c r="G1077" s="28" t="n"/>
      <c r="H1077" s="33">
        <f>IF(OR(E1077="",F1077=""),"",ROUND(MOD(F1077-E1077,1)*24-N(G1077),2))</f>
        <v/>
      </c>
      <c r="I1077" s="33">
        <f>IF(H1077="","",ROUND(MAX(0,H1077-8),2))</f>
        <v/>
      </c>
      <c r="J1077" s="33">
        <f>IF(OR(E1077="",F1077=""),"",ROUND(IF(MOD(F1077,1)&gt;=TIME(22,0,0),(MOD(F1077,1)-TIME(22,0,0))*24,IF(MOD(F1077,1)&lt;TIME(6,0,0),(MOD(F1077,1)+1-TIME(22,0,0))*24,0)),2))</f>
        <v/>
      </c>
      <c r="K1077" s="33">
        <f>IF(H1077="","",ROUND(IF(L1077="휴일근로",MIN(H1077,8)*1.5+MAX(0,H1077-8)*2,I1077*1.5)+N(J1077)*0.5,2))</f>
        <v/>
      </c>
      <c r="L1077" s="18" t="n"/>
      <c r="M1077" s="18" t="n"/>
      <c r="N1077" s="22" t="n"/>
    </row>
    <row r="1078">
      <c r="A1078" s="19" t="n"/>
      <c r="B1078" s="25">
        <f>IF(A1078="","",CHOOSE(WEEKDAY(A1078,2),"월","화","수","목","금","토","일"))</f>
        <v/>
      </c>
      <c r="C1078" s="18" t="n"/>
      <c r="D1078" s="25">
        <f>IFERROR(IF(C1078="","",INDEX(직원명부!$B$5:$B$24,MATCH(C1078,직원명부!$A$5:$A$24,0))),"사번 확인")</f>
        <v/>
      </c>
      <c r="E1078" s="34" t="n"/>
      <c r="F1078" s="34" t="n"/>
      <c r="G1078" s="28" t="n"/>
      <c r="H1078" s="33">
        <f>IF(OR(E1078="",F1078=""),"",ROUND(MOD(F1078-E1078,1)*24-N(G1078),2))</f>
        <v/>
      </c>
      <c r="I1078" s="33">
        <f>IF(H1078="","",ROUND(MAX(0,H1078-8),2))</f>
        <v/>
      </c>
      <c r="J1078" s="33">
        <f>IF(OR(E1078="",F1078=""),"",ROUND(IF(MOD(F1078,1)&gt;=TIME(22,0,0),(MOD(F1078,1)-TIME(22,0,0))*24,IF(MOD(F1078,1)&lt;TIME(6,0,0),(MOD(F1078,1)+1-TIME(22,0,0))*24,0)),2))</f>
        <v/>
      </c>
      <c r="K1078" s="33">
        <f>IF(H1078="","",ROUND(IF(L1078="휴일근로",MIN(H1078,8)*1.5+MAX(0,H1078-8)*2,I1078*1.5)+N(J1078)*0.5,2))</f>
        <v/>
      </c>
      <c r="L1078" s="18" t="n"/>
      <c r="M1078" s="18" t="n"/>
      <c r="N1078" s="22" t="n"/>
    </row>
    <row r="1079">
      <c r="A1079" s="19" t="n"/>
      <c r="B1079" s="25">
        <f>IF(A1079="","",CHOOSE(WEEKDAY(A1079,2),"월","화","수","목","금","토","일"))</f>
        <v/>
      </c>
      <c r="C1079" s="18" t="n"/>
      <c r="D1079" s="25">
        <f>IFERROR(IF(C1079="","",INDEX(직원명부!$B$5:$B$24,MATCH(C1079,직원명부!$A$5:$A$24,0))),"사번 확인")</f>
        <v/>
      </c>
      <c r="E1079" s="34" t="n"/>
      <c r="F1079" s="34" t="n"/>
      <c r="G1079" s="28" t="n"/>
      <c r="H1079" s="33">
        <f>IF(OR(E1079="",F1079=""),"",ROUND(MOD(F1079-E1079,1)*24-N(G1079),2))</f>
        <v/>
      </c>
      <c r="I1079" s="33">
        <f>IF(H1079="","",ROUND(MAX(0,H1079-8),2))</f>
        <v/>
      </c>
      <c r="J1079" s="33">
        <f>IF(OR(E1079="",F1079=""),"",ROUND(IF(MOD(F1079,1)&gt;=TIME(22,0,0),(MOD(F1079,1)-TIME(22,0,0))*24,IF(MOD(F1079,1)&lt;TIME(6,0,0),(MOD(F1079,1)+1-TIME(22,0,0))*24,0)),2))</f>
        <v/>
      </c>
      <c r="K1079" s="33">
        <f>IF(H1079="","",ROUND(IF(L1079="휴일근로",MIN(H1079,8)*1.5+MAX(0,H1079-8)*2,I1079*1.5)+N(J1079)*0.5,2))</f>
        <v/>
      </c>
      <c r="L1079" s="18" t="n"/>
      <c r="M1079" s="18" t="n"/>
      <c r="N1079" s="22" t="n"/>
    </row>
    <row r="1080">
      <c r="A1080" s="19" t="n"/>
      <c r="B1080" s="25">
        <f>IF(A1080="","",CHOOSE(WEEKDAY(A1080,2),"월","화","수","목","금","토","일"))</f>
        <v/>
      </c>
      <c r="C1080" s="18" t="n"/>
      <c r="D1080" s="25">
        <f>IFERROR(IF(C1080="","",INDEX(직원명부!$B$5:$B$24,MATCH(C1080,직원명부!$A$5:$A$24,0))),"사번 확인")</f>
        <v/>
      </c>
      <c r="E1080" s="34" t="n"/>
      <c r="F1080" s="34" t="n"/>
      <c r="G1080" s="28" t="n"/>
      <c r="H1080" s="33">
        <f>IF(OR(E1080="",F1080=""),"",ROUND(MOD(F1080-E1080,1)*24-N(G1080),2))</f>
        <v/>
      </c>
      <c r="I1080" s="33">
        <f>IF(H1080="","",ROUND(MAX(0,H1080-8),2))</f>
        <v/>
      </c>
      <c r="J1080" s="33">
        <f>IF(OR(E1080="",F1080=""),"",ROUND(IF(MOD(F1080,1)&gt;=TIME(22,0,0),(MOD(F1080,1)-TIME(22,0,0))*24,IF(MOD(F1080,1)&lt;TIME(6,0,0),(MOD(F1080,1)+1-TIME(22,0,0))*24,0)),2))</f>
        <v/>
      </c>
      <c r="K1080" s="33">
        <f>IF(H1080="","",ROUND(IF(L1080="휴일근로",MIN(H1080,8)*1.5+MAX(0,H1080-8)*2,I1080*1.5)+N(J1080)*0.5,2))</f>
        <v/>
      </c>
      <c r="L1080" s="18" t="n"/>
      <c r="M1080" s="18" t="n"/>
      <c r="N1080" s="22" t="n"/>
    </row>
    <row r="1081">
      <c r="A1081" s="19" t="n"/>
      <c r="B1081" s="25">
        <f>IF(A1081="","",CHOOSE(WEEKDAY(A1081,2),"월","화","수","목","금","토","일"))</f>
        <v/>
      </c>
      <c r="C1081" s="18" t="n"/>
      <c r="D1081" s="25">
        <f>IFERROR(IF(C1081="","",INDEX(직원명부!$B$5:$B$24,MATCH(C1081,직원명부!$A$5:$A$24,0))),"사번 확인")</f>
        <v/>
      </c>
      <c r="E1081" s="34" t="n"/>
      <c r="F1081" s="34" t="n"/>
      <c r="G1081" s="28" t="n"/>
      <c r="H1081" s="33">
        <f>IF(OR(E1081="",F1081=""),"",ROUND(MOD(F1081-E1081,1)*24-N(G1081),2))</f>
        <v/>
      </c>
      <c r="I1081" s="33">
        <f>IF(H1081="","",ROUND(MAX(0,H1081-8),2))</f>
        <v/>
      </c>
      <c r="J1081" s="33">
        <f>IF(OR(E1081="",F1081=""),"",ROUND(IF(MOD(F1081,1)&gt;=TIME(22,0,0),(MOD(F1081,1)-TIME(22,0,0))*24,IF(MOD(F1081,1)&lt;TIME(6,0,0),(MOD(F1081,1)+1-TIME(22,0,0))*24,0)),2))</f>
        <v/>
      </c>
      <c r="K1081" s="33">
        <f>IF(H1081="","",ROUND(IF(L1081="휴일근로",MIN(H1081,8)*1.5+MAX(0,H1081-8)*2,I1081*1.5)+N(J1081)*0.5,2))</f>
        <v/>
      </c>
      <c r="L1081" s="18" t="n"/>
      <c r="M1081" s="18" t="n"/>
      <c r="N1081" s="22" t="n"/>
    </row>
    <row r="1082">
      <c r="A1082" s="19" t="n"/>
      <c r="B1082" s="25">
        <f>IF(A1082="","",CHOOSE(WEEKDAY(A1082,2),"월","화","수","목","금","토","일"))</f>
        <v/>
      </c>
      <c r="C1082" s="18" t="n"/>
      <c r="D1082" s="25">
        <f>IFERROR(IF(C1082="","",INDEX(직원명부!$B$5:$B$24,MATCH(C1082,직원명부!$A$5:$A$24,0))),"사번 확인")</f>
        <v/>
      </c>
      <c r="E1082" s="34" t="n"/>
      <c r="F1082" s="34" t="n"/>
      <c r="G1082" s="28" t="n"/>
      <c r="H1082" s="33">
        <f>IF(OR(E1082="",F1082=""),"",ROUND(MOD(F1082-E1082,1)*24-N(G1082),2))</f>
        <v/>
      </c>
      <c r="I1082" s="33">
        <f>IF(H1082="","",ROUND(MAX(0,H1082-8),2))</f>
        <v/>
      </c>
      <c r="J1082" s="33">
        <f>IF(OR(E1082="",F1082=""),"",ROUND(IF(MOD(F1082,1)&gt;=TIME(22,0,0),(MOD(F1082,1)-TIME(22,0,0))*24,IF(MOD(F1082,1)&lt;TIME(6,0,0),(MOD(F1082,1)+1-TIME(22,0,0))*24,0)),2))</f>
        <v/>
      </c>
      <c r="K1082" s="33">
        <f>IF(H1082="","",ROUND(IF(L1082="휴일근로",MIN(H1082,8)*1.5+MAX(0,H1082-8)*2,I1082*1.5)+N(J1082)*0.5,2))</f>
        <v/>
      </c>
      <c r="L1082" s="18" t="n"/>
      <c r="M1082" s="18" t="n"/>
      <c r="N1082" s="22" t="n"/>
    </row>
    <row r="1083">
      <c r="A1083" s="19" t="n"/>
      <c r="B1083" s="25">
        <f>IF(A1083="","",CHOOSE(WEEKDAY(A1083,2),"월","화","수","목","금","토","일"))</f>
        <v/>
      </c>
      <c r="C1083" s="18" t="n"/>
      <c r="D1083" s="25">
        <f>IFERROR(IF(C1083="","",INDEX(직원명부!$B$5:$B$24,MATCH(C1083,직원명부!$A$5:$A$24,0))),"사번 확인")</f>
        <v/>
      </c>
      <c r="E1083" s="34" t="n"/>
      <c r="F1083" s="34" t="n"/>
      <c r="G1083" s="28" t="n"/>
      <c r="H1083" s="33">
        <f>IF(OR(E1083="",F1083=""),"",ROUND(MOD(F1083-E1083,1)*24-N(G1083),2))</f>
        <v/>
      </c>
      <c r="I1083" s="33">
        <f>IF(H1083="","",ROUND(MAX(0,H1083-8),2))</f>
        <v/>
      </c>
      <c r="J1083" s="33">
        <f>IF(OR(E1083="",F1083=""),"",ROUND(IF(MOD(F1083,1)&gt;=TIME(22,0,0),(MOD(F1083,1)-TIME(22,0,0))*24,IF(MOD(F1083,1)&lt;TIME(6,0,0),(MOD(F1083,1)+1-TIME(22,0,0))*24,0)),2))</f>
        <v/>
      </c>
      <c r="K1083" s="33">
        <f>IF(H1083="","",ROUND(IF(L1083="휴일근로",MIN(H1083,8)*1.5+MAX(0,H1083-8)*2,I1083*1.5)+N(J1083)*0.5,2))</f>
        <v/>
      </c>
      <c r="L1083" s="18" t="n"/>
      <c r="M1083" s="18" t="n"/>
      <c r="N1083" s="22" t="n"/>
    </row>
    <row r="1084">
      <c r="A1084" s="19" t="n"/>
      <c r="B1084" s="25">
        <f>IF(A1084="","",CHOOSE(WEEKDAY(A1084,2),"월","화","수","목","금","토","일"))</f>
        <v/>
      </c>
      <c r="C1084" s="18" t="n"/>
      <c r="D1084" s="25">
        <f>IFERROR(IF(C1084="","",INDEX(직원명부!$B$5:$B$24,MATCH(C1084,직원명부!$A$5:$A$24,0))),"사번 확인")</f>
        <v/>
      </c>
      <c r="E1084" s="34" t="n"/>
      <c r="F1084" s="34" t="n"/>
      <c r="G1084" s="28" t="n"/>
      <c r="H1084" s="33">
        <f>IF(OR(E1084="",F1084=""),"",ROUND(MOD(F1084-E1084,1)*24-N(G1084),2))</f>
        <v/>
      </c>
      <c r="I1084" s="33">
        <f>IF(H1084="","",ROUND(MAX(0,H1084-8),2))</f>
        <v/>
      </c>
      <c r="J1084" s="33">
        <f>IF(OR(E1084="",F1084=""),"",ROUND(IF(MOD(F1084,1)&gt;=TIME(22,0,0),(MOD(F1084,1)-TIME(22,0,0))*24,IF(MOD(F1084,1)&lt;TIME(6,0,0),(MOD(F1084,1)+1-TIME(22,0,0))*24,0)),2))</f>
        <v/>
      </c>
      <c r="K1084" s="33">
        <f>IF(H1084="","",ROUND(IF(L1084="휴일근로",MIN(H1084,8)*1.5+MAX(0,H1084-8)*2,I1084*1.5)+N(J1084)*0.5,2))</f>
        <v/>
      </c>
      <c r="L1084" s="18" t="n"/>
      <c r="M1084" s="18" t="n"/>
      <c r="N1084" s="22" t="n"/>
    </row>
    <row r="1085">
      <c r="A1085" s="19" t="n"/>
      <c r="B1085" s="25">
        <f>IF(A1085="","",CHOOSE(WEEKDAY(A1085,2),"월","화","수","목","금","토","일"))</f>
        <v/>
      </c>
      <c r="C1085" s="18" t="n"/>
      <c r="D1085" s="25">
        <f>IFERROR(IF(C1085="","",INDEX(직원명부!$B$5:$B$24,MATCH(C1085,직원명부!$A$5:$A$24,0))),"사번 확인")</f>
        <v/>
      </c>
      <c r="E1085" s="34" t="n"/>
      <c r="F1085" s="34" t="n"/>
      <c r="G1085" s="28" t="n"/>
      <c r="H1085" s="33">
        <f>IF(OR(E1085="",F1085=""),"",ROUND(MOD(F1085-E1085,1)*24-N(G1085),2))</f>
        <v/>
      </c>
      <c r="I1085" s="33">
        <f>IF(H1085="","",ROUND(MAX(0,H1085-8),2))</f>
        <v/>
      </c>
      <c r="J1085" s="33">
        <f>IF(OR(E1085="",F1085=""),"",ROUND(IF(MOD(F1085,1)&gt;=TIME(22,0,0),(MOD(F1085,1)-TIME(22,0,0))*24,IF(MOD(F1085,1)&lt;TIME(6,0,0),(MOD(F1085,1)+1-TIME(22,0,0))*24,0)),2))</f>
        <v/>
      </c>
      <c r="K1085" s="33">
        <f>IF(H1085="","",ROUND(IF(L1085="휴일근로",MIN(H1085,8)*1.5+MAX(0,H1085-8)*2,I1085*1.5)+N(J1085)*0.5,2))</f>
        <v/>
      </c>
      <c r="L1085" s="18" t="n"/>
      <c r="M1085" s="18" t="n"/>
      <c r="N1085" s="22" t="n"/>
    </row>
    <row r="1086">
      <c r="A1086" s="19" t="n"/>
      <c r="B1086" s="25">
        <f>IF(A1086="","",CHOOSE(WEEKDAY(A1086,2),"월","화","수","목","금","토","일"))</f>
        <v/>
      </c>
      <c r="C1086" s="18" t="n"/>
      <c r="D1086" s="25">
        <f>IFERROR(IF(C1086="","",INDEX(직원명부!$B$5:$B$24,MATCH(C1086,직원명부!$A$5:$A$24,0))),"사번 확인")</f>
        <v/>
      </c>
      <c r="E1086" s="34" t="n"/>
      <c r="F1086" s="34" t="n"/>
      <c r="G1086" s="28" t="n"/>
      <c r="H1086" s="33">
        <f>IF(OR(E1086="",F1086=""),"",ROUND(MOD(F1086-E1086,1)*24-N(G1086),2))</f>
        <v/>
      </c>
      <c r="I1086" s="33">
        <f>IF(H1086="","",ROUND(MAX(0,H1086-8),2))</f>
        <v/>
      </c>
      <c r="J1086" s="33">
        <f>IF(OR(E1086="",F1086=""),"",ROUND(IF(MOD(F1086,1)&gt;=TIME(22,0,0),(MOD(F1086,1)-TIME(22,0,0))*24,IF(MOD(F1086,1)&lt;TIME(6,0,0),(MOD(F1086,1)+1-TIME(22,0,0))*24,0)),2))</f>
        <v/>
      </c>
      <c r="K1086" s="33">
        <f>IF(H1086="","",ROUND(IF(L1086="휴일근로",MIN(H1086,8)*1.5+MAX(0,H1086-8)*2,I1086*1.5)+N(J1086)*0.5,2))</f>
        <v/>
      </c>
      <c r="L1086" s="18" t="n"/>
      <c r="M1086" s="18" t="n"/>
      <c r="N1086" s="22" t="n"/>
    </row>
    <row r="1087">
      <c r="A1087" s="19" t="n"/>
      <c r="B1087" s="25">
        <f>IF(A1087="","",CHOOSE(WEEKDAY(A1087,2),"월","화","수","목","금","토","일"))</f>
        <v/>
      </c>
      <c r="C1087" s="18" t="n"/>
      <c r="D1087" s="25">
        <f>IFERROR(IF(C1087="","",INDEX(직원명부!$B$5:$B$24,MATCH(C1087,직원명부!$A$5:$A$24,0))),"사번 확인")</f>
        <v/>
      </c>
      <c r="E1087" s="34" t="n"/>
      <c r="F1087" s="34" t="n"/>
      <c r="G1087" s="28" t="n"/>
      <c r="H1087" s="33">
        <f>IF(OR(E1087="",F1087=""),"",ROUND(MOD(F1087-E1087,1)*24-N(G1087),2))</f>
        <v/>
      </c>
      <c r="I1087" s="33">
        <f>IF(H1087="","",ROUND(MAX(0,H1087-8),2))</f>
        <v/>
      </c>
      <c r="J1087" s="33">
        <f>IF(OR(E1087="",F1087=""),"",ROUND(IF(MOD(F1087,1)&gt;=TIME(22,0,0),(MOD(F1087,1)-TIME(22,0,0))*24,IF(MOD(F1087,1)&lt;TIME(6,0,0),(MOD(F1087,1)+1-TIME(22,0,0))*24,0)),2))</f>
        <v/>
      </c>
      <c r="K1087" s="33">
        <f>IF(H1087="","",ROUND(IF(L1087="휴일근로",MIN(H1087,8)*1.5+MAX(0,H1087-8)*2,I1087*1.5)+N(J1087)*0.5,2))</f>
        <v/>
      </c>
      <c r="L1087" s="18" t="n"/>
      <c r="M1087" s="18" t="n"/>
      <c r="N1087" s="22" t="n"/>
    </row>
    <row r="1088">
      <c r="A1088" s="19" t="n"/>
      <c r="B1088" s="25">
        <f>IF(A1088="","",CHOOSE(WEEKDAY(A1088,2),"월","화","수","목","금","토","일"))</f>
        <v/>
      </c>
      <c r="C1088" s="18" t="n"/>
      <c r="D1088" s="25">
        <f>IFERROR(IF(C1088="","",INDEX(직원명부!$B$5:$B$24,MATCH(C1088,직원명부!$A$5:$A$24,0))),"사번 확인")</f>
        <v/>
      </c>
      <c r="E1088" s="34" t="n"/>
      <c r="F1088" s="34" t="n"/>
      <c r="G1088" s="28" t="n"/>
      <c r="H1088" s="33">
        <f>IF(OR(E1088="",F1088=""),"",ROUND(MOD(F1088-E1088,1)*24-N(G1088),2))</f>
        <v/>
      </c>
      <c r="I1088" s="33">
        <f>IF(H1088="","",ROUND(MAX(0,H1088-8),2))</f>
        <v/>
      </c>
      <c r="J1088" s="33">
        <f>IF(OR(E1088="",F1088=""),"",ROUND(IF(MOD(F1088,1)&gt;=TIME(22,0,0),(MOD(F1088,1)-TIME(22,0,0))*24,IF(MOD(F1088,1)&lt;TIME(6,0,0),(MOD(F1088,1)+1-TIME(22,0,0))*24,0)),2))</f>
        <v/>
      </c>
      <c r="K1088" s="33">
        <f>IF(H1088="","",ROUND(IF(L1088="휴일근로",MIN(H1088,8)*1.5+MAX(0,H1088-8)*2,I1088*1.5)+N(J1088)*0.5,2))</f>
        <v/>
      </c>
      <c r="L1088" s="18" t="n"/>
      <c r="M1088" s="18" t="n"/>
      <c r="N1088" s="22" t="n"/>
    </row>
    <row r="1089">
      <c r="A1089" s="19" t="n"/>
      <c r="B1089" s="25">
        <f>IF(A1089="","",CHOOSE(WEEKDAY(A1089,2),"월","화","수","목","금","토","일"))</f>
        <v/>
      </c>
      <c r="C1089" s="18" t="n"/>
      <c r="D1089" s="25">
        <f>IFERROR(IF(C1089="","",INDEX(직원명부!$B$5:$B$24,MATCH(C1089,직원명부!$A$5:$A$24,0))),"사번 확인")</f>
        <v/>
      </c>
      <c r="E1089" s="34" t="n"/>
      <c r="F1089" s="34" t="n"/>
      <c r="G1089" s="28" t="n"/>
      <c r="H1089" s="33">
        <f>IF(OR(E1089="",F1089=""),"",ROUND(MOD(F1089-E1089,1)*24-N(G1089),2))</f>
        <v/>
      </c>
      <c r="I1089" s="33">
        <f>IF(H1089="","",ROUND(MAX(0,H1089-8),2))</f>
        <v/>
      </c>
      <c r="J1089" s="33">
        <f>IF(OR(E1089="",F1089=""),"",ROUND(IF(MOD(F1089,1)&gt;=TIME(22,0,0),(MOD(F1089,1)-TIME(22,0,0))*24,IF(MOD(F1089,1)&lt;TIME(6,0,0),(MOD(F1089,1)+1-TIME(22,0,0))*24,0)),2))</f>
        <v/>
      </c>
      <c r="K1089" s="33">
        <f>IF(H1089="","",ROUND(IF(L1089="휴일근로",MIN(H1089,8)*1.5+MAX(0,H1089-8)*2,I1089*1.5)+N(J1089)*0.5,2))</f>
        <v/>
      </c>
      <c r="L1089" s="18" t="n"/>
      <c r="M1089" s="18" t="n"/>
      <c r="N1089" s="22" t="n"/>
    </row>
    <row r="1090">
      <c r="A1090" s="19" t="n"/>
      <c r="B1090" s="25">
        <f>IF(A1090="","",CHOOSE(WEEKDAY(A1090,2),"월","화","수","목","금","토","일"))</f>
        <v/>
      </c>
      <c r="C1090" s="18" t="n"/>
      <c r="D1090" s="25">
        <f>IFERROR(IF(C1090="","",INDEX(직원명부!$B$5:$B$24,MATCH(C1090,직원명부!$A$5:$A$24,0))),"사번 확인")</f>
        <v/>
      </c>
      <c r="E1090" s="34" t="n"/>
      <c r="F1090" s="34" t="n"/>
      <c r="G1090" s="28" t="n"/>
      <c r="H1090" s="33">
        <f>IF(OR(E1090="",F1090=""),"",ROUND(MOD(F1090-E1090,1)*24-N(G1090),2))</f>
        <v/>
      </c>
      <c r="I1090" s="33">
        <f>IF(H1090="","",ROUND(MAX(0,H1090-8),2))</f>
        <v/>
      </c>
      <c r="J1090" s="33">
        <f>IF(OR(E1090="",F1090=""),"",ROUND(IF(MOD(F1090,1)&gt;=TIME(22,0,0),(MOD(F1090,1)-TIME(22,0,0))*24,IF(MOD(F1090,1)&lt;TIME(6,0,0),(MOD(F1090,1)+1-TIME(22,0,0))*24,0)),2))</f>
        <v/>
      </c>
      <c r="K1090" s="33">
        <f>IF(H1090="","",ROUND(IF(L1090="휴일근로",MIN(H1090,8)*1.5+MAX(0,H1090-8)*2,I1090*1.5)+N(J1090)*0.5,2))</f>
        <v/>
      </c>
      <c r="L1090" s="18" t="n"/>
      <c r="M1090" s="18" t="n"/>
      <c r="N1090" s="22" t="n"/>
    </row>
    <row r="1091">
      <c r="A1091" s="19" t="n"/>
      <c r="B1091" s="25">
        <f>IF(A1091="","",CHOOSE(WEEKDAY(A1091,2),"월","화","수","목","금","토","일"))</f>
        <v/>
      </c>
      <c r="C1091" s="18" t="n"/>
      <c r="D1091" s="25">
        <f>IFERROR(IF(C1091="","",INDEX(직원명부!$B$5:$B$24,MATCH(C1091,직원명부!$A$5:$A$24,0))),"사번 확인")</f>
        <v/>
      </c>
      <c r="E1091" s="34" t="n"/>
      <c r="F1091" s="34" t="n"/>
      <c r="G1091" s="28" t="n"/>
      <c r="H1091" s="33">
        <f>IF(OR(E1091="",F1091=""),"",ROUND(MOD(F1091-E1091,1)*24-N(G1091),2))</f>
        <v/>
      </c>
      <c r="I1091" s="33">
        <f>IF(H1091="","",ROUND(MAX(0,H1091-8),2))</f>
        <v/>
      </c>
      <c r="J1091" s="33">
        <f>IF(OR(E1091="",F1091=""),"",ROUND(IF(MOD(F1091,1)&gt;=TIME(22,0,0),(MOD(F1091,1)-TIME(22,0,0))*24,IF(MOD(F1091,1)&lt;TIME(6,0,0),(MOD(F1091,1)+1-TIME(22,0,0))*24,0)),2))</f>
        <v/>
      </c>
      <c r="K1091" s="33">
        <f>IF(H1091="","",ROUND(IF(L1091="휴일근로",MIN(H1091,8)*1.5+MAX(0,H1091-8)*2,I1091*1.5)+N(J1091)*0.5,2))</f>
        <v/>
      </c>
      <c r="L1091" s="18" t="n"/>
      <c r="M1091" s="18" t="n"/>
      <c r="N1091" s="22" t="n"/>
    </row>
    <row r="1092">
      <c r="A1092" s="19" t="n"/>
      <c r="B1092" s="25">
        <f>IF(A1092="","",CHOOSE(WEEKDAY(A1092,2),"월","화","수","목","금","토","일"))</f>
        <v/>
      </c>
      <c r="C1092" s="18" t="n"/>
      <c r="D1092" s="25">
        <f>IFERROR(IF(C1092="","",INDEX(직원명부!$B$5:$B$24,MATCH(C1092,직원명부!$A$5:$A$24,0))),"사번 확인")</f>
        <v/>
      </c>
      <c r="E1092" s="34" t="n"/>
      <c r="F1092" s="34" t="n"/>
      <c r="G1092" s="28" t="n"/>
      <c r="H1092" s="33">
        <f>IF(OR(E1092="",F1092=""),"",ROUND(MOD(F1092-E1092,1)*24-N(G1092),2))</f>
        <v/>
      </c>
      <c r="I1092" s="33">
        <f>IF(H1092="","",ROUND(MAX(0,H1092-8),2))</f>
        <v/>
      </c>
      <c r="J1092" s="33">
        <f>IF(OR(E1092="",F1092=""),"",ROUND(IF(MOD(F1092,1)&gt;=TIME(22,0,0),(MOD(F1092,1)-TIME(22,0,0))*24,IF(MOD(F1092,1)&lt;TIME(6,0,0),(MOD(F1092,1)+1-TIME(22,0,0))*24,0)),2))</f>
        <v/>
      </c>
      <c r="K1092" s="33">
        <f>IF(H1092="","",ROUND(IF(L1092="휴일근로",MIN(H1092,8)*1.5+MAX(0,H1092-8)*2,I1092*1.5)+N(J1092)*0.5,2))</f>
        <v/>
      </c>
      <c r="L1092" s="18" t="n"/>
      <c r="M1092" s="18" t="n"/>
      <c r="N1092" s="22" t="n"/>
    </row>
    <row r="1093">
      <c r="A1093" s="19" t="n"/>
      <c r="B1093" s="25">
        <f>IF(A1093="","",CHOOSE(WEEKDAY(A1093,2),"월","화","수","목","금","토","일"))</f>
        <v/>
      </c>
      <c r="C1093" s="18" t="n"/>
      <c r="D1093" s="25">
        <f>IFERROR(IF(C1093="","",INDEX(직원명부!$B$5:$B$24,MATCH(C1093,직원명부!$A$5:$A$24,0))),"사번 확인")</f>
        <v/>
      </c>
      <c r="E1093" s="34" t="n"/>
      <c r="F1093" s="34" t="n"/>
      <c r="G1093" s="28" t="n"/>
      <c r="H1093" s="33">
        <f>IF(OR(E1093="",F1093=""),"",ROUND(MOD(F1093-E1093,1)*24-N(G1093),2))</f>
        <v/>
      </c>
      <c r="I1093" s="33">
        <f>IF(H1093="","",ROUND(MAX(0,H1093-8),2))</f>
        <v/>
      </c>
      <c r="J1093" s="33">
        <f>IF(OR(E1093="",F1093=""),"",ROUND(IF(MOD(F1093,1)&gt;=TIME(22,0,0),(MOD(F1093,1)-TIME(22,0,0))*24,IF(MOD(F1093,1)&lt;TIME(6,0,0),(MOD(F1093,1)+1-TIME(22,0,0))*24,0)),2))</f>
        <v/>
      </c>
      <c r="K1093" s="33">
        <f>IF(H1093="","",ROUND(IF(L1093="휴일근로",MIN(H1093,8)*1.5+MAX(0,H1093-8)*2,I1093*1.5)+N(J1093)*0.5,2))</f>
        <v/>
      </c>
      <c r="L1093" s="18" t="n"/>
      <c r="M1093" s="18" t="n"/>
      <c r="N1093" s="22" t="n"/>
    </row>
    <row r="1094">
      <c r="A1094" s="19" t="n"/>
      <c r="B1094" s="25">
        <f>IF(A1094="","",CHOOSE(WEEKDAY(A1094,2),"월","화","수","목","금","토","일"))</f>
        <v/>
      </c>
      <c r="C1094" s="18" t="n"/>
      <c r="D1094" s="25">
        <f>IFERROR(IF(C1094="","",INDEX(직원명부!$B$5:$B$24,MATCH(C1094,직원명부!$A$5:$A$24,0))),"사번 확인")</f>
        <v/>
      </c>
      <c r="E1094" s="34" t="n"/>
      <c r="F1094" s="34" t="n"/>
      <c r="G1094" s="28" t="n"/>
      <c r="H1094" s="33">
        <f>IF(OR(E1094="",F1094=""),"",ROUND(MOD(F1094-E1094,1)*24-N(G1094),2))</f>
        <v/>
      </c>
      <c r="I1094" s="33">
        <f>IF(H1094="","",ROUND(MAX(0,H1094-8),2))</f>
        <v/>
      </c>
      <c r="J1094" s="33">
        <f>IF(OR(E1094="",F1094=""),"",ROUND(IF(MOD(F1094,1)&gt;=TIME(22,0,0),(MOD(F1094,1)-TIME(22,0,0))*24,IF(MOD(F1094,1)&lt;TIME(6,0,0),(MOD(F1094,1)+1-TIME(22,0,0))*24,0)),2))</f>
        <v/>
      </c>
      <c r="K1094" s="33">
        <f>IF(H1094="","",ROUND(IF(L1094="휴일근로",MIN(H1094,8)*1.5+MAX(0,H1094-8)*2,I1094*1.5)+N(J1094)*0.5,2))</f>
        <v/>
      </c>
      <c r="L1094" s="18" t="n"/>
      <c r="M1094" s="18" t="n"/>
      <c r="N1094" s="22" t="n"/>
    </row>
    <row r="1095">
      <c r="A1095" s="19" t="n"/>
      <c r="B1095" s="25">
        <f>IF(A1095="","",CHOOSE(WEEKDAY(A1095,2),"월","화","수","목","금","토","일"))</f>
        <v/>
      </c>
      <c r="C1095" s="18" t="n"/>
      <c r="D1095" s="25">
        <f>IFERROR(IF(C1095="","",INDEX(직원명부!$B$5:$B$24,MATCH(C1095,직원명부!$A$5:$A$24,0))),"사번 확인")</f>
        <v/>
      </c>
      <c r="E1095" s="34" t="n"/>
      <c r="F1095" s="34" t="n"/>
      <c r="G1095" s="28" t="n"/>
      <c r="H1095" s="33">
        <f>IF(OR(E1095="",F1095=""),"",ROUND(MOD(F1095-E1095,1)*24-N(G1095),2))</f>
        <v/>
      </c>
      <c r="I1095" s="33">
        <f>IF(H1095="","",ROUND(MAX(0,H1095-8),2))</f>
        <v/>
      </c>
      <c r="J1095" s="33">
        <f>IF(OR(E1095="",F1095=""),"",ROUND(IF(MOD(F1095,1)&gt;=TIME(22,0,0),(MOD(F1095,1)-TIME(22,0,0))*24,IF(MOD(F1095,1)&lt;TIME(6,0,0),(MOD(F1095,1)+1-TIME(22,0,0))*24,0)),2))</f>
        <v/>
      </c>
      <c r="K1095" s="33">
        <f>IF(H1095="","",ROUND(IF(L1095="휴일근로",MIN(H1095,8)*1.5+MAX(0,H1095-8)*2,I1095*1.5)+N(J1095)*0.5,2))</f>
        <v/>
      </c>
      <c r="L1095" s="18" t="n"/>
      <c r="M1095" s="18" t="n"/>
      <c r="N1095" s="22" t="n"/>
    </row>
    <row r="1096">
      <c r="A1096" s="19" t="n"/>
      <c r="B1096" s="25">
        <f>IF(A1096="","",CHOOSE(WEEKDAY(A1096,2),"월","화","수","목","금","토","일"))</f>
        <v/>
      </c>
      <c r="C1096" s="18" t="n"/>
      <c r="D1096" s="25">
        <f>IFERROR(IF(C1096="","",INDEX(직원명부!$B$5:$B$24,MATCH(C1096,직원명부!$A$5:$A$24,0))),"사번 확인")</f>
        <v/>
      </c>
      <c r="E1096" s="34" t="n"/>
      <c r="F1096" s="34" t="n"/>
      <c r="G1096" s="28" t="n"/>
      <c r="H1096" s="33">
        <f>IF(OR(E1096="",F1096=""),"",ROUND(MOD(F1096-E1096,1)*24-N(G1096),2))</f>
        <v/>
      </c>
      <c r="I1096" s="33">
        <f>IF(H1096="","",ROUND(MAX(0,H1096-8),2))</f>
        <v/>
      </c>
      <c r="J1096" s="33">
        <f>IF(OR(E1096="",F1096=""),"",ROUND(IF(MOD(F1096,1)&gt;=TIME(22,0,0),(MOD(F1096,1)-TIME(22,0,0))*24,IF(MOD(F1096,1)&lt;TIME(6,0,0),(MOD(F1096,1)+1-TIME(22,0,0))*24,0)),2))</f>
        <v/>
      </c>
      <c r="K1096" s="33">
        <f>IF(H1096="","",ROUND(IF(L1096="휴일근로",MIN(H1096,8)*1.5+MAX(0,H1096-8)*2,I1096*1.5)+N(J1096)*0.5,2))</f>
        <v/>
      </c>
      <c r="L1096" s="18" t="n"/>
      <c r="M1096" s="18" t="n"/>
      <c r="N1096" s="22" t="n"/>
    </row>
    <row r="1097">
      <c r="A1097" s="19" t="n"/>
      <c r="B1097" s="25">
        <f>IF(A1097="","",CHOOSE(WEEKDAY(A1097,2),"월","화","수","목","금","토","일"))</f>
        <v/>
      </c>
      <c r="C1097" s="18" t="n"/>
      <c r="D1097" s="25">
        <f>IFERROR(IF(C1097="","",INDEX(직원명부!$B$5:$B$24,MATCH(C1097,직원명부!$A$5:$A$24,0))),"사번 확인")</f>
        <v/>
      </c>
      <c r="E1097" s="34" t="n"/>
      <c r="F1097" s="34" t="n"/>
      <c r="G1097" s="28" t="n"/>
      <c r="H1097" s="33">
        <f>IF(OR(E1097="",F1097=""),"",ROUND(MOD(F1097-E1097,1)*24-N(G1097),2))</f>
        <v/>
      </c>
      <c r="I1097" s="33">
        <f>IF(H1097="","",ROUND(MAX(0,H1097-8),2))</f>
        <v/>
      </c>
      <c r="J1097" s="33">
        <f>IF(OR(E1097="",F1097=""),"",ROUND(IF(MOD(F1097,1)&gt;=TIME(22,0,0),(MOD(F1097,1)-TIME(22,0,0))*24,IF(MOD(F1097,1)&lt;TIME(6,0,0),(MOD(F1097,1)+1-TIME(22,0,0))*24,0)),2))</f>
        <v/>
      </c>
      <c r="K1097" s="33">
        <f>IF(H1097="","",ROUND(IF(L1097="휴일근로",MIN(H1097,8)*1.5+MAX(0,H1097-8)*2,I1097*1.5)+N(J1097)*0.5,2))</f>
        <v/>
      </c>
      <c r="L1097" s="18" t="n"/>
      <c r="M1097" s="18" t="n"/>
      <c r="N1097" s="22" t="n"/>
    </row>
    <row r="1098">
      <c r="A1098" s="19" t="n"/>
      <c r="B1098" s="25">
        <f>IF(A1098="","",CHOOSE(WEEKDAY(A1098,2),"월","화","수","목","금","토","일"))</f>
        <v/>
      </c>
      <c r="C1098" s="18" t="n"/>
      <c r="D1098" s="25">
        <f>IFERROR(IF(C1098="","",INDEX(직원명부!$B$5:$B$24,MATCH(C1098,직원명부!$A$5:$A$24,0))),"사번 확인")</f>
        <v/>
      </c>
      <c r="E1098" s="34" t="n"/>
      <c r="F1098" s="34" t="n"/>
      <c r="G1098" s="28" t="n"/>
      <c r="H1098" s="33">
        <f>IF(OR(E1098="",F1098=""),"",ROUND(MOD(F1098-E1098,1)*24-N(G1098),2))</f>
        <v/>
      </c>
      <c r="I1098" s="33">
        <f>IF(H1098="","",ROUND(MAX(0,H1098-8),2))</f>
        <v/>
      </c>
      <c r="J1098" s="33">
        <f>IF(OR(E1098="",F1098=""),"",ROUND(IF(MOD(F1098,1)&gt;=TIME(22,0,0),(MOD(F1098,1)-TIME(22,0,0))*24,IF(MOD(F1098,1)&lt;TIME(6,0,0),(MOD(F1098,1)+1-TIME(22,0,0))*24,0)),2))</f>
        <v/>
      </c>
      <c r="K1098" s="33">
        <f>IF(H1098="","",ROUND(IF(L1098="휴일근로",MIN(H1098,8)*1.5+MAX(0,H1098-8)*2,I1098*1.5)+N(J1098)*0.5,2))</f>
        <v/>
      </c>
      <c r="L1098" s="18" t="n"/>
      <c r="M1098" s="18" t="n"/>
      <c r="N1098" s="22" t="n"/>
    </row>
    <row r="1099">
      <c r="A1099" s="19" t="n"/>
      <c r="B1099" s="25">
        <f>IF(A1099="","",CHOOSE(WEEKDAY(A1099,2),"월","화","수","목","금","토","일"))</f>
        <v/>
      </c>
      <c r="C1099" s="18" t="n"/>
      <c r="D1099" s="25">
        <f>IFERROR(IF(C1099="","",INDEX(직원명부!$B$5:$B$24,MATCH(C1099,직원명부!$A$5:$A$24,0))),"사번 확인")</f>
        <v/>
      </c>
      <c r="E1099" s="34" t="n"/>
      <c r="F1099" s="34" t="n"/>
      <c r="G1099" s="28" t="n"/>
      <c r="H1099" s="33">
        <f>IF(OR(E1099="",F1099=""),"",ROUND(MOD(F1099-E1099,1)*24-N(G1099),2))</f>
        <v/>
      </c>
      <c r="I1099" s="33">
        <f>IF(H1099="","",ROUND(MAX(0,H1099-8),2))</f>
        <v/>
      </c>
      <c r="J1099" s="33">
        <f>IF(OR(E1099="",F1099=""),"",ROUND(IF(MOD(F1099,1)&gt;=TIME(22,0,0),(MOD(F1099,1)-TIME(22,0,0))*24,IF(MOD(F1099,1)&lt;TIME(6,0,0),(MOD(F1099,1)+1-TIME(22,0,0))*24,0)),2))</f>
        <v/>
      </c>
      <c r="K1099" s="33">
        <f>IF(H1099="","",ROUND(IF(L1099="휴일근로",MIN(H1099,8)*1.5+MAX(0,H1099-8)*2,I1099*1.5)+N(J1099)*0.5,2))</f>
        <v/>
      </c>
      <c r="L1099" s="18" t="n"/>
      <c r="M1099" s="18" t="n"/>
      <c r="N1099" s="22" t="n"/>
    </row>
    <row r="1100">
      <c r="A1100" s="19" t="n"/>
      <c r="B1100" s="25">
        <f>IF(A1100="","",CHOOSE(WEEKDAY(A1100,2),"월","화","수","목","금","토","일"))</f>
        <v/>
      </c>
      <c r="C1100" s="18" t="n"/>
      <c r="D1100" s="25">
        <f>IFERROR(IF(C1100="","",INDEX(직원명부!$B$5:$B$24,MATCH(C1100,직원명부!$A$5:$A$24,0))),"사번 확인")</f>
        <v/>
      </c>
      <c r="E1100" s="34" t="n"/>
      <c r="F1100" s="34" t="n"/>
      <c r="G1100" s="28" t="n"/>
      <c r="H1100" s="33">
        <f>IF(OR(E1100="",F1100=""),"",ROUND(MOD(F1100-E1100,1)*24-N(G1100),2))</f>
        <v/>
      </c>
      <c r="I1100" s="33">
        <f>IF(H1100="","",ROUND(MAX(0,H1100-8),2))</f>
        <v/>
      </c>
      <c r="J1100" s="33">
        <f>IF(OR(E1100="",F1100=""),"",ROUND(IF(MOD(F1100,1)&gt;=TIME(22,0,0),(MOD(F1100,1)-TIME(22,0,0))*24,IF(MOD(F1100,1)&lt;TIME(6,0,0),(MOD(F1100,1)+1-TIME(22,0,0))*24,0)),2))</f>
        <v/>
      </c>
      <c r="K1100" s="33">
        <f>IF(H1100="","",ROUND(IF(L1100="휴일근로",MIN(H1100,8)*1.5+MAX(0,H1100-8)*2,I1100*1.5)+N(J1100)*0.5,2))</f>
        <v/>
      </c>
      <c r="L1100" s="18" t="n"/>
      <c r="M1100" s="18" t="n"/>
      <c r="N1100" s="22" t="n"/>
    </row>
    <row r="1101">
      <c r="A1101" s="19" t="n"/>
      <c r="B1101" s="25">
        <f>IF(A1101="","",CHOOSE(WEEKDAY(A1101,2),"월","화","수","목","금","토","일"))</f>
        <v/>
      </c>
      <c r="C1101" s="18" t="n"/>
      <c r="D1101" s="25">
        <f>IFERROR(IF(C1101="","",INDEX(직원명부!$B$5:$B$24,MATCH(C1101,직원명부!$A$5:$A$24,0))),"사번 확인")</f>
        <v/>
      </c>
      <c r="E1101" s="34" t="n"/>
      <c r="F1101" s="34" t="n"/>
      <c r="G1101" s="28" t="n"/>
      <c r="H1101" s="33">
        <f>IF(OR(E1101="",F1101=""),"",ROUND(MOD(F1101-E1101,1)*24-N(G1101),2))</f>
        <v/>
      </c>
      <c r="I1101" s="33">
        <f>IF(H1101="","",ROUND(MAX(0,H1101-8),2))</f>
        <v/>
      </c>
      <c r="J1101" s="33">
        <f>IF(OR(E1101="",F1101=""),"",ROUND(IF(MOD(F1101,1)&gt;=TIME(22,0,0),(MOD(F1101,1)-TIME(22,0,0))*24,IF(MOD(F1101,1)&lt;TIME(6,0,0),(MOD(F1101,1)+1-TIME(22,0,0))*24,0)),2))</f>
        <v/>
      </c>
      <c r="K1101" s="33">
        <f>IF(H1101="","",ROUND(IF(L1101="휴일근로",MIN(H1101,8)*1.5+MAX(0,H1101-8)*2,I1101*1.5)+N(J1101)*0.5,2))</f>
        <v/>
      </c>
      <c r="L1101" s="18" t="n"/>
      <c r="M1101" s="18" t="n"/>
      <c r="N1101" s="22" t="n"/>
    </row>
    <row r="1102">
      <c r="A1102" s="19" t="n"/>
      <c r="B1102" s="25">
        <f>IF(A1102="","",CHOOSE(WEEKDAY(A1102,2),"월","화","수","목","금","토","일"))</f>
        <v/>
      </c>
      <c r="C1102" s="18" t="n"/>
      <c r="D1102" s="25">
        <f>IFERROR(IF(C1102="","",INDEX(직원명부!$B$5:$B$24,MATCH(C1102,직원명부!$A$5:$A$24,0))),"사번 확인")</f>
        <v/>
      </c>
      <c r="E1102" s="34" t="n"/>
      <c r="F1102" s="34" t="n"/>
      <c r="G1102" s="28" t="n"/>
      <c r="H1102" s="33">
        <f>IF(OR(E1102="",F1102=""),"",ROUND(MOD(F1102-E1102,1)*24-N(G1102),2))</f>
        <v/>
      </c>
      <c r="I1102" s="33">
        <f>IF(H1102="","",ROUND(MAX(0,H1102-8),2))</f>
        <v/>
      </c>
      <c r="J1102" s="33">
        <f>IF(OR(E1102="",F1102=""),"",ROUND(IF(MOD(F1102,1)&gt;=TIME(22,0,0),(MOD(F1102,1)-TIME(22,0,0))*24,IF(MOD(F1102,1)&lt;TIME(6,0,0),(MOD(F1102,1)+1-TIME(22,0,0))*24,0)),2))</f>
        <v/>
      </c>
      <c r="K1102" s="33">
        <f>IF(H1102="","",ROUND(IF(L1102="휴일근로",MIN(H1102,8)*1.5+MAX(0,H1102-8)*2,I1102*1.5)+N(J1102)*0.5,2))</f>
        <v/>
      </c>
      <c r="L1102" s="18" t="n"/>
      <c r="M1102" s="18" t="n"/>
      <c r="N1102" s="22" t="n"/>
    </row>
    <row r="1103">
      <c r="A1103" s="19" t="n"/>
      <c r="B1103" s="25">
        <f>IF(A1103="","",CHOOSE(WEEKDAY(A1103,2),"월","화","수","목","금","토","일"))</f>
        <v/>
      </c>
      <c r="C1103" s="18" t="n"/>
      <c r="D1103" s="25">
        <f>IFERROR(IF(C1103="","",INDEX(직원명부!$B$5:$B$24,MATCH(C1103,직원명부!$A$5:$A$24,0))),"사번 확인")</f>
        <v/>
      </c>
      <c r="E1103" s="34" t="n"/>
      <c r="F1103" s="34" t="n"/>
      <c r="G1103" s="28" t="n"/>
      <c r="H1103" s="33">
        <f>IF(OR(E1103="",F1103=""),"",ROUND(MOD(F1103-E1103,1)*24-N(G1103),2))</f>
        <v/>
      </c>
      <c r="I1103" s="33">
        <f>IF(H1103="","",ROUND(MAX(0,H1103-8),2))</f>
        <v/>
      </c>
      <c r="J1103" s="33">
        <f>IF(OR(E1103="",F1103=""),"",ROUND(IF(MOD(F1103,1)&gt;=TIME(22,0,0),(MOD(F1103,1)-TIME(22,0,0))*24,IF(MOD(F1103,1)&lt;TIME(6,0,0),(MOD(F1103,1)+1-TIME(22,0,0))*24,0)),2))</f>
        <v/>
      </c>
      <c r="K1103" s="33">
        <f>IF(H1103="","",ROUND(IF(L1103="휴일근로",MIN(H1103,8)*1.5+MAX(0,H1103-8)*2,I1103*1.5)+N(J1103)*0.5,2))</f>
        <v/>
      </c>
      <c r="L1103" s="18" t="n"/>
      <c r="M1103" s="18" t="n"/>
      <c r="N1103" s="22" t="n"/>
    </row>
    <row r="1104">
      <c r="A1104" s="19" t="n"/>
      <c r="B1104" s="25">
        <f>IF(A1104="","",CHOOSE(WEEKDAY(A1104,2),"월","화","수","목","금","토","일"))</f>
        <v/>
      </c>
      <c r="C1104" s="18" t="n"/>
      <c r="D1104" s="25">
        <f>IFERROR(IF(C1104="","",INDEX(직원명부!$B$5:$B$24,MATCH(C1104,직원명부!$A$5:$A$24,0))),"사번 확인")</f>
        <v/>
      </c>
      <c r="E1104" s="34" t="n"/>
      <c r="F1104" s="34" t="n"/>
      <c r="G1104" s="28" t="n"/>
      <c r="H1104" s="33">
        <f>IF(OR(E1104="",F1104=""),"",ROUND(MOD(F1104-E1104,1)*24-N(G1104),2))</f>
        <v/>
      </c>
      <c r="I1104" s="33">
        <f>IF(H1104="","",ROUND(MAX(0,H1104-8),2))</f>
        <v/>
      </c>
      <c r="J1104" s="33">
        <f>IF(OR(E1104="",F1104=""),"",ROUND(IF(MOD(F1104,1)&gt;=TIME(22,0,0),(MOD(F1104,1)-TIME(22,0,0))*24,IF(MOD(F1104,1)&lt;TIME(6,0,0),(MOD(F1104,1)+1-TIME(22,0,0))*24,0)),2))</f>
        <v/>
      </c>
      <c r="K1104" s="33">
        <f>IF(H1104="","",ROUND(IF(L1104="휴일근로",MIN(H1104,8)*1.5+MAX(0,H1104-8)*2,I1104*1.5)+N(J1104)*0.5,2))</f>
        <v/>
      </c>
      <c r="L1104" s="18" t="n"/>
      <c r="M1104" s="18" t="n"/>
      <c r="N1104" s="22" t="n"/>
    </row>
    <row r="1105">
      <c r="A1105" s="19" t="n"/>
      <c r="B1105" s="25">
        <f>IF(A1105="","",CHOOSE(WEEKDAY(A1105,2),"월","화","수","목","금","토","일"))</f>
        <v/>
      </c>
      <c r="C1105" s="18" t="n"/>
      <c r="D1105" s="25">
        <f>IFERROR(IF(C1105="","",INDEX(직원명부!$B$5:$B$24,MATCH(C1105,직원명부!$A$5:$A$24,0))),"사번 확인")</f>
        <v/>
      </c>
      <c r="E1105" s="34" t="n"/>
      <c r="F1105" s="34" t="n"/>
      <c r="G1105" s="28" t="n"/>
      <c r="H1105" s="33">
        <f>IF(OR(E1105="",F1105=""),"",ROUND(MOD(F1105-E1105,1)*24-N(G1105),2))</f>
        <v/>
      </c>
      <c r="I1105" s="33">
        <f>IF(H1105="","",ROUND(MAX(0,H1105-8),2))</f>
        <v/>
      </c>
      <c r="J1105" s="33">
        <f>IF(OR(E1105="",F1105=""),"",ROUND(IF(MOD(F1105,1)&gt;=TIME(22,0,0),(MOD(F1105,1)-TIME(22,0,0))*24,IF(MOD(F1105,1)&lt;TIME(6,0,0),(MOD(F1105,1)+1-TIME(22,0,0))*24,0)),2))</f>
        <v/>
      </c>
      <c r="K1105" s="33">
        <f>IF(H1105="","",ROUND(IF(L1105="휴일근로",MIN(H1105,8)*1.5+MAX(0,H1105-8)*2,I1105*1.5)+N(J1105)*0.5,2))</f>
        <v/>
      </c>
      <c r="L1105" s="18" t="n"/>
      <c r="M1105" s="18" t="n"/>
      <c r="N1105" s="22" t="n"/>
    </row>
    <row r="1106">
      <c r="A1106" s="19" t="n"/>
      <c r="B1106" s="25">
        <f>IF(A1106="","",CHOOSE(WEEKDAY(A1106,2),"월","화","수","목","금","토","일"))</f>
        <v/>
      </c>
      <c r="C1106" s="18" t="n"/>
      <c r="D1106" s="25">
        <f>IFERROR(IF(C1106="","",INDEX(직원명부!$B$5:$B$24,MATCH(C1106,직원명부!$A$5:$A$24,0))),"사번 확인")</f>
        <v/>
      </c>
      <c r="E1106" s="34" t="n"/>
      <c r="F1106" s="34" t="n"/>
      <c r="G1106" s="28" t="n"/>
      <c r="H1106" s="33">
        <f>IF(OR(E1106="",F1106=""),"",ROUND(MOD(F1106-E1106,1)*24-N(G1106),2))</f>
        <v/>
      </c>
      <c r="I1106" s="33">
        <f>IF(H1106="","",ROUND(MAX(0,H1106-8),2))</f>
        <v/>
      </c>
      <c r="J1106" s="33">
        <f>IF(OR(E1106="",F1106=""),"",ROUND(IF(MOD(F1106,1)&gt;=TIME(22,0,0),(MOD(F1106,1)-TIME(22,0,0))*24,IF(MOD(F1106,1)&lt;TIME(6,0,0),(MOD(F1106,1)+1-TIME(22,0,0))*24,0)),2))</f>
        <v/>
      </c>
      <c r="K1106" s="33">
        <f>IF(H1106="","",ROUND(IF(L1106="휴일근로",MIN(H1106,8)*1.5+MAX(0,H1106-8)*2,I1106*1.5)+N(J1106)*0.5,2))</f>
        <v/>
      </c>
      <c r="L1106" s="18" t="n"/>
      <c r="M1106" s="18" t="n"/>
      <c r="N1106" s="22" t="n"/>
    </row>
    <row r="1107">
      <c r="A1107" s="19" t="n"/>
      <c r="B1107" s="25">
        <f>IF(A1107="","",CHOOSE(WEEKDAY(A1107,2),"월","화","수","목","금","토","일"))</f>
        <v/>
      </c>
      <c r="C1107" s="18" t="n"/>
      <c r="D1107" s="25">
        <f>IFERROR(IF(C1107="","",INDEX(직원명부!$B$5:$B$24,MATCH(C1107,직원명부!$A$5:$A$24,0))),"사번 확인")</f>
        <v/>
      </c>
      <c r="E1107" s="34" t="n"/>
      <c r="F1107" s="34" t="n"/>
      <c r="G1107" s="28" t="n"/>
      <c r="H1107" s="33">
        <f>IF(OR(E1107="",F1107=""),"",ROUND(MOD(F1107-E1107,1)*24-N(G1107),2))</f>
        <v/>
      </c>
      <c r="I1107" s="33">
        <f>IF(H1107="","",ROUND(MAX(0,H1107-8),2))</f>
        <v/>
      </c>
      <c r="J1107" s="33">
        <f>IF(OR(E1107="",F1107=""),"",ROUND(IF(MOD(F1107,1)&gt;=TIME(22,0,0),(MOD(F1107,1)-TIME(22,0,0))*24,IF(MOD(F1107,1)&lt;TIME(6,0,0),(MOD(F1107,1)+1-TIME(22,0,0))*24,0)),2))</f>
        <v/>
      </c>
      <c r="K1107" s="33">
        <f>IF(H1107="","",ROUND(IF(L1107="휴일근로",MIN(H1107,8)*1.5+MAX(0,H1107-8)*2,I1107*1.5)+N(J1107)*0.5,2))</f>
        <v/>
      </c>
      <c r="L1107" s="18" t="n"/>
      <c r="M1107" s="18" t="n"/>
      <c r="N1107" s="22" t="n"/>
    </row>
    <row r="1108">
      <c r="A1108" s="19" t="n"/>
      <c r="B1108" s="25">
        <f>IF(A1108="","",CHOOSE(WEEKDAY(A1108,2),"월","화","수","목","금","토","일"))</f>
        <v/>
      </c>
      <c r="C1108" s="18" t="n"/>
      <c r="D1108" s="25">
        <f>IFERROR(IF(C1108="","",INDEX(직원명부!$B$5:$B$24,MATCH(C1108,직원명부!$A$5:$A$24,0))),"사번 확인")</f>
        <v/>
      </c>
      <c r="E1108" s="34" t="n"/>
      <c r="F1108" s="34" t="n"/>
      <c r="G1108" s="28" t="n"/>
      <c r="H1108" s="33">
        <f>IF(OR(E1108="",F1108=""),"",ROUND(MOD(F1108-E1108,1)*24-N(G1108),2))</f>
        <v/>
      </c>
      <c r="I1108" s="33">
        <f>IF(H1108="","",ROUND(MAX(0,H1108-8),2))</f>
        <v/>
      </c>
      <c r="J1108" s="33">
        <f>IF(OR(E1108="",F1108=""),"",ROUND(IF(MOD(F1108,1)&gt;=TIME(22,0,0),(MOD(F1108,1)-TIME(22,0,0))*24,IF(MOD(F1108,1)&lt;TIME(6,0,0),(MOD(F1108,1)+1-TIME(22,0,0))*24,0)),2))</f>
        <v/>
      </c>
      <c r="K1108" s="33">
        <f>IF(H1108="","",ROUND(IF(L1108="휴일근로",MIN(H1108,8)*1.5+MAX(0,H1108-8)*2,I1108*1.5)+N(J1108)*0.5,2))</f>
        <v/>
      </c>
      <c r="L1108" s="18" t="n"/>
      <c r="M1108" s="18" t="n"/>
      <c r="N1108" s="22" t="n"/>
    </row>
    <row r="1109">
      <c r="A1109" s="19" t="n"/>
      <c r="B1109" s="25">
        <f>IF(A1109="","",CHOOSE(WEEKDAY(A1109,2),"월","화","수","목","금","토","일"))</f>
        <v/>
      </c>
      <c r="C1109" s="18" t="n"/>
      <c r="D1109" s="25">
        <f>IFERROR(IF(C1109="","",INDEX(직원명부!$B$5:$B$24,MATCH(C1109,직원명부!$A$5:$A$24,0))),"사번 확인")</f>
        <v/>
      </c>
      <c r="E1109" s="34" t="n"/>
      <c r="F1109" s="34" t="n"/>
      <c r="G1109" s="28" t="n"/>
      <c r="H1109" s="33">
        <f>IF(OR(E1109="",F1109=""),"",ROUND(MOD(F1109-E1109,1)*24-N(G1109),2))</f>
        <v/>
      </c>
      <c r="I1109" s="33">
        <f>IF(H1109="","",ROUND(MAX(0,H1109-8),2))</f>
        <v/>
      </c>
      <c r="J1109" s="33">
        <f>IF(OR(E1109="",F1109=""),"",ROUND(IF(MOD(F1109,1)&gt;=TIME(22,0,0),(MOD(F1109,1)-TIME(22,0,0))*24,IF(MOD(F1109,1)&lt;TIME(6,0,0),(MOD(F1109,1)+1-TIME(22,0,0))*24,0)),2))</f>
        <v/>
      </c>
      <c r="K1109" s="33">
        <f>IF(H1109="","",ROUND(IF(L1109="휴일근로",MIN(H1109,8)*1.5+MAX(0,H1109-8)*2,I1109*1.5)+N(J1109)*0.5,2))</f>
        <v/>
      </c>
      <c r="L1109" s="18" t="n"/>
      <c r="M1109" s="18" t="n"/>
      <c r="N1109" s="22" t="n"/>
    </row>
    <row r="1110">
      <c r="A1110" s="19" t="n"/>
      <c r="B1110" s="25">
        <f>IF(A1110="","",CHOOSE(WEEKDAY(A1110,2),"월","화","수","목","금","토","일"))</f>
        <v/>
      </c>
      <c r="C1110" s="18" t="n"/>
      <c r="D1110" s="25">
        <f>IFERROR(IF(C1110="","",INDEX(직원명부!$B$5:$B$24,MATCH(C1110,직원명부!$A$5:$A$24,0))),"사번 확인")</f>
        <v/>
      </c>
      <c r="E1110" s="34" t="n"/>
      <c r="F1110" s="34" t="n"/>
      <c r="G1110" s="28" t="n"/>
      <c r="H1110" s="33">
        <f>IF(OR(E1110="",F1110=""),"",ROUND(MOD(F1110-E1110,1)*24-N(G1110),2))</f>
        <v/>
      </c>
      <c r="I1110" s="33">
        <f>IF(H1110="","",ROUND(MAX(0,H1110-8),2))</f>
        <v/>
      </c>
      <c r="J1110" s="33">
        <f>IF(OR(E1110="",F1110=""),"",ROUND(IF(MOD(F1110,1)&gt;=TIME(22,0,0),(MOD(F1110,1)-TIME(22,0,0))*24,IF(MOD(F1110,1)&lt;TIME(6,0,0),(MOD(F1110,1)+1-TIME(22,0,0))*24,0)),2))</f>
        <v/>
      </c>
      <c r="K1110" s="33">
        <f>IF(H1110="","",ROUND(IF(L1110="휴일근로",MIN(H1110,8)*1.5+MAX(0,H1110-8)*2,I1110*1.5)+N(J1110)*0.5,2))</f>
        <v/>
      </c>
      <c r="L1110" s="18" t="n"/>
      <c r="M1110" s="18" t="n"/>
      <c r="N1110" s="22" t="n"/>
    </row>
    <row r="1111">
      <c r="A1111" s="19" t="n"/>
      <c r="B1111" s="25">
        <f>IF(A1111="","",CHOOSE(WEEKDAY(A1111,2),"월","화","수","목","금","토","일"))</f>
        <v/>
      </c>
      <c r="C1111" s="18" t="n"/>
      <c r="D1111" s="25">
        <f>IFERROR(IF(C1111="","",INDEX(직원명부!$B$5:$B$24,MATCH(C1111,직원명부!$A$5:$A$24,0))),"사번 확인")</f>
        <v/>
      </c>
      <c r="E1111" s="34" t="n"/>
      <c r="F1111" s="34" t="n"/>
      <c r="G1111" s="28" t="n"/>
      <c r="H1111" s="33">
        <f>IF(OR(E1111="",F1111=""),"",ROUND(MOD(F1111-E1111,1)*24-N(G1111),2))</f>
        <v/>
      </c>
      <c r="I1111" s="33">
        <f>IF(H1111="","",ROUND(MAX(0,H1111-8),2))</f>
        <v/>
      </c>
      <c r="J1111" s="33">
        <f>IF(OR(E1111="",F1111=""),"",ROUND(IF(MOD(F1111,1)&gt;=TIME(22,0,0),(MOD(F1111,1)-TIME(22,0,0))*24,IF(MOD(F1111,1)&lt;TIME(6,0,0),(MOD(F1111,1)+1-TIME(22,0,0))*24,0)),2))</f>
        <v/>
      </c>
      <c r="K1111" s="33">
        <f>IF(H1111="","",ROUND(IF(L1111="휴일근로",MIN(H1111,8)*1.5+MAX(0,H1111-8)*2,I1111*1.5)+N(J1111)*0.5,2))</f>
        <v/>
      </c>
      <c r="L1111" s="18" t="n"/>
      <c r="M1111" s="18" t="n"/>
      <c r="N1111" s="22" t="n"/>
    </row>
    <row r="1112">
      <c r="A1112" s="19" t="n"/>
      <c r="B1112" s="25">
        <f>IF(A1112="","",CHOOSE(WEEKDAY(A1112,2),"월","화","수","목","금","토","일"))</f>
        <v/>
      </c>
      <c r="C1112" s="18" t="n"/>
      <c r="D1112" s="25">
        <f>IFERROR(IF(C1112="","",INDEX(직원명부!$B$5:$B$24,MATCH(C1112,직원명부!$A$5:$A$24,0))),"사번 확인")</f>
        <v/>
      </c>
      <c r="E1112" s="34" t="n"/>
      <c r="F1112" s="34" t="n"/>
      <c r="G1112" s="28" t="n"/>
      <c r="H1112" s="33">
        <f>IF(OR(E1112="",F1112=""),"",ROUND(MOD(F1112-E1112,1)*24-N(G1112),2))</f>
        <v/>
      </c>
      <c r="I1112" s="33">
        <f>IF(H1112="","",ROUND(MAX(0,H1112-8),2))</f>
        <v/>
      </c>
      <c r="J1112" s="33">
        <f>IF(OR(E1112="",F1112=""),"",ROUND(IF(MOD(F1112,1)&gt;=TIME(22,0,0),(MOD(F1112,1)-TIME(22,0,0))*24,IF(MOD(F1112,1)&lt;TIME(6,0,0),(MOD(F1112,1)+1-TIME(22,0,0))*24,0)),2))</f>
        <v/>
      </c>
      <c r="K1112" s="33">
        <f>IF(H1112="","",ROUND(IF(L1112="휴일근로",MIN(H1112,8)*1.5+MAX(0,H1112-8)*2,I1112*1.5)+N(J1112)*0.5,2))</f>
        <v/>
      </c>
      <c r="L1112" s="18" t="n"/>
      <c r="M1112" s="18" t="n"/>
      <c r="N1112" s="22" t="n"/>
    </row>
    <row r="1113">
      <c r="A1113" s="19" t="n"/>
      <c r="B1113" s="25">
        <f>IF(A1113="","",CHOOSE(WEEKDAY(A1113,2),"월","화","수","목","금","토","일"))</f>
        <v/>
      </c>
      <c r="C1113" s="18" t="n"/>
      <c r="D1113" s="25">
        <f>IFERROR(IF(C1113="","",INDEX(직원명부!$B$5:$B$24,MATCH(C1113,직원명부!$A$5:$A$24,0))),"사번 확인")</f>
        <v/>
      </c>
      <c r="E1113" s="34" t="n"/>
      <c r="F1113" s="34" t="n"/>
      <c r="G1113" s="28" t="n"/>
      <c r="H1113" s="33">
        <f>IF(OR(E1113="",F1113=""),"",ROUND(MOD(F1113-E1113,1)*24-N(G1113),2))</f>
        <v/>
      </c>
      <c r="I1113" s="33">
        <f>IF(H1113="","",ROUND(MAX(0,H1113-8),2))</f>
        <v/>
      </c>
      <c r="J1113" s="33">
        <f>IF(OR(E1113="",F1113=""),"",ROUND(IF(MOD(F1113,1)&gt;=TIME(22,0,0),(MOD(F1113,1)-TIME(22,0,0))*24,IF(MOD(F1113,1)&lt;TIME(6,0,0),(MOD(F1113,1)+1-TIME(22,0,0))*24,0)),2))</f>
        <v/>
      </c>
      <c r="K1113" s="33">
        <f>IF(H1113="","",ROUND(IF(L1113="휴일근로",MIN(H1113,8)*1.5+MAX(0,H1113-8)*2,I1113*1.5)+N(J1113)*0.5,2))</f>
        <v/>
      </c>
      <c r="L1113" s="18" t="n"/>
      <c r="M1113" s="18" t="n"/>
      <c r="N1113" s="22" t="n"/>
    </row>
    <row r="1114">
      <c r="A1114" s="19" t="n"/>
      <c r="B1114" s="25">
        <f>IF(A1114="","",CHOOSE(WEEKDAY(A1114,2),"월","화","수","목","금","토","일"))</f>
        <v/>
      </c>
      <c r="C1114" s="18" t="n"/>
      <c r="D1114" s="25">
        <f>IFERROR(IF(C1114="","",INDEX(직원명부!$B$5:$B$24,MATCH(C1114,직원명부!$A$5:$A$24,0))),"사번 확인")</f>
        <v/>
      </c>
      <c r="E1114" s="34" t="n"/>
      <c r="F1114" s="34" t="n"/>
      <c r="G1114" s="28" t="n"/>
      <c r="H1114" s="33">
        <f>IF(OR(E1114="",F1114=""),"",ROUND(MOD(F1114-E1114,1)*24-N(G1114),2))</f>
        <v/>
      </c>
      <c r="I1114" s="33">
        <f>IF(H1114="","",ROUND(MAX(0,H1114-8),2))</f>
        <v/>
      </c>
      <c r="J1114" s="33">
        <f>IF(OR(E1114="",F1114=""),"",ROUND(IF(MOD(F1114,1)&gt;=TIME(22,0,0),(MOD(F1114,1)-TIME(22,0,0))*24,IF(MOD(F1114,1)&lt;TIME(6,0,0),(MOD(F1114,1)+1-TIME(22,0,0))*24,0)),2))</f>
        <v/>
      </c>
      <c r="K1114" s="33">
        <f>IF(H1114="","",ROUND(IF(L1114="휴일근로",MIN(H1114,8)*1.5+MAX(0,H1114-8)*2,I1114*1.5)+N(J1114)*0.5,2))</f>
        <v/>
      </c>
      <c r="L1114" s="18" t="n"/>
      <c r="M1114" s="18" t="n"/>
      <c r="N1114" s="22" t="n"/>
    </row>
    <row r="1115">
      <c r="A1115" s="19" t="n"/>
      <c r="B1115" s="25">
        <f>IF(A1115="","",CHOOSE(WEEKDAY(A1115,2),"월","화","수","목","금","토","일"))</f>
        <v/>
      </c>
      <c r="C1115" s="18" t="n"/>
      <c r="D1115" s="25">
        <f>IFERROR(IF(C1115="","",INDEX(직원명부!$B$5:$B$24,MATCH(C1115,직원명부!$A$5:$A$24,0))),"사번 확인")</f>
        <v/>
      </c>
      <c r="E1115" s="34" t="n"/>
      <c r="F1115" s="34" t="n"/>
      <c r="G1115" s="28" t="n"/>
      <c r="H1115" s="33">
        <f>IF(OR(E1115="",F1115=""),"",ROUND(MOD(F1115-E1115,1)*24-N(G1115),2))</f>
        <v/>
      </c>
      <c r="I1115" s="33">
        <f>IF(H1115="","",ROUND(MAX(0,H1115-8),2))</f>
        <v/>
      </c>
      <c r="J1115" s="33">
        <f>IF(OR(E1115="",F1115=""),"",ROUND(IF(MOD(F1115,1)&gt;=TIME(22,0,0),(MOD(F1115,1)-TIME(22,0,0))*24,IF(MOD(F1115,1)&lt;TIME(6,0,0),(MOD(F1115,1)+1-TIME(22,0,0))*24,0)),2))</f>
        <v/>
      </c>
      <c r="K1115" s="33">
        <f>IF(H1115="","",ROUND(IF(L1115="휴일근로",MIN(H1115,8)*1.5+MAX(0,H1115-8)*2,I1115*1.5)+N(J1115)*0.5,2))</f>
        <v/>
      </c>
      <c r="L1115" s="18" t="n"/>
      <c r="M1115" s="18" t="n"/>
      <c r="N1115" s="22" t="n"/>
    </row>
    <row r="1116">
      <c r="A1116" s="19" t="n"/>
      <c r="B1116" s="25">
        <f>IF(A1116="","",CHOOSE(WEEKDAY(A1116,2),"월","화","수","목","금","토","일"))</f>
        <v/>
      </c>
      <c r="C1116" s="18" t="n"/>
      <c r="D1116" s="25">
        <f>IFERROR(IF(C1116="","",INDEX(직원명부!$B$5:$B$24,MATCH(C1116,직원명부!$A$5:$A$24,0))),"사번 확인")</f>
        <v/>
      </c>
      <c r="E1116" s="34" t="n"/>
      <c r="F1116" s="34" t="n"/>
      <c r="G1116" s="28" t="n"/>
      <c r="H1116" s="33">
        <f>IF(OR(E1116="",F1116=""),"",ROUND(MOD(F1116-E1116,1)*24-N(G1116),2))</f>
        <v/>
      </c>
      <c r="I1116" s="33">
        <f>IF(H1116="","",ROUND(MAX(0,H1116-8),2))</f>
        <v/>
      </c>
      <c r="J1116" s="33">
        <f>IF(OR(E1116="",F1116=""),"",ROUND(IF(MOD(F1116,1)&gt;=TIME(22,0,0),(MOD(F1116,1)-TIME(22,0,0))*24,IF(MOD(F1116,1)&lt;TIME(6,0,0),(MOD(F1116,1)+1-TIME(22,0,0))*24,0)),2))</f>
        <v/>
      </c>
      <c r="K1116" s="33">
        <f>IF(H1116="","",ROUND(IF(L1116="휴일근로",MIN(H1116,8)*1.5+MAX(0,H1116-8)*2,I1116*1.5)+N(J1116)*0.5,2))</f>
        <v/>
      </c>
      <c r="L1116" s="18" t="n"/>
      <c r="M1116" s="18" t="n"/>
      <c r="N1116" s="22" t="n"/>
    </row>
    <row r="1117">
      <c r="A1117" s="19" t="n"/>
      <c r="B1117" s="25">
        <f>IF(A1117="","",CHOOSE(WEEKDAY(A1117,2),"월","화","수","목","금","토","일"))</f>
        <v/>
      </c>
      <c r="C1117" s="18" t="n"/>
      <c r="D1117" s="25">
        <f>IFERROR(IF(C1117="","",INDEX(직원명부!$B$5:$B$24,MATCH(C1117,직원명부!$A$5:$A$24,0))),"사번 확인")</f>
        <v/>
      </c>
      <c r="E1117" s="34" t="n"/>
      <c r="F1117" s="34" t="n"/>
      <c r="G1117" s="28" t="n"/>
      <c r="H1117" s="33">
        <f>IF(OR(E1117="",F1117=""),"",ROUND(MOD(F1117-E1117,1)*24-N(G1117),2))</f>
        <v/>
      </c>
      <c r="I1117" s="33">
        <f>IF(H1117="","",ROUND(MAX(0,H1117-8),2))</f>
        <v/>
      </c>
      <c r="J1117" s="33">
        <f>IF(OR(E1117="",F1117=""),"",ROUND(IF(MOD(F1117,1)&gt;=TIME(22,0,0),(MOD(F1117,1)-TIME(22,0,0))*24,IF(MOD(F1117,1)&lt;TIME(6,0,0),(MOD(F1117,1)+1-TIME(22,0,0))*24,0)),2))</f>
        <v/>
      </c>
      <c r="K1117" s="33">
        <f>IF(H1117="","",ROUND(IF(L1117="휴일근로",MIN(H1117,8)*1.5+MAX(0,H1117-8)*2,I1117*1.5)+N(J1117)*0.5,2))</f>
        <v/>
      </c>
      <c r="L1117" s="18" t="n"/>
      <c r="M1117" s="18" t="n"/>
      <c r="N1117" s="22" t="n"/>
    </row>
    <row r="1118">
      <c r="A1118" s="19" t="n"/>
      <c r="B1118" s="25">
        <f>IF(A1118="","",CHOOSE(WEEKDAY(A1118,2),"월","화","수","목","금","토","일"))</f>
        <v/>
      </c>
      <c r="C1118" s="18" t="n"/>
      <c r="D1118" s="25">
        <f>IFERROR(IF(C1118="","",INDEX(직원명부!$B$5:$B$24,MATCH(C1118,직원명부!$A$5:$A$24,0))),"사번 확인")</f>
        <v/>
      </c>
      <c r="E1118" s="34" t="n"/>
      <c r="F1118" s="34" t="n"/>
      <c r="G1118" s="28" t="n"/>
      <c r="H1118" s="33">
        <f>IF(OR(E1118="",F1118=""),"",ROUND(MOD(F1118-E1118,1)*24-N(G1118),2))</f>
        <v/>
      </c>
      <c r="I1118" s="33">
        <f>IF(H1118="","",ROUND(MAX(0,H1118-8),2))</f>
        <v/>
      </c>
      <c r="J1118" s="33">
        <f>IF(OR(E1118="",F1118=""),"",ROUND(IF(MOD(F1118,1)&gt;=TIME(22,0,0),(MOD(F1118,1)-TIME(22,0,0))*24,IF(MOD(F1118,1)&lt;TIME(6,0,0),(MOD(F1118,1)+1-TIME(22,0,0))*24,0)),2))</f>
        <v/>
      </c>
      <c r="K1118" s="33">
        <f>IF(H1118="","",ROUND(IF(L1118="휴일근로",MIN(H1118,8)*1.5+MAX(0,H1118-8)*2,I1118*1.5)+N(J1118)*0.5,2))</f>
        <v/>
      </c>
      <c r="L1118" s="18" t="n"/>
      <c r="M1118" s="18" t="n"/>
      <c r="N1118" s="22" t="n"/>
    </row>
    <row r="1119">
      <c r="A1119" s="19" t="n"/>
      <c r="B1119" s="25">
        <f>IF(A1119="","",CHOOSE(WEEKDAY(A1119,2),"월","화","수","목","금","토","일"))</f>
        <v/>
      </c>
      <c r="C1119" s="18" t="n"/>
      <c r="D1119" s="25">
        <f>IFERROR(IF(C1119="","",INDEX(직원명부!$B$5:$B$24,MATCH(C1119,직원명부!$A$5:$A$24,0))),"사번 확인")</f>
        <v/>
      </c>
      <c r="E1119" s="34" t="n"/>
      <c r="F1119" s="34" t="n"/>
      <c r="G1119" s="28" t="n"/>
      <c r="H1119" s="33">
        <f>IF(OR(E1119="",F1119=""),"",ROUND(MOD(F1119-E1119,1)*24-N(G1119),2))</f>
        <v/>
      </c>
      <c r="I1119" s="33">
        <f>IF(H1119="","",ROUND(MAX(0,H1119-8),2))</f>
        <v/>
      </c>
      <c r="J1119" s="33">
        <f>IF(OR(E1119="",F1119=""),"",ROUND(IF(MOD(F1119,1)&gt;=TIME(22,0,0),(MOD(F1119,1)-TIME(22,0,0))*24,IF(MOD(F1119,1)&lt;TIME(6,0,0),(MOD(F1119,1)+1-TIME(22,0,0))*24,0)),2))</f>
        <v/>
      </c>
      <c r="K1119" s="33">
        <f>IF(H1119="","",ROUND(IF(L1119="휴일근로",MIN(H1119,8)*1.5+MAX(0,H1119-8)*2,I1119*1.5)+N(J1119)*0.5,2))</f>
        <v/>
      </c>
      <c r="L1119" s="18" t="n"/>
      <c r="M1119" s="18" t="n"/>
      <c r="N1119" s="22" t="n"/>
    </row>
    <row r="1120">
      <c r="A1120" s="19" t="n"/>
      <c r="B1120" s="25">
        <f>IF(A1120="","",CHOOSE(WEEKDAY(A1120,2),"월","화","수","목","금","토","일"))</f>
        <v/>
      </c>
      <c r="C1120" s="18" t="n"/>
      <c r="D1120" s="25">
        <f>IFERROR(IF(C1120="","",INDEX(직원명부!$B$5:$B$24,MATCH(C1120,직원명부!$A$5:$A$24,0))),"사번 확인")</f>
        <v/>
      </c>
      <c r="E1120" s="34" t="n"/>
      <c r="F1120" s="34" t="n"/>
      <c r="G1120" s="28" t="n"/>
      <c r="H1120" s="33">
        <f>IF(OR(E1120="",F1120=""),"",ROUND(MOD(F1120-E1120,1)*24-N(G1120),2))</f>
        <v/>
      </c>
      <c r="I1120" s="33">
        <f>IF(H1120="","",ROUND(MAX(0,H1120-8),2))</f>
        <v/>
      </c>
      <c r="J1120" s="33">
        <f>IF(OR(E1120="",F1120=""),"",ROUND(IF(MOD(F1120,1)&gt;=TIME(22,0,0),(MOD(F1120,1)-TIME(22,0,0))*24,IF(MOD(F1120,1)&lt;TIME(6,0,0),(MOD(F1120,1)+1-TIME(22,0,0))*24,0)),2))</f>
        <v/>
      </c>
      <c r="K1120" s="33">
        <f>IF(H1120="","",ROUND(IF(L1120="휴일근로",MIN(H1120,8)*1.5+MAX(0,H1120-8)*2,I1120*1.5)+N(J1120)*0.5,2))</f>
        <v/>
      </c>
      <c r="L1120" s="18" t="n"/>
      <c r="M1120" s="18" t="n"/>
      <c r="N1120" s="22" t="n"/>
    </row>
    <row r="1121">
      <c r="A1121" s="19" t="n"/>
      <c r="B1121" s="25">
        <f>IF(A1121="","",CHOOSE(WEEKDAY(A1121,2),"월","화","수","목","금","토","일"))</f>
        <v/>
      </c>
      <c r="C1121" s="18" t="n"/>
      <c r="D1121" s="25">
        <f>IFERROR(IF(C1121="","",INDEX(직원명부!$B$5:$B$24,MATCH(C1121,직원명부!$A$5:$A$24,0))),"사번 확인")</f>
        <v/>
      </c>
      <c r="E1121" s="34" t="n"/>
      <c r="F1121" s="34" t="n"/>
      <c r="G1121" s="28" t="n"/>
      <c r="H1121" s="33">
        <f>IF(OR(E1121="",F1121=""),"",ROUND(MOD(F1121-E1121,1)*24-N(G1121),2))</f>
        <v/>
      </c>
      <c r="I1121" s="33">
        <f>IF(H1121="","",ROUND(MAX(0,H1121-8),2))</f>
        <v/>
      </c>
      <c r="J1121" s="33">
        <f>IF(OR(E1121="",F1121=""),"",ROUND(IF(MOD(F1121,1)&gt;=TIME(22,0,0),(MOD(F1121,1)-TIME(22,0,0))*24,IF(MOD(F1121,1)&lt;TIME(6,0,0),(MOD(F1121,1)+1-TIME(22,0,0))*24,0)),2))</f>
        <v/>
      </c>
      <c r="K1121" s="33">
        <f>IF(H1121="","",ROUND(IF(L1121="휴일근로",MIN(H1121,8)*1.5+MAX(0,H1121-8)*2,I1121*1.5)+N(J1121)*0.5,2))</f>
        <v/>
      </c>
      <c r="L1121" s="18" t="n"/>
      <c r="M1121" s="18" t="n"/>
      <c r="N1121" s="22" t="n"/>
    </row>
    <row r="1122">
      <c r="A1122" s="19" t="n"/>
      <c r="B1122" s="25">
        <f>IF(A1122="","",CHOOSE(WEEKDAY(A1122,2),"월","화","수","목","금","토","일"))</f>
        <v/>
      </c>
      <c r="C1122" s="18" t="n"/>
      <c r="D1122" s="25">
        <f>IFERROR(IF(C1122="","",INDEX(직원명부!$B$5:$B$24,MATCH(C1122,직원명부!$A$5:$A$24,0))),"사번 확인")</f>
        <v/>
      </c>
      <c r="E1122" s="34" t="n"/>
      <c r="F1122" s="34" t="n"/>
      <c r="G1122" s="28" t="n"/>
      <c r="H1122" s="33">
        <f>IF(OR(E1122="",F1122=""),"",ROUND(MOD(F1122-E1122,1)*24-N(G1122),2))</f>
        <v/>
      </c>
      <c r="I1122" s="33">
        <f>IF(H1122="","",ROUND(MAX(0,H1122-8),2))</f>
        <v/>
      </c>
      <c r="J1122" s="33">
        <f>IF(OR(E1122="",F1122=""),"",ROUND(IF(MOD(F1122,1)&gt;=TIME(22,0,0),(MOD(F1122,1)-TIME(22,0,0))*24,IF(MOD(F1122,1)&lt;TIME(6,0,0),(MOD(F1122,1)+1-TIME(22,0,0))*24,0)),2))</f>
        <v/>
      </c>
      <c r="K1122" s="33">
        <f>IF(H1122="","",ROUND(IF(L1122="휴일근로",MIN(H1122,8)*1.5+MAX(0,H1122-8)*2,I1122*1.5)+N(J1122)*0.5,2))</f>
        <v/>
      </c>
      <c r="L1122" s="18" t="n"/>
      <c r="M1122" s="18" t="n"/>
      <c r="N1122" s="22" t="n"/>
    </row>
    <row r="1123">
      <c r="A1123" s="19" t="n"/>
      <c r="B1123" s="25">
        <f>IF(A1123="","",CHOOSE(WEEKDAY(A1123,2),"월","화","수","목","금","토","일"))</f>
        <v/>
      </c>
      <c r="C1123" s="18" t="n"/>
      <c r="D1123" s="25">
        <f>IFERROR(IF(C1123="","",INDEX(직원명부!$B$5:$B$24,MATCH(C1123,직원명부!$A$5:$A$24,0))),"사번 확인")</f>
        <v/>
      </c>
      <c r="E1123" s="34" t="n"/>
      <c r="F1123" s="34" t="n"/>
      <c r="G1123" s="28" t="n"/>
      <c r="H1123" s="33">
        <f>IF(OR(E1123="",F1123=""),"",ROUND(MOD(F1123-E1123,1)*24-N(G1123),2))</f>
        <v/>
      </c>
      <c r="I1123" s="33">
        <f>IF(H1123="","",ROUND(MAX(0,H1123-8),2))</f>
        <v/>
      </c>
      <c r="J1123" s="33">
        <f>IF(OR(E1123="",F1123=""),"",ROUND(IF(MOD(F1123,1)&gt;=TIME(22,0,0),(MOD(F1123,1)-TIME(22,0,0))*24,IF(MOD(F1123,1)&lt;TIME(6,0,0),(MOD(F1123,1)+1-TIME(22,0,0))*24,0)),2))</f>
        <v/>
      </c>
      <c r="K1123" s="33">
        <f>IF(H1123="","",ROUND(IF(L1123="휴일근로",MIN(H1123,8)*1.5+MAX(0,H1123-8)*2,I1123*1.5)+N(J1123)*0.5,2))</f>
        <v/>
      </c>
      <c r="L1123" s="18" t="n"/>
      <c r="M1123" s="18" t="n"/>
      <c r="N1123" s="22" t="n"/>
    </row>
    <row r="1124">
      <c r="A1124" s="19" t="n"/>
      <c r="B1124" s="25">
        <f>IF(A1124="","",CHOOSE(WEEKDAY(A1124,2),"월","화","수","목","금","토","일"))</f>
        <v/>
      </c>
      <c r="C1124" s="18" t="n"/>
      <c r="D1124" s="25">
        <f>IFERROR(IF(C1124="","",INDEX(직원명부!$B$5:$B$24,MATCH(C1124,직원명부!$A$5:$A$24,0))),"사번 확인")</f>
        <v/>
      </c>
      <c r="E1124" s="34" t="n"/>
      <c r="F1124" s="34" t="n"/>
      <c r="G1124" s="28" t="n"/>
      <c r="H1124" s="33">
        <f>IF(OR(E1124="",F1124=""),"",ROUND(MOD(F1124-E1124,1)*24-N(G1124),2))</f>
        <v/>
      </c>
      <c r="I1124" s="33">
        <f>IF(H1124="","",ROUND(MAX(0,H1124-8),2))</f>
        <v/>
      </c>
      <c r="J1124" s="33">
        <f>IF(OR(E1124="",F1124=""),"",ROUND(IF(MOD(F1124,1)&gt;=TIME(22,0,0),(MOD(F1124,1)-TIME(22,0,0))*24,IF(MOD(F1124,1)&lt;TIME(6,0,0),(MOD(F1124,1)+1-TIME(22,0,0))*24,0)),2))</f>
        <v/>
      </c>
      <c r="K1124" s="33">
        <f>IF(H1124="","",ROUND(IF(L1124="휴일근로",MIN(H1124,8)*1.5+MAX(0,H1124-8)*2,I1124*1.5)+N(J1124)*0.5,2))</f>
        <v/>
      </c>
      <c r="L1124" s="18" t="n"/>
      <c r="M1124" s="18" t="n"/>
      <c r="N1124" s="22" t="n"/>
    </row>
    <row r="1125">
      <c r="A1125" s="19" t="n"/>
      <c r="B1125" s="25">
        <f>IF(A1125="","",CHOOSE(WEEKDAY(A1125,2),"월","화","수","목","금","토","일"))</f>
        <v/>
      </c>
      <c r="C1125" s="18" t="n"/>
      <c r="D1125" s="25">
        <f>IFERROR(IF(C1125="","",INDEX(직원명부!$B$5:$B$24,MATCH(C1125,직원명부!$A$5:$A$24,0))),"사번 확인")</f>
        <v/>
      </c>
      <c r="E1125" s="34" t="n"/>
      <c r="F1125" s="34" t="n"/>
      <c r="G1125" s="28" t="n"/>
      <c r="H1125" s="33">
        <f>IF(OR(E1125="",F1125=""),"",ROUND(MOD(F1125-E1125,1)*24-N(G1125),2))</f>
        <v/>
      </c>
      <c r="I1125" s="33">
        <f>IF(H1125="","",ROUND(MAX(0,H1125-8),2))</f>
        <v/>
      </c>
      <c r="J1125" s="33">
        <f>IF(OR(E1125="",F1125=""),"",ROUND(IF(MOD(F1125,1)&gt;=TIME(22,0,0),(MOD(F1125,1)-TIME(22,0,0))*24,IF(MOD(F1125,1)&lt;TIME(6,0,0),(MOD(F1125,1)+1-TIME(22,0,0))*24,0)),2))</f>
        <v/>
      </c>
      <c r="K1125" s="33">
        <f>IF(H1125="","",ROUND(IF(L1125="휴일근로",MIN(H1125,8)*1.5+MAX(0,H1125-8)*2,I1125*1.5)+N(J1125)*0.5,2))</f>
        <v/>
      </c>
      <c r="L1125" s="18" t="n"/>
      <c r="M1125" s="18" t="n"/>
      <c r="N1125" s="22" t="n"/>
    </row>
    <row r="1126">
      <c r="A1126" s="19" t="n"/>
      <c r="B1126" s="25">
        <f>IF(A1126="","",CHOOSE(WEEKDAY(A1126,2),"월","화","수","목","금","토","일"))</f>
        <v/>
      </c>
      <c r="C1126" s="18" t="n"/>
      <c r="D1126" s="25">
        <f>IFERROR(IF(C1126="","",INDEX(직원명부!$B$5:$B$24,MATCH(C1126,직원명부!$A$5:$A$24,0))),"사번 확인")</f>
        <v/>
      </c>
      <c r="E1126" s="34" t="n"/>
      <c r="F1126" s="34" t="n"/>
      <c r="G1126" s="28" t="n"/>
      <c r="H1126" s="33">
        <f>IF(OR(E1126="",F1126=""),"",ROUND(MOD(F1126-E1126,1)*24-N(G1126),2))</f>
        <v/>
      </c>
      <c r="I1126" s="33">
        <f>IF(H1126="","",ROUND(MAX(0,H1126-8),2))</f>
        <v/>
      </c>
      <c r="J1126" s="33">
        <f>IF(OR(E1126="",F1126=""),"",ROUND(IF(MOD(F1126,1)&gt;=TIME(22,0,0),(MOD(F1126,1)-TIME(22,0,0))*24,IF(MOD(F1126,1)&lt;TIME(6,0,0),(MOD(F1126,1)+1-TIME(22,0,0))*24,0)),2))</f>
        <v/>
      </c>
      <c r="K1126" s="33">
        <f>IF(H1126="","",ROUND(IF(L1126="휴일근로",MIN(H1126,8)*1.5+MAX(0,H1126-8)*2,I1126*1.5)+N(J1126)*0.5,2))</f>
        <v/>
      </c>
      <c r="L1126" s="18" t="n"/>
      <c r="M1126" s="18" t="n"/>
      <c r="N1126" s="22" t="n"/>
    </row>
    <row r="1127">
      <c r="A1127" s="19" t="n"/>
      <c r="B1127" s="25">
        <f>IF(A1127="","",CHOOSE(WEEKDAY(A1127,2),"월","화","수","목","금","토","일"))</f>
        <v/>
      </c>
      <c r="C1127" s="18" t="n"/>
      <c r="D1127" s="25">
        <f>IFERROR(IF(C1127="","",INDEX(직원명부!$B$5:$B$24,MATCH(C1127,직원명부!$A$5:$A$24,0))),"사번 확인")</f>
        <v/>
      </c>
      <c r="E1127" s="34" t="n"/>
      <c r="F1127" s="34" t="n"/>
      <c r="G1127" s="28" t="n"/>
      <c r="H1127" s="33">
        <f>IF(OR(E1127="",F1127=""),"",ROUND(MOD(F1127-E1127,1)*24-N(G1127),2))</f>
        <v/>
      </c>
      <c r="I1127" s="33">
        <f>IF(H1127="","",ROUND(MAX(0,H1127-8),2))</f>
        <v/>
      </c>
      <c r="J1127" s="33">
        <f>IF(OR(E1127="",F1127=""),"",ROUND(IF(MOD(F1127,1)&gt;=TIME(22,0,0),(MOD(F1127,1)-TIME(22,0,0))*24,IF(MOD(F1127,1)&lt;TIME(6,0,0),(MOD(F1127,1)+1-TIME(22,0,0))*24,0)),2))</f>
        <v/>
      </c>
      <c r="K1127" s="33">
        <f>IF(H1127="","",ROUND(IF(L1127="휴일근로",MIN(H1127,8)*1.5+MAX(0,H1127-8)*2,I1127*1.5)+N(J1127)*0.5,2))</f>
        <v/>
      </c>
      <c r="L1127" s="18" t="n"/>
      <c r="M1127" s="18" t="n"/>
      <c r="N1127" s="22" t="n"/>
    </row>
    <row r="1128">
      <c r="A1128" s="19" t="n"/>
      <c r="B1128" s="25">
        <f>IF(A1128="","",CHOOSE(WEEKDAY(A1128,2),"월","화","수","목","금","토","일"))</f>
        <v/>
      </c>
      <c r="C1128" s="18" t="n"/>
      <c r="D1128" s="25">
        <f>IFERROR(IF(C1128="","",INDEX(직원명부!$B$5:$B$24,MATCH(C1128,직원명부!$A$5:$A$24,0))),"사번 확인")</f>
        <v/>
      </c>
      <c r="E1128" s="34" t="n"/>
      <c r="F1128" s="34" t="n"/>
      <c r="G1128" s="28" t="n"/>
      <c r="H1128" s="33">
        <f>IF(OR(E1128="",F1128=""),"",ROUND(MOD(F1128-E1128,1)*24-N(G1128),2))</f>
        <v/>
      </c>
      <c r="I1128" s="33">
        <f>IF(H1128="","",ROUND(MAX(0,H1128-8),2))</f>
        <v/>
      </c>
      <c r="J1128" s="33">
        <f>IF(OR(E1128="",F1128=""),"",ROUND(IF(MOD(F1128,1)&gt;=TIME(22,0,0),(MOD(F1128,1)-TIME(22,0,0))*24,IF(MOD(F1128,1)&lt;TIME(6,0,0),(MOD(F1128,1)+1-TIME(22,0,0))*24,0)),2))</f>
        <v/>
      </c>
      <c r="K1128" s="33">
        <f>IF(H1128="","",ROUND(IF(L1128="휴일근로",MIN(H1128,8)*1.5+MAX(0,H1128-8)*2,I1128*1.5)+N(J1128)*0.5,2))</f>
        <v/>
      </c>
      <c r="L1128" s="18" t="n"/>
      <c r="M1128" s="18" t="n"/>
      <c r="N1128" s="22" t="n"/>
    </row>
    <row r="1129">
      <c r="A1129" s="19" t="n"/>
      <c r="B1129" s="25">
        <f>IF(A1129="","",CHOOSE(WEEKDAY(A1129,2),"월","화","수","목","금","토","일"))</f>
        <v/>
      </c>
      <c r="C1129" s="18" t="n"/>
      <c r="D1129" s="25">
        <f>IFERROR(IF(C1129="","",INDEX(직원명부!$B$5:$B$24,MATCH(C1129,직원명부!$A$5:$A$24,0))),"사번 확인")</f>
        <v/>
      </c>
      <c r="E1129" s="34" t="n"/>
      <c r="F1129" s="34" t="n"/>
      <c r="G1129" s="28" t="n"/>
      <c r="H1129" s="33">
        <f>IF(OR(E1129="",F1129=""),"",ROUND(MOD(F1129-E1129,1)*24-N(G1129),2))</f>
        <v/>
      </c>
      <c r="I1129" s="33">
        <f>IF(H1129="","",ROUND(MAX(0,H1129-8),2))</f>
        <v/>
      </c>
      <c r="J1129" s="33">
        <f>IF(OR(E1129="",F1129=""),"",ROUND(IF(MOD(F1129,1)&gt;=TIME(22,0,0),(MOD(F1129,1)-TIME(22,0,0))*24,IF(MOD(F1129,1)&lt;TIME(6,0,0),(MOD(F1129,1)+1-TIME(22,0,0))*24,0)),2))</f>
        <v/>
      </c>
      <c r="K1129" s="33">
        <f>IF(H1129="","",ROUND(IF(L1129="휴일근로",MIN(H1129,8)*1.5+MAX(0,H1129-8)*2,I1129*1.5)+N(J1129)*0.5,2))</f>
        <v/>
      </c>
      <c r="L1129" s="18" t="n"/>
      <c r="M1129" s="18" t="n"/>
      <c r="N1129" s="22" t="n"/>
    </row>
    <row r="1130">
      <c r="A1130" s="19" t="n"/>
      <c r="B1130" s="25">
        <f>IF(A1130="","",CHOOSE(WEEKDAY(A1130,2),"월","화","수","목","금","토","일"))</f>
        <v/>
      </c>
      <c r="C1130" s="18" t="n"/>
      <c r="D1130" s="25">
        <f>IFERROR(IF(C1130="","",INDEX(직원명부!$B$5:$B$24,MATCH(C1130,직원명부!$A$5:$A$24,0))),"사번 확인")</f>
        <v/>
      </c>
      <c r="E1130" s="34" t="n"/>
      <c r="F1130" s="34" t="n"/>
      <c r="G1130" s="28" t="n"/>
      <c r="H1130" s="33">
        <f>IF(OR(E1130="",F1130=""),"",ROUND(MOD(F1130-E1130,1)*24-N(G1130),2))</f>
        <v/>
      </c>
      <c r="I1130" s="33">
        <f>IF(H1130="","",ROUND(MAX(0,H1130-8),2))</f>
        <v/>
      </c>
      <c r="J1130" s="33">
        <f>IF(OR(E1130="",F1130=""),"",ROUND(IF(MOD(F1130,1)&gt;=TIME(22,0,0),(MOD(F1130,1)-TIME(22,0,0))*24,IF(MOD(F1130,1)&lt;TIME(6,0,0),(MOD(F1130,1)+1-TIME(22,0,0))*24,0)),2))</f>
        <v/>
      </c>
      <c r="K1130" s="33">
        <f>IF(H1130="","",ROUND(IF(L1130="휴일근로",MIN(H1130,8)*1.5+MAX(0,H1130-8)*2,I1130*1.5)+N(J1130)*0.5,2))</f>
        <v/>
      </c>
      <c r="L1130" s="18" t="n"/>
      <c r="M1130" s="18" t="n"/>
      <c r="N1130" s="22" t="n"/>
    </row>
    <row r="1131">
      <c r="A1131" s="19" t="n"/>
      <c r="B1131" s="25">
        <f>IF(A1131="","",CHOOSE(WEEKDAY(A1131,2),"월","화","수","목","금","토","일"))</f>
        <v/>
      </c>
      <c r="C1131" s="18" t="n"/>
      <c r="D1131" s="25">
        <f>IFERROR(IF(C1131="","",INDEX(직원명부!$B$5:$B$24,MATCH(C1131,직원명부!$A$5:$A$24,0))),"사번 확인")</f>
        <v/>
      </c>
      <c r="E1131" s="34" t="n"/>
      <c r="F1131" s="34" t="n"/>
      <c r="G1131" s="28" t="n"/>
      <c r="H1131" s="33">
        <f>IF(OR(E1131="",F1131=""),"",ROUND(MOD(F1131-E1131,1)*24-N(G1131),2))</f>
        <v/>
      </c>
      <c r="I1131" s="33">
        <f>IF(H1131="","",ROUND(MAX(0,H1131-8),2))</f>
        <v/>
      </c>
      <c r="J1131" s="33">
        <f>IF(OR(E1131="",F1131=""),"",ROUND(IF(MOD(F1131,1)&gt;=TIME(22,0,0),(MOD(F1131,1)-TIME(22,0,0))*24,IF(MOD(F1131,1)&lt;TIME(6,0,0),(MOD(F1131,1)+1-TIME(22,0,0))*24,0)),2))</f>
        <v/>
      </c>
      <c r="K1131" s="33">
        <f>IF(H1131="","",ROUND(IF(L1131="휴일근로",MIN(H1131,8)*1.5+MAX(0,H1131-8)*2,I1131*1.5)+N(J1131)*0.5,2))</f>
        <v/>
      </c>
      <c r="L1131" s="18" t="n"/>
      <c r="M1131" s="18" t="n"/>
      <c r="N1131" s="22" t="n"/>
    </row>
    <row r="1132">
      <c r="A1132" s="19" t="n"/>
      <c r="B1132" s="25">
        <f>IF(A1132="","",CHOOSE(WEEKDAY(A1132,2),"월","화","수","목","금","토","일"))</f>
        <v/>
      </c>
      <c r="C1132" s="18" t="n"/>
      <c r="D1132" s="25">
        <f>IFERROR(IF(C1132="","",INDEX(직원명부!$B$5:$B$24,MATCH(C1132,직원명부!$A$5:$A$24,0))),"사번 확인")</f>
        <v/>
      </c>
      <c r="E1132" s="34" t="n"/>
      <c r="F1132" s="34" t="n"/>
      <c r="G1132" s="28" t="n"/>
      <c r="H1132" s="33">
        <f>IF(OR(E1132="",F1132=""),"",ROUND(MOD(F1132-E1132,1)*24-N(G1132),2))</f>
        <v/>
      </c>
      <c r="I1132" s="33">
        <f>IF(H1132="","",ROUND(MAX(0,H1132-8),2))</f>
        <v/>
      </c>
      <c r="J1132" s="33">
        <f>IF(OR(E1132="",F1132=""),"",ROUND(IF(MOD(F1132,1)&gt;=TIME(22,0,0),(MOD(F1132,1)-TIME(22,0,0))*24,IF(MOD(F1132,1)&lt;TIME(6,0,0),(MOD(F1132,1)+1-TIME(22,0,0))*24,0)),2))</f>
        <v/>
      </c>
      <c r="K1132" s="33">
        <f>IF(H1132="","",ROUND(IF(L1132="휴일근로",MIN(H1132,8)*1.5+MAX(0,H1132-8)*2,I1132*1.5)+N(J1132)*0.5,2))</f>
        <v/>
      </c>
      <c r="L1132" s="18" t="n"/>
      <c r="M1132" s="18" t="n"/>
      <c r="N1132" s="22" t="n"/>
    </row>
    <row r="1133">
      <c r="A1133" s="19" t="n"/>
      <c r="B1133" s="25">
        <f>IF(A1133="","",CHOOSE(WEEKDAY(A1133,2),"월","화","수","목","금","토","일"))</f>
        <v/>
      </c>
      <c r="C1133" s="18" t="n"/>
      <c r="D1133" s="25">
        <f>IFERROR(IF(C1133="","",INDEX(직원명부!$B$5:$B$24,MATCH(C1133,직원명부!$A$5:$A$24,0))),"사번 확인")</f>
        <v/>
      </c>
      <c r="E1133" s="34" t="n"/>
      <c r="F1133" s="34" t="n"/>
      <c r="G1133" s="28" t="n"/>
      <c r="H1133" s="33">
        <f>IF(OR(E1133="",F1133=""),"",ROUND(MOD(F1133-E1133,1)*24-N(G1133),2))</f>
        <v/>
      </c>
      <c r="I1133" s="33">
        <f>IF(H1133="","",ROUND(MAX(0,H1133-8),2))</f>
        <v/>
      </c>
      <c r="J1133" s="33">
        <f>IF(OR(E1133="",F1133=""),"",ROUND(IF(MOD(F1133,1)&gt;=TIME(22,0,0),(MOD(F1133,1)-TIME(22,0,0))*24,IF(MOD(F1133,1)&lt;TIME(6,0,0),(MOD(F1133,1)+1-TIME(22,0,0))*24,0)),2))</f>
        <v/>
      </c>
      <c r="K1133" s="33">
        <f>IF(H1133="","",ROUND(IF(L1133="휴일근로",MIN(H1133,8)*1.5+MAX(0,H1133-8)*2,I1133*1.5)+N(J1133)*0.5,2))</f>
        <v/>
      </c>
      <c r="L1133" s="18" t="n"/>
      <c r="M1133" s="18" t="n"/>
      <c r="N1133" s="22" t="n"/>
    </row>
    <row r="1134">
      <c r="A1134" s="19" t="n"/>
      <c r="B1134" s="25">
        <f>IF(A1134="","",CHOOSE(WEEKDAY(A1134,2),"월","화","수","목","금","토","일"))</f>
        <v/>
      </c>
      <c r="C1134" s="18" t="n"/>
      <c r="D1134" s="25">
        <f>IFERROR(IF(C1134="","",INDEX(직원명부!$B$5:$B$24,MATCH(C1134,직원명부!$A$5:$A$24,0))),"사번 확인")</f>
        <v/>
      </c>
      <c r="E1134" s="34" t="n"/>
      <c r="F1134" s="34" t="n"/>
      <c r="G1134" s="28" t="n"/>
      <c r="H1134" s="33">
        <f>IF(OR(E1134="",F1134=""),"",ROUND(MOD(F1134-E1134,1)*24-N(G1134),2))</f>
        <v/>
      </c>
      <c r="I1134" s="33">
        <f>IF(H1134="","",ROUND(MAX(0,H1134-8),2))</f>
        <v/>
      </c>
      <c r="J1134" s="33">
        <f>IF(OR(E1134="",F1134=""),"",ROUND(IF(MOD(F1134,1)&gt;=TIME(22,0,0),(MOD(F1134,1)-TIME(22,0,0))*24,IF(MOD(F1134,1)&lt;TIME(6,0,0),(MOD(F1134,1)+1-TIME(22,0,0))*24,0)),2))</f>
        <v/>
      </c>
      <c r="K1134" s="33">
        <f>IF(H1134="","",ROUND(IF(L1134="휴일근로",MIN(H1134,8)*1.5+MAX(0,H1134-8)*2,I1134*1.5)+N(J1134)*0.5,2))</f>
        <v/>
      </c>
      <c r="L1134" s="18" t="n"/>
      <c r="M1134" s="18" t="n"/>
      <c r="N1134" s="22" t="n"/>
    </row>
    <row r="1135">
      <c r="A1135" s="19" t="n"/>
      <c r="B1135" s="25">
        <f>IF(A1135="","",CHOOSE(WEEKDAY(A1135,2),"월","화","수","목","금","토","일"))</f>
        <v/>
      </c>
      <c r="C1135" s="18" t="n"/>
      <c r="D1135" s="25">
        <f>IFERROR(IF(C1135="","",INDEX(직원명부!$B$5:$B$24,MATCH(C1135,직원명부!$A$5:$A$24,0))),"사번 확인")</f>
        <v/>
      </c>
      <c r="E1135" s="34" t="n"/>
      <c r="F1135" s="34" t="n"/>
      <c r="G1135" s="28" t="n"/>
      <c r="H1135" s="33">
        <f>IF(OR(E1135="",F1135=""),"",ROUND(MOD(F1135-E1135,1)*24-N(G1135),2))</f>
        <v/>
      </c>
      <c r="I1135" s="33">
        <f>IF(H1135="","",ROUND(MAX(0,H1135-8),2))</f>
        <v/>
      </c>
      <c r="J1135" s="33">
        <f>IF(OR(E1135="",F1135=""),"",ROUND(IF(MOD(F1135,1)&gt;=TIME(22,0,0),(MOD(F1135,1)-TIME(22,0,0))*24,IF(MOD(F1135,1)&lt;TIME(6,0,0),(MOD(F1135,1)+1-TIME(22,0,0))*24,0)),2))</f>
        <v/>
      </c>
      <c r="K1135" s="33">
        <f>IF(H1135="","",ROUND(IF(L1135="휴일근로",MIN(H1135,8)*1.5+MAX(0,H1135-8)*2,I1135*1.5)+N(J1135)*0.5,2))</f>
        <v/>
      </c>
      <c r="L1135" s="18" t="n"/>
      <c r="M1135" s="18" t="n"/>
      <c r="N1135" s="22" t="n"/>
    </row>
    <row r="1136">
      <c r="A1136" s="19" t="n"/>
      <c r="B1136" s="25">
        <f>IF(A1136="","",CHOOSE(WEEKDAY(A1136,2),"월","화","수","목","금","토","일"))</f>
        <v/>
      </c>
      <c r="C1136" s="18" t="n"/>
      <c r="D1136" s="25">
        <f>IFERROR(IF(C1136="","",INDEX(직원명부!$B$5:$B$24,MATCH(C1136,직원명부!$A$5:$A$24,0))),"사번 확인")</f>
        <v/>
      </c>
      <c r="E1136" s="34" t="n"/>
      <c r="F1136" s="34" t="n"/>
      <c r="G1136" s="28" t="n"/>
      <c r="H1136" s="33">
        <f>IF(OR(E1136="",F1136=""),"",ROUND(MOD(F1136-E1136,1)*24-N(G1136),2))</f>
        <v/>
      </c>
      <c r="I1136" s="33">
        <f>IF(H1136="","",ROUND(MAX(0,H1136-8),2))</f>
        <v/>
      </c>
      <c r="J1136" s="33">
        <f>IF(OR(E1136="",F1136=""),"",ROUND(IF(MOD(F1136,1)&gt;=TIME(22,0,0),(MOD(F1136,1)-TIME(22,0,0))*24,IF(MOD(F1136,1)&lt;TIME(6,0,0),(MOD(F1136,1)+1-TIME(22,0,0))*24,0)),2))</f>
        <v/>
      </c>
      <c r="K1136" s="33">
        <f>IF(H1136="","",ROUND(IF(L1136="휴일근로",MIN(H1136,8)*1.5+MAX(0,H1136-8)*2,I1136*1.5)+N(J1136)*0.5,2))</f>
        <v/>
      </c>
      <c r="L1136" s="18" t="n"/>
      <c r="M1136" s="18" t="n"/>
      <c r="N1136" s="22" t="n"/>
    </row>
    <row r="1137">
      <c r="A1137" s="19" t="n"/>
      <c r="B1137" s="25">
        <f>IF(A1137="","",CHOOSE(WEEKDAY(A1137,2),"월","화","수","목","금","토","일"))</f>
        <v/>
      </c>
      <c r="C1137" s="18" t="n"/>
      <c r="D1137" s="25">
        <f>IFERROR(IF(C1137="","",INDEX(직원명부!$B$5:$B$24,MATCH(C1137,직원명부!$A$5:$A$24,0))),"사번 확인")</f>
        <v/>
      </c>
      <c r="E1137" s="34" t="n"/>
      <c r="F1137" s="34" t="n"/>
      <c r="G1137" s="28" t="n"/>
      <c r="H1137" s="33">
        <f>IF(OR(E1137="",F1137=""),"",ROUND(MOD(F1137-E1137,1)*24-N(G1137),2))</f>
        <v/>
      </c>
      <c r="I1137" s="33">
        <f>IF(H1137="","",ROUND(MAX(0,H1137-8),2))</f>
        <v/>
      </c>
      <c r="J1137" s="33">
        <f>IF(OR(E1137="",F1137=""),"",ROUND(IF(MOD(F1137,1)&gt;=TIME(22,0,0),(MOD(F1137,1)-TIME(22,0,0))*24,IF(MOD(F1137,1)&lt;TIME(6,0,0),(MOD(F1137,1)+1-TIME(22,0,0))*24,0)),2))</f>
        <v/>
      </c>
      <c r="K1137" s="33">
        <f>IF(H1137="","",ROUND(IF(L1137="휴일근로",MIN(H1137,8)*1.5+MAX(0,H1137-8)*2,I1137*1.5)+N(J1137)*0.5,2))</f>
        <v/>
      </c>
      <c r="L1137" s="18" t="n"/>
      <c r="M1137" s="18" t="n"/>
      <c r="N1137" s="22" t="n"/>
    </row>
    <row r="1138">
      <c r="A1138" s="19" t="n"/>
      <c r="B1138" s="25">
        <f>IF(A1138="","",CHOOSE(WEEKDAY(A1138,2),"월","화","수","목","금","토","일"))</f>
        <v/>
      </c>
      <c r="C1138" s="18" t="n"/>
      <c r="D1138" s="25">
        <f>IFERROR(IF(C1138="","",INDEX(직원명부!$B$5:$B$24,MATCH(C1138,직원명부!$A$5:$A$24,0))),"사번 확인")</f>
        <v/>
      </c>
      <c r="E1138" s="34" t="n"/>
      <c r="F1138" s="34" t="n"/>
      <c r="G1138" s="28" t="n"/>
      <c r="H1138" s="33">
        <f>IF(OR(E1138="",F1138=""),"",ROUND(MOD(F1138-E1138,1)*24-N(G1138),2))</f>
        <v/>
      </c>
      <c r="I1138" s="33">
        <f>IF(H1138="","",ROUND(MAX(0,H1138-8),2))</f>
        <v/>
      </c>
      <c r="J1138" s="33">
        <f>IF(OR(E1138="",F1138=""),"",ROUND(IF(MOD(F1138,1)&gt;=TIME(22,0,0),(MOD(F1138,1)-TIME(22,0,0))*24,IF(MOD(F1138,1)&lt;TIME(6,0,0),(MOD(F1138,1)+1-TIME(22,0,0))*24,0)),2))</f>
        <v/>
      </c>
      <c r="K1138" s="33">
        <f>IF(H1138="","",ROUND(IF(L1138="휴일근로",MIN(H1138,8)*1.5+MAX(0,H1138-8)*2,I1138*1.5)+N(J1138)*0.5,2))</f>
        <v/>
      </c>
      <c r="L1138" s="18" t="n"/>
      <c r="M1138" s="18" t="n"/>
      <c r="N1138" s="22" t="n"/>
    </row>
    <row r="1139">
      <c r="A1139" s="19" t="n"/>
      <c r="B1139" s="25">
        <f>IF(A1139="","",CHOOSE(WEEKDAY(A1139,2),"월","화","수","목","금","토","일"))</f>
        <v/>
      </c>
      <c r="C1139" s="18" t="n"/>
      <c r="D1139" s="25">
        <f>IFERROR(IF(C1139="","",INDEX(직원명부!$B$5:$B$24,MATCH(C1139,직원명부!$A$5:$A$24,0))),"사번 확인")</f>
        <v/>
      </c>
      <c r="E1139" s="34" t="n"/>
      <c r="F1139" s="34" t="n"/>
      <c r="G1139" s="28" t="n"/>
      <c r="H1139" s="33">
        <f>IF(OR(E1139="",F1139=""),"",ROUND(MOD(F1139-E1139,1)*24-N(G1139),2))</f>
        <v/>
      </c>
      <c r="I1139" s="33">
        <f>IF(H1139="","",ROUND(MAX(0,H1139-8),2))</f>
        <v/>
      </c>
      <c r="J1139" s="33">
        <f>IF(OR(E1139="",F1139=""),"",ROUND(IF(MOD(F1139,1)&gt;=TIME(22,0,0),(MOD(F1139,1)-TIME(22,0,0))*24,IF(MOD(F1139,1)&lt;TIME(6,0,0),(MOD(F1139,1)+1-TIME(22,0,0))*24,0)),2))</f>
        <v/>
      </c>
      <c r="K1139" s="33">
        <f>IF(H1139="","",ROUND(IF(L1139="휴일근로",MIN(H1139,8)*1.5+MAX(0,H1139-8)*2,I1139*1.5)+N(J1139)*0.5,2))</f>
        <v/>
      </c>
      <c r="L1139" s="18" t="n"/>
      <c r="M1139" s="18" t="n"/>
      <c r="N1139" s="22" t="n"/>
    </row>
    <row r="1140">
      <c r="A1140" s="19" t="n"/>
      <c r="B1140" s="25">
        <f>IF(A1140="","",CHOOSE(WEEKDAY(A1140,2),"월","화","수","목","금","토","일"))</f>
        <v/>
      </c>
      <c r="C1140" s="18" t="n"/>
      <c r="D1140" s="25">
        <f>IFERROR(IF(C1140="","",INDEX(직원명부!$B$5:$B$24,MATCH(C1140,직원명부!$A$5:$A$24,0))),"사번 확인")</f>
        <v/>
      </c>
      <c r="E1140" s="34" t="n"/>
      <c r="F1140" s="34" t="n"/>
      <c r="G1140" s="28" t="n"/>
      <c r="H1140" s="33">
        <f>IF(OR(E1140="",F1140=""),"",ROUND(MOD(F1140-E1140,1)*24-N(G1140),2))</f>
        <v/>
      </c>
      <c r="I1140" s="33">
        <f>IF(H1140="","",ROUND(MAX(0,H1140-8),2))</f>
        <v/>
      </c>
      <c r="J1140" s="33">
        <f>IF(OR(E1140="",F1140=""),"",ROUND(IF(MOD(F1140,1)&gt;=TIME(22,0,0),(MOD(F1140,1)-TIME(22,0,0))*24,IF(MOD(F1140,1)&lt;TIME(6,0,0),(MOD(F1140,1)+1-TIME(22,0,0))*24,0)),2))</f>
        <v/>
      </c>
      <c r="K1140" s="33">
        <f>IF(H1140="","",ROUND(IF(L1140="휴일근로",MIN(H1140,8)*1.5+MAX(0,H1140-8)*2,I1140*1.5)+N(J1140)*0.5,2))</f>
        <v/>
      </c>
      <c r="L1140" s="18" t="n"/>
      <c r="M1140" s="18" t="n"/>
      <c r="N1140" s="22" t="n"/>
    </row>
    <row r="1141">
      <c r="A1141" s="19" t="n"/>
      <c r="B1141" s="25">
        <f>IF(A1141="","",CHOOSE(WEEKDAY(A1141,2),"월","화","수","목","금","토","일"))</f>
        <v/>
      </c>
      <c r="C1141" s="18" t="n"/>
      <c r="D1141" s="25">
        <f>IFERROR(IF(C1141="","",INDEX(직원명부!$B$5:$B$24,MATCH(C1141,직원명부!$A$5:$A$24,0))),"사번 확인")</f>
        <v/>
      </c>
      <c r="E1141" s="34" t="n"/>
      <c r="F1141" s="34" t="n"/>
      <c r="G1141" s="28" t="n"/>
      <c r="H1141" s="33">
        <f>IF(OR(E1141="",F1141=""),"",ROUND(MOD(F1141-E1141,1)*24-N(G1141),2))</f>
        <v/>
      </c>
      <c r="I1141" s="33">
        <f>IF(H1141="","",ROUND(MAX(0,H1141-8),2))</f>
        <v/>
      </c>
      <c r="J1141" s="33">
        <f>IF(OR(E1141="",F1141=""),"",ROUND(IF(MOD(F1141,1)&gt;=TIME(22,0,0),(MOD(F1141,1)-TIME(22,0,0))*24,IF(MOD(F1141,1)&lt;TIME(6,0,0),(MOD(F1141,1)+1-TIME(22,0,0))*24,0)),2))</f>
        <v/>
      </c>
      <c r="K1141" s="33">
        <f>IF(H1141="","",ROUND(IF(L1141="휴일근로",MIN(H1141,8)*1.5+MAX(0,H1141-8)*2,I1141*1.5)+N(J1141)*0.5,2))</f>
        <v/>
      </c>
      <c r="L1141" s="18" t="n"/>
      <c r="M1141" s="18" t="n"/>
      <c r="N1141" s="22" t="n"/>
    </row>
    <row r="1142">
      <c r="A1142" s="19" t="n"/>
      <c r="B1142" s="25">
        <f>IF(A1142="","",CHOOSE(WEEKDAY(A1142,2),"월","화","수","목","금","토","일"))</f>
        <v/>
      </c>
      <c r="C1142" s="18" t="n"/>
      <c r="D1142" s="25">
        <f>IFERROR(IF(C1142="","",INDEX(직원명부!$B$5:$B$24,MATCH(C1142,직원명부!$A$5:$A$24,0))),"사번 확인")</f>
        <v/>
      </c>
      <c r="E1142" s="34" t="n"/>
      <c r="F1142" s="34" t="n"/>
      <c r="G1142" s="28" t="n"/>
      <c r="H1142" s="33">
        <f>IF(OR(E1142="",F1142=""),"",ROUND(MOD(F1142-E1142,1)*24-N(G1142),2))</f>
        <v/>
      </c>
      <c r="I1142" s="33">
        <f>IF(H1142="","",ROUND(MAX(0,H1142-8),2))</f>
        <v/>
      </c>
      <c r="J1142" s="33">
        <f>IF(OR(E1142="",F1142=""),"",ROUND(IF(MOD(F1142,1)&gt;=TIME(22,0,0),(MOD(F1142,1)-TIME(22,0,0))*24,IF(MOD(F1142,1)&lt;TIME(6,0,0),(MOD(F1142,1)+1-TIME(22,0,0))*24,0)),2))</f>
        <v/>
      </c>
      <c r="K1142" s="33">
        <f>IF(H1142="","",ROUND(IF(L1142="휴일근로",MIN(H1142,8)*1.5+MAX(0,H1142-8)*2,I1142*1.5)+N(J1142)*0.5,2))</f>
        <v/>
      </c>
      <c r="L1142" s="18" t="n"/>
      <c r="M1142" s="18" t="n"/>
      <c r="N1142" s="22" t="n"/>
    </row>
    <row r="1143">
      <c r="A1143" s="19" t="n"/>
      <c r="B1143" s="25">
        <f>IF(A1143="","",CHOOSE(WEEKDAY(A1143,2),"월","화","수","목","금","토","일"))</f>
        <v/>
      </c>
      <c r="C1143" s="18" t="n"/>
      <c r="D1143" s="25">
        <f>IFERROR(IF(C1143="","",INDEX(직원명부!$B$5:$B$24,MATCH(C1143,직원명부!$A$5:$A$24,0))),"사번 확인")</f>
        <v/>
      </c>
      <c r="E1143" s="34" t="n"/>
      <c r="F1143" s="34" t="n"/>
      <c r="G1143" s="28" t="n"/>
      <c r="H1143" s="33">
        <f>IF(OR(E1143="",F1143=""),"",ROUND(MOD(F1143-E1143,1)*24-N(G1143),2))</f>
        <v/>
      </c>
      <c r="I1143" s="33">
        <f>IF(H1143="","",ROUND(MAX(0,H1143-8),2))</f>
        <v/>
      </c>
      <c r="J1143" s="33">
        <f>IF(OR(E1143="",F1143=""),"",ROUND(IF(MOD(F1143,1)&gt;=TIME(22,0,0),(MOD(F1143,1)-TIME(22,0,0))*24,IF(MOD(F1143,1)&lt;TIME(6,0,0),(MOD(F1143,1)+1-TIME(22,0,0))*24,0)),2))</f>
        <v/>
      </c>
      <c r="K1143" s="33">
        <f>IF(H1143="","",ROUND(IF(L1143="휴일근로",MIN(H1143,8)*1.5+MAX(0,H1143-8)*2,I1143*1.5)+N(J1143)*0.5,2))</f>
        <v/>
      </c>
      <c r="L1143" s="18" t="n"/>
      <c r="M1143" s="18" t="n"/>
      <c r="N1143" s="22" t="n"/>
    </row>
    <row r="1144">
      <c r="A1144" s="19" t="n"/>
      <c r="B1144" s="25">
        <f>IF(A1144="","",CHOOSE(WEEKDAY(A1144,2),"월","화","수","목","금","토","일"))</f>
        <v/>
      </c>
      <c r="C1144" s="18" t="n"/>
      <c r="D1144" s="25">
        <f>IFERROR(IF(C1144="","",INDEX(직원명부!$B$5:$B$24,MATCH(C1144,직원명부!$A$5:$A$24,0))),"사번 확인")</f>
        <v/>
      </c>
      <c r="E1144" s="34" t="n"/>
      <c r="F1144" s="34" t="n"/>
      <c r="G1144" s="28" t="n"/>
      <c r="H1144" s="33">
        <f>IF(OR(E1144="",F1144=""),"",ROUND(MOD(F1144-E1144,1)*24-N(G1144),2))</f>
        <v/>
      </c>
      <c r="I1144" s="33">
        <f>IF(H1144="","",ROUND(MAX(0,H1144-8),2))</f>
        <v/>
      </c>
      <c r="J1144" s="33">
        <f>IF(OR(E1144="",F1144=""),"",ROUND(IF(MOD(F1144,1)&gt;=TIME(22,0,0),(MOD(F1144,1)-TIME(22,0,0))*24,IF(MOD(F1144,1)&lt;TIME(6,0,0),(MOD(F1144,1)+1-TIME(22,0,0))*24,0)),2))</f>
        <v/>
      </c>
      <c r="K1144" s="33">
        <f>IF(H1144="","",ROUND(IF(L1144="휴일근로",MIN(H1144,8)*1.5+MAX(0,H1144-8)*2,I1144*1.5)+N(J1144)*0.5,2))</f>
        <v/>
      </c>
      <c r="L1144" s="18" t="n"/>
      <c r="M1144" s="18" t="n"/>
      <c r="N1144" s="22" t="n"/>
    </row>
    <row r="1145">
      <c r="A1145" s="19" t="n"/>
      <c r="B1145" s="25">
        <f>IF(A1145="","",CHOOSE(WEEKDAY(A1145,2),"월","화","수","목","금","토","일"))</f>
        <v/>
      </c>
      <c r="C1145" s="18" t="n"/>
      <c r="D1145" s="25">
        <f>IFERROR(IF(C1145="","",INDEX(직원명부!$B$5:$B$24,MATCH(C1145,직원명부!$A$5:$A$24,0))),"사번 확인")</f>
        <v/>
      </c>
      <c r="E1145" s="34" t="n"/>
      <c r="F1145" s="34" t="n"/>
      <c r="G1145" s="28" t="n"/>
      <c r="H1145" s="33">
        <f>IF(OR(E1145="",F1145=""),"",ROUND(MOD(F1145-E1145,1)*24-N(G1145),2))</f>
        <v/>
      </c>
      <c r="I1145" s="33">
        <f>IF(H1145="","",ROUND(MAX(0,H1145-8),2))</f>
        <v/>
      </c>
      <c r="J1145" s="33">
        <f>IF(OR(E1145="",F1145=""),"",ROUND(IF(MOD(F1145,1)&gt;=TIME(22,0,0),(MOD(F1145,1)-TIME(22,0,0))*24,IF(MOD(F1145,1)&lt;TIME(6,0,0),(MOD(F1145,1)+1-TIME(22,0,0))*24,0)),2))</f>
        <v/>
      </c>
      <c r="K1145" s="33">
        <f>IF(H1145="","",ROUND(IF(L1145="휴일근로",MIN(H1145,8)*1.5+MAX(0,H1145-8)*2,I1145*1.5)+N(J1145)*0.5,2))</f>
        <v/>
      </c>
      <c r="L1145" s="18" t="n"/>
      <c r="M1145" s="18" t="n"/>
      <c r="N1145" s="22" t="n"/>
    </row>
    <row r="1146">
      <c r="A1146" s="19" t="n"/>
      <c r="B1146" s="25">
        <f>IF(A1146="","",CHOOSE(WEEKDAY(A1146,2),"월","화","수","목","금","토","일"))</f>
        <v/>
      </c>
      <c r="C1146" s="18" t="n"/>
      <c r="D1146" s="25">
        <f>IFERROR(IF(C1146="","",INDEX(직원명부!$B$5:$B$24,MATCH(C1146,직원명부!$A$5:$A$24,0))),"사번 확인")</f>
        <v/>
      </c>
      <c r="E1146" s="34" t="n"/>
      <c r="F1146" s="34" t="n"/>
      <c r="G1146" s="28" t="n"/>
      <c r="H1146" s="33">
        <f>IF(OR(E1146="",F1146=""),"",ROUND(MOD(F1146-E1146,1)*24-N(G1146),2))</f>
        <v/>
      </c>
      <c r="I1146" s="33">
        <f>IF(H1146="","",ROUND(MAX(0,H1146-8),2))</f>
        <v/>
      </c>
      <c r="J1146" s="33">
        <f>IF(OR(E1146="",F1146=""),"",ROUND(IF(MOD(F1146,1)&gt;=TIME(22,0,0),(MOD(F1146,1)-TIME(22,0,0))*24,IF(MOD(F1146,1)&lt;TIME(6,0,0),(MOD(F1146,1)+1-TIME(22,0,0))*24,0)),2))</f>
        <v/>
      </c>
      <c r="K1146" s="33">
        <f>IF(H1146="","",ROUND(IF(L1146="휴일근로",MIN(H1146,8)*1.5+MAX(0,H1146-8)*2,I1146*1.5)+N(J1146)*0.5,2))</f>
        <v/>
      </c>
      <c r="L1146" s="18" t="n"/>
      <c r="M1146" s="18" t="n"/>
      <c r="N1146" s="22" t="n"/>
    </row>
    <row r="1147">
      <c r="A1147" s="19" t="n"/>
      <c r="B1147" s="25">
        <f>IF(A1147="","",CHOOSE(WEEKDAY(A1147,2),"월","화","수","목","금","토","일"))</f>
        <v/>
      </c>
      <c r="C1147" s="18" t="n"/>
      <c r="D1147" s="25">
        <f>IFERROR(IF(C1147="","",INDEX(직원명부!$B$5:$B$24,MATCH(C1147,직원명부!$A$5:$A$24,0))),"사번 확인")</f>
        <v/>
      </c>
      <c r="E1147" s="34" t="n"/>
      <c r="F1147" s="34" t="n"/>
      <c r="G1147" s="28" t="n"/>
      <c r="H1147" s="33">
        <f>IF(OR(E1147="",F1147=""),"",ROUND(MOD(F1147-E1147,1)*24-N(G1147),2))</f>
        <v/>
      </c>
      <c r="I1147" s="33">
        <f>IF(H1147="","",ROUND(MAX(0,H1147-8),2))</f>
        <v/>
      </c>
      <c r="J1147" s="33">
        <f>IF(OR(E1147="",F1147=""),"",ROUND(IF(MOD(F1147,1)&gt;=TIME(22,0,0),(MOD(F1147,1)-TIME(22,0,0))*24,IF(MOD(F1147,1)&lt;TIME(6,0,0),(MOD(F1147,1)+1-TIME(22,0,0))*24,0)),2))</f>
        <v/>
      </c>
      <c r="K1147" s="33">
        <f>IF(H1147="","",ROUND(IF(L1147="휴일근로",MIN(H1147,8)*1.5+MAX(0,H1147-8)*2,I1147*1.5)+N(J1147)*0.5,2))</f>
        <v/>
      </c>
      <c r="L1147" s="18" t="n"/>
      <c r="M1147" s="18" t="n"/>
      <c r="N1147" s="22" t="n"/>
    </row>
    <row r="1148">
      <c r="A1148" s="19" t="n"/>
      <c r="B1148" s="25">
        <f>IF(A1148="","",CHOOSE(WEEKDAY(A1148,2),"월","화","수","목","금","토","일"))</f>
        <v/>
      </c>
      <c r="C1148" s="18" t="n"/>
      <c r="D1148" s="25">
        <f>IFERROR(IF(C1148="","",INDEX(직원명부!$B$5:$B$24,MATCH(C1148,직원명부!$A$5:$A$24,0))),"사번 확인")</f>
        <v/>
      </c>
      <c r="E1148" s="34" t="n"/>
      <c r="F1148" s="34" t="n"/>
      <c r="G1148" s="28" t="n"/>
      <c r="H1148" s="33">
        <f>IF(OR(E1148="",F1148=""),"",ROUND(MOD(F1148-E1148,1)*24-N(G1148),2))</f>
        <v/>
      </c>
      <c r="I1148" s="33">
        <f>IF(H1148="","",ROUND(MAX(0,H1148-8),2))</f>
        <v/>
      </c>
      <c r="J1148" s="33">
        <f>IF(OR(E1148="",F1148=""),"",ROUND(IF(MOD(F1148,1)&gt;=TIME(22,0,0),(MOD(F1148,1)-TIME(22,0,0))*24,IF(MOD(F1148,1)&lt;TIME(6,0,0),(MOD(F1148,1)+1-TIME(22,0,0))*24,0)),2))</f>
        <v/>
      </c>
      <c r="K1148" s="33">
        <f>IF(H1148="","",ROUND(IF(L1148="휴일근로",MIN(H1148,8)*1.5+MAX(0,H1148-8)*2,I1148*1.5)+N(J1148)*0.5,2))</f>
        <v/>
      </c>
      <c r="L1148" s="18" t="n"/>
      <c r="M1148" s="18" t="n"/>
      <c r="N1148" s="22" t="n"/>
    </row>
    <row r="1149">
      <c r="A1149" s="19" t="n"/>
      <c r="B1149" s="25">
        <f>IF(A1149="","",CHOOSE(WEEKDAY(A1149,2),"월","화","수","목","금","토","일"))</f>
        <v/>
      </c>
      <c r="C1149" s="18" t="n"/>
      <c r="D1149" s="25">
        <f>IFERROR(IF(C1149="","",INDEX(직원명부!$B$5:$B$24,MATCH(C1149,직원명부!$A$5:$A$24,0))),"사번 확인")</f>
        <v/>
      </c>
      <c r="E1149" s="34" t="n"/>
      <c r="F1149" s="34" t="n"/>
      <c r="G1149" s="28" t="n"/>
      <c r="H1149" s="33">
        <f>IF(OR(E1149="",F1149=""),"",ROUND(MOD(F1149-E1149,1)*24-N(G1149),2))</f>
        <v/>
      </c>
      <c r="I1149" s="33">
        <f>IF(H1149="","",ROUND(MAX(0,H1149-8),2))</f>
        <v/>
      </c>
      <c r="J1149" s="33">
        <f>IF(OR(E1149="",F1149=""),"",ROUND(IF(MOD(F1149,1)&gt;=TIME(22,0,0),(MOD(F1149,1)-TIME(22,0,0))*24,IF(MOD(F1149,1)&lt;TIME(6,0,0),(MOD(F1149,1)+1-TIME(22,0,0))*24,0)),2))</f>
        <v/>
      </c>
      <c r="K1149" s="33">
        <f>IF(H1149="","",ROUND(IF(L1149="휴일근로",MIN(H1149,8)*1.5+MAX(0,H1149-8)*2,I1149*1.5)+N(J1149)*0.5,2))</f>
        <v/>
      </c>
      <c r="L1149" s="18" t="n"/>
      <c r="M1149" s="18" t="n"/>
      <c r="N1149" s="22" t="n"/>
    </row>
    <row r="1150">
      <c r="A1150" s="19" t="n"/>
      <c r="B1150" s="25">
        <f>IF(A1150="","",CHOOSE(WEEKDAY(A1150,2),"월","화","수","목","금","토","일"))</f>
        <v/>
      </c>
      <c r="C1150" s="18" t="n"/>
      <c r="D1150" s="25">
        <f>IFERROR(IF(C1150="","",INDEX(직원명부!$B$5:$B$24,MATCH(C1150,직원명부!$A$5:$A$24,0))),"사번 확인")</f>
        <v/>
      </c>
      <c r="E1150" s="34" t="n"/>
      <c r="F1150" s="34" t="n"/>
      <c r="G1150" s="28" t="n"/>
      <c r="H1150" s="33">
        <f>IF(OR(E1150="",F1150=""),"",ROUND(MOD(F1150-E1150,1)*24-N(G1150),2))</f>
        <v/>
      </c>
      <c r="I1150" s="33">
        <f>IF(H1150="","",ROUND(MAX(0,H1150-8),2))</f>
        <v/>
      </c>
      <c r="J1150" s="33">
        <f>IF(OR(E1150="",F1150=""),"",ROUND(IF(MOD(F1150,1)&gt;=TIME(22,0,0),(MOD(F1150,1)-TIME(22,0,0))*24,IF(MOD(F1150,1)&lt;TIME(6,0,0),(MOD(F1150,1)+1-TIME(22,0,0))*24,0)),2))</f>
        <v/>
      </c>
      <c r="K1150" s="33">
        <f>IF(H1150="","",ROUND(IF(L1150="휴일근로",MIN(H1150,8)*1.5+MAX(0,H1150-8)*2,I1150*1.5)+N(J1150)*0.5,2))</f>
        <v/>
      </c>
      <c r="L1150" s="18" t="n"/>
      <c r="M1150" s="18" t="n"/>
      <c r="N1150" s="22" t="n"/>
    </row>
    <row r="1151">
      <c r="A1151" s="19" t="n"/>
      <c r="B1151" s="25">
        <f>IF(A1151="","",CHOOSE(WEEKDAY(A1151,2),"월","화","수","목","금","토","일"))</f>
        <v/>
      </c>
      <c r="C1151" s="18" t="n"/>
      <c r="D1151" s="25">
        <f>IFERROR(IF(C1151="","",INDEX(직원명부!$B$5:$B$24,MATCH(C1151,직원명부!$A$5:$A$24,0))),"사번 확인")</f>
        <v/>
      </c>
      <c r="E1151" s="34" t="n"/>
      <c r="F1151" s="34" t="n"/>
      <c r="G1151" s="28" t="n"/>
      <c r="H1151" s="33">
        <f>IF(OR(E1151="",F1151=""),"",ROUND(MOD(F1151-E1151,1)*24-N(G1151),2))</f>
        <v/>
      </c>
      <c r="I1151" s="33">
        <f>IF(H1151="","",ROUND(MAX(0,H1151-8),2))</f>
        <v/>
      </c>
      <c r="J1151" s="33">
        <f>IF(OR(E1151="",F1151=""),"",ROUND(IF(MOD(F1151,1)&gt;=TIME(22,0,0),(MOD(F1151,1)-TIME(22,0,0))*24,IF(MOD(F1151,1)&lt;TIME(6,0,0),(MOD(F1151,1)+1-TIME(22,0,0))*24,0)),2))</f>
        <v/>
      </c>
      <c r="K1151" s="33">
        <f>IF(H1151="","",ROUND(IF(L1151="휴일근로",MIN(H1151,8)*1.5+MAX(0,H1151-8)*2,I1151*1.5)+N(J1151)*0.5,2))</f>
        <v/>
      </c>
      <c r="L1151" s="18" t="n"/>
      <c r="M1151" s="18" t="n"/>
      <c r="N1151" s="22" t="n"/>
    </row>
    <row r="1152">
      <c r="A1152" s="19" t="n"/>
      <c r="B1152" s="25">
        <f>IF(A1152="","",CHOOSE(WEEKDAY(A1152,2),"월","화","수","목","금","토","일"))</f>
        <v/>
      </c>
      <c r="C1152" s="18" t="n"/>
      <c r="D1152" s="25">
        <f>IFERROR(IF(C1152="","",INDEX(직원명부!$B$5:$B$24,MATCH(C1152,직원명부!$A$5:$A$24,0))),"사번 확인")</f>
        <v/>
      </c>
      <c r="E1152" s="34" t="n"/>
      <c r="F1152" s="34" t="n"/>
      <c r="G1152" s="28" t="n"/>
      <c r="H1152" s="33">
        <f>IF(OR(E1152="",F1152=""),"",ROUND(MOD(F1152-E1152,1)*24-N(G1152),2))</f>
        <v/>
      </c>
      <c r="I1152" s="33">
        <f>IF(H1152="","",ROUND(MAX(0,H1152-8),2))</f>
        <v/>
      </c>
      <c r="J1152" s="33">
        <f>IF(OR(E1152="",F1152=""),"",ROUND(IF(MOD(F1152,1)&gt;=TIME(22,0,0),(MOD(F1152,1)-TIME(22,0,0))*24,IF(MOD(F1152,1)&lt;TIME(6,0,0),(MOD(F1152,1)+1-TIME(22,0,0))*24,0)),2))</f>
        <v/>
      </c>
      <c r="K1152" s="33">
        <f>IF(H1152="","",ROUND(IF(L1152="휴일근로",MIN(H1152,8)*1.5+MAX(0,H1152-8)*2,I1152*1.5)+N(J1152)*0.5,2))</f>
        <v/>
      </c>
      <c r="L1152" s="18" t="n"/>
      <c r="M1152" s="18" t="n"/>
      <c r="N1152" s="22" t="n"/>
    </row>
    <row r="1153">
      <c r="A1153" s="19" t="n"/>
      <c r="B1153" s="25">
        <f>IF(A1153="","",CHOOSE(WEEKDAY(A1153,2),"월","화","수","목","금","토","일"))</f>
        <v/>
      </c>
      <c r="C1153" s="18" t="n"/>
      <c r="D1153" s="25">
        <f>IFERROR(IF(C1153="","",INDEX(직원명부!$B$5:$B$24,MATCH(C1153,직원명부!$A$5:$A$24,0))),"사번 확인")</f>
        <v/>
      </c>
      <c r="E1153" s="34" t="n"/>
      <c r="F1153" s="34" t="n"/>
      <c r="G1153" s="28" t="n"/>
      <c r="H1153" s="33">
        <f>IF(OR(E1153="",F1153=""),"",ROUND(MOD(F1153-E1153,1)*24-N(G1153),2))</f>
        <v/>
      </c>
      <c r="I1153" s="33">
        <f>IF(H1153="","",ROUND(MAX(0,H1153-8),2))</f>
        <v/>
      </c>
      <c r="J1153" s="33">
        <f>IF(OR(E1153="",F1153=""),"",ROUND(IF(MOD(F1153,1)&gt;=TIME(22,0,0),(MOD(F1153,1)-TIME(22,0,0))*24,IF(MOD(F1153,1)&lt;TIME(6,0,0),(MOD(F1153,1)+1-TIME(22,0,0))*24,0)),2))</f>
        <v/>
      </c>
      <c r="K1153" s="33">
        <f>IF(H1153="","",ROUND(IF(L1153="휴일근로",MIN(H1153,8)*1.5+MAX(0,H1153-8)*2,I1153*1.5)+N(J1153)*0.5,2))</f>
        <v/>
      </c>
      <c r="L1153" s="18" t="n"/>
      <c r="M1153" s="18" t="n"/>
      <c r="N1153" s="22" t="n"/>
    </row>
    <row r="1154">
      <c r="A1154" s="19" t="n"/>
      <c r="B1154" s="25">
        <f>IF(A1154="","",CHOOSE(WEEKDAY(A1154,2),"월","화","수","목","금","토","일"))</f>
        <v/>
      </c>
      <c r="C1154" s="18" t="n"/>
      <c r="D1154" s="25">
        <f>IFERROR(IF(C1154="","",INDEX(직원명부!$B$5:$B$24,MATCH(C1154,직원명부!$A$5:$A$24,0))),"사번 확인")</f>
        <v/>
      </c>
      <c r="E1154" s="34" t="n"/>
      <c r="F1154" s="34" t="n"/>
      <c r="G1154" s="28" t="n"/>
      <c r="H1154" s="33">
        <f>IF(OR(E1154="",F1154=""),"",ROUND(MOD(F1154-E1154,1)*24-N(G1154),2))</f>
        <v/>
      </c>
      <c r="I1154" s="33">
        <f>IF(H1154="","",ROUND(MAX(0,H1154-8),2))</f>
        <v/>
      </c>
      <c r="J1154" s="33">
        <f>IF(OR(E1154="",F1154=""),"",ROUND(IF(MOD(F1154,1)&gt;=TIME(22,0,0),(MOD(F1154,1)-TIME(22,0,0))*24,IF(MOD(F1154,1)&lt;TIME(6,0,0),(MOD(F1154,1)+1-TIME(22,0,0))*24,0)),2))</f>
        <v/>
      </c>
      <c r="K1154" s="33">
        <f>IF(H1154="","",ROUND(IF(L1154="휴일근로",MIN(H1154,8)*1.5+MAX(0,H1154-8)*2,I1154*1.5)+N(J1154)*0.5,2))</f>
        <v/>
      </c>
      <c r="L1154" s="18" t="n"/>
      <c r="M1154" s="18" t="n"/>
      <c r="N1154" s="22" t="n"/>
    </row>
    <row r="1155">
      <c r="A1155" s="19" t="n"/>
      <c r="B1155" s="25">
        <f>IF(A1155="","",CHOOSE(WEEKDAY(A1155,2),"월","화","수","목","금","토","일"))</f>
        <v/>
      </c>
      <c r="C1155" s="18" t="n"/>
      <c r="D1155" s="25">
        <f>IFERROR(IF(C1155="","",INDEX(직원명부!$B$5:$B$24,MATCH(C1155,직원명부!$A$5:$A$24,0))),"사번 확인")</f>
        <v/>
      </c>
      <c r="E1155" s="34" t="n"/>
      <c r="F1155" s="34" t="n"/>
      <c r="G1155" s="28" t="n"/>
      <c r="H1155" s="33">
        <f>IF(OR(E1155="",F1155=""),"",ROUND(MOD(F1155-E1155,1)*24-N(G1155),2))</f>
        <v/>
      </c>
      <c r="I1155" s="33">
        <f>IF(H1155="","",ROUND(MAX(0,H1155-8),2))</f>
        <v/>
      </c>
      <c r="J1155" s="33">
        <f>IF(OR(E1155="",F1155=""),"",ROUND(IF(MOD(F1155,1)&gt;=TIME(22,0,0),(MOD(F1155,1)-TIME(22,0,0))*24,IF(MOD(F1155,1)&lt;TIME(6,0,0),(MOD(F1155,1)+1-TIME(22,0,0))*24,0)),2))</f>
        <v/>
      </c>
      <c r="K1155" s="33">
        <f>IF(H1155="","",ROUND(IF(L1155="휴일근로",MIN(H1155,8)*1.5+MAX(0,H1155-8)*2,I1155*1.5)+N(J1155)*0.5,2))</f>
        <v/>
      </c>
      <c r="L1155" s="18" t="n"/>
      <c r="M1155" s="18" t="n"/>
      <c r="N1155" s="22" t="n"/>
    </row>
    <row r="1156">
      <c r="A1156" s="19" t="n"/>
      <c r="B1156" s="25">
        <f>IF(A1156="","",CHOOSE(WEEKDAY(A1156,2),"월","화","수","목","금","토","일"))</f>
        <v/>
      </c>
      <c r="C1156" s="18" t="n"/>
      <c r="D1156" s="25">
        <f>IFERROR(IF(C1156="","",INDEX(직원명부!$B$5:$B$24,MATCH(C1156,직원명부!$A$5:$A$24,0))),"사번 확인")</f>
        <v/>
      </c>
      <c r="E1156" s="34" t="n"/>
      <c r="F1156" s="34" t="n"/>
      <c r="G1156" s="28" t="n"/>
      <c r="H1156" s="33">
        <f>IF(OR(E1156="",F1156=""),"",ROUND(MOD(F1156-E1156,1)*24-N(G1156),2))</f>
        <v/>
      </c>
      <c r="I1156" s="33">
        <f>IF(H1156="","",ROUND(MAX(0,H1156-8),2))</f>
        <v/>
      </c>
      <c r="J1156" s="33">
        <f>IF(OR(E1156="",F1156=""),"",ROUND(IF(MOD(F1156,1)&gt;=TIME(22,0,0),(MOD(F1156,1)-TIME(22,0,0))*24,IF(MOD(F1156,1)&lt;TIME(6,0,0),(MOD(F1156,1)+1-TIME(22,0,0))*24,0)),2))</f>
        <v/>
      </c>
      <c r="K1156" s="33">
        <f>IF(H1156="","",ROUND(IF(L1156="휴일근로",MIN(H1156,8)*1.5+MAX(0,H1156-8)*2,I1156*1.5)+N(J1156)*0.5,2))</f>
        <v/>
      </c>
      <c r="L1156" s="18" t="n"/>
      <c r="M1156" s="18" t="n"/>
      <c r="N1156" s="22" t="n"/>
    </row>
    <row r="1157">
      <c r="A1157" s="19" t="n"/>
      <c r="B1157" s="25">
        <f>IF(A1157="","",CHOOSE(WEEKDAY(A1157,2),"월","화","수","목","금","토","일"))</f>
        <v/>
      </c>
      <c r="C1157" s="18" t="n"/>
      <c r="D1157" s="25">
        <f>IFERROR(IF(C1157="","",INDEX(직원명부!$B$5:$B$24,MATCH(C1157,직원명부!$A$5:$A$24,0))),"사번 확인")</f>
        <v/>
      </c>
      <c r="E1157" s="34" t="n"/>
      <c r="F1157" s="34" t="n"/>
      <c r="G1157" s="28" t="n"/>
      <c r="H1157" s="33">
        <f>IF(OR(E1157="",F1157=""),"",ROUND(MOD(F1157-E1157,1)*24-N(G1157),2))</f>
        <v/>
      </c>
      <c r="I1157" s="33">
        <f>IF(H1157="","",ROUND(MAX(0,H1157-8),2))</f>
        <v/>
      </c>
      <c r="J1157" s="33">
        <f>IF(OR(E1157="",F1157=""),"",ROUND(IF(MOD(F1157,1)&gt;=TIME(22,0,0),(MOD(F1157,1)-TIME(22,0,0))*24,IF(MOD(F1157,1)&lt;TIME(6,0,0),(MOD(F1157,1)+1-TIME(22,0,0))*24,0)),2))</f>
        <v/>
      </c>
      <c r="K1157" s="33">
        <f>IF(H1157="","",ROUND(IF(L1157="휴일근로",MIN(H1157,8)*1.5+MAX(0,H1157-8)*2,I1157*1.5)+N(J1157)*0.5,2))</f>
        <v/>
      </c>
      <c r="L1157" s="18" t="n"/>
      <c r="M1157" s="18" t="n"/>
      <c r="N1157" s="22" t="n"/>
    </row>
    <row r="1158">
      <c r="A1158" s="19" t="n"/>
      <c r="B1158" s="25">
        <f>IF(A1158="","",CHOOSE(WEEKDAY(A1158,2),"월","화","수","목","금","토","일"))</f>
        <v/>
      </c>
      <c r="C1158" s="18" t="n"/>
      <c r="D1158" s="25">
        <f>IFERROR(IF(C1158="","",INDEX(직원명부!$B$5:$B$24,MATCH(C1158,직원명부!$A$5:$A$24,0))),"사번 확인")</f>
        <v/>
      </c>
      <c r="E1158" s="34" t="n"/>
      <c r="F1158" s="34" t="n"/>
      <c r="G1158" s="28" t="n"/>
      <c r="H1158" s="33">
        <f>IF(OR(E1158="",F1158=""),"",ROUND(MOD(F1158-E1158,1)*24-N(G1158),2))</f>
        <v/>
      </c>
      <c r="I1158" s="33">
        <f>IF(H1158="","",ROUND(MAX(0,H1158-8),2))</f>
        <v/>
      </c>
      <c r="J1158" s="33">
        <f>IF(OR(E1158="",F1158=""),"",ROUND(IF(MOD(F1158,1)&gt;=TIME(22,0,0),(MOD(F1158,1)-TIME(22,0,0))*24,IF(MOD(F1158,1)&lt;TIME(6,0,0),(MOD(F1158,1)+1-TIME(22,0,0))*24,0)),2))</f>
        <v/>
      </c>
      <c r="K1158" s="33">
        <f>IF(H1158="","",ROUND(IF(L1158="휴일근로",MIN(H1158,8)*1.5+MAX(0,H1158-8)*2,I1158*1.5)+N(J1158)*0.5,2))</f>
        <v/>
      </c>
      <c r="L1158" s="18" t="n"/>
      <c r="M1158" s="18" t="n"/>
      <c r="N1158" s="22" t="n"/>
    </row>
    <row r="1159">
      <c r="A1159" s="19" t="n"/>
      <c r="B1159" s="25">
        <f>IF(A1159="","",CHOOSE(WEEKDAY(A1159,2),"월","화","수","목","금","토","일"))</f>
        <v/>
      </c>
      <c r="C1159" s="18" t="n"/>
      <c r="D1159" s="25">
        <f>IFERROR(IF(C1159="","",INDEX(직원명부!$B$5:$B$24,MATCH(C1159,직원명부!$A$5:$A$24,0))),"사번 확인")</f>
        <v/>
      </c>
      <c r="E1159" s="34" t="n"/>
      <c r="F1159" s="34" t="n"/>
      <c r="G1159" s="28" t="n"/>
      <c r="H1159" s="33">
        <f>IF(OR(E1159="",F1159=""),"",ROUND(MOD(F1159-E1159,1)*24-N(G1159),2))</f>
        <v/>
      </c>
      <c r="I1159" s="33">
        <f>IF(H1159="","",ROUND(MAX(0,H1159-8),2))</f>
        <v/>
      </c>
      <c r="J1159" s="33">
        <f>IF(OR(E1159="",F1159=""),"",ROUND(IF(MOD(F1159,1)&gt;=TIME(22,0,0),(MOD(F1159,1)-TIME(22,0,0))*24,IF(MOD(F1159,1)&lt;TIME(6,0,0),(MOD(F1159,1)+1-TIME(22,0,0))*24,0)),2))</f>
        <v/>
      </c>
      <c r="K1159" s="33">
        <f>IF(H1159="","",ROUND(IF(L1159="휴일근로",MIN(H1159,8)*1.5+MAX(0,H1159-8)*2,I1159*1.5)+N(J1159)*0.5,2))</f>
        <v/>
      </c>
      <c r="L1159" s="18" t="n"/>
      <c r="M1159" s="18" t="n"/>
      <c r="N1159" s="22" t="n"/>
    </row>
    <row r="1160">
      <c r="A1160" s="19" t="n"/>
      <c r="B1160" s="25">
        <f>IF(A1160="","",CHOOSE(WEEKDAY(A1160,2),"월","화","수","목","금","토","일"))</f>
        <v/>
      </c>
      <c r="C1160" s="18" t="n"/>
      <c r="D1160" s="25">
        <f>IFERROR(IF(C1160="","",INDEX(직원명부!$B$5:$B$24,MATCH(C1160,직원명부!$A$5:$A$24,0))),"사번 확인")</f>
        <v/>
      </c>
      <c r="E1160" s="34" t="n"/>
      <c r="F1160" s="34" t="n"/>
      <c r="G1160" s="28" t="n"/>
      <c r="H1160" s="33">
        <f>IF(OR(E1160="",F1160=""),"",ROUND(MOD(F1160-E1160,1)*24-N(G1160),2))</f>
        <v/>
      </c>
      <c r="I1160" s="33">
        <f>IF(H1160="","",ROUND(MAX(0,H1160-8),2))</f>
        <v/>
      </c>
      <c r="J1160" s="33">
        <f>IF(OR(E1160="",F1160=""),"",ROUND(IF(MOD(F1160,1)&gt;=TIME(22,0,0),(MOD(F1160,1)-TIME(22,0,0))*24,IF(MOD(F1160,1)&lt;TIME(6,0,0),(MOD(F1160,1)+1-TIME(22,0,0))*24,0)),2))</f>
        <v/>
      </c>
      <c r="K1160" s="33">
        <f>IF(H1160="","",ROUND(IF(L1160="휴일근로",MIN(H1160,8)*1.5+MAX(0,H1160-8)*2,I1160*1.5)+N(J1160)*0.5,2))</f>
        <v/>
      </c>
      <c r="L1160" s="18" t="n"/>
      <c r="M1160" s="18" t="n"/>
      <c r="N1160" s="22" t="n"/>
    </row>
    <row r="1161">
      <c r="A1161" s="19" t="n"/>
      <c r="B1161" s="25">
        <f>IF(A1161="","",CHOOSE(WEEKDAY(A1161,2),"월","화","수","목","금","토","일"))</f>
        <v/>
      </c>
      <c r="C1161" s="18" t="n"/>
      <c r="D1161" s="25">
        <f>IFERROR(IF(C1161="","",INDEX(직원명부!$B$5:$B$24,MATCH(C1161,직원명부!$A$5:$A$24,0))),"사번 확인")</f>
        <v/>
      </c>
      <c r="E1161" s="34" t="n"/>
      <c r="F1161" s="34" t="n"/>
      <c r="G1161" s="28" t="n"/>
      <c r="H1161" s="33">
        <f>IF(OR(E1161="",F1161=""),"",ROUND(MOD(F1161-E1161,1)*24-N(G1161),2))</f>
        <v/>
      </c>
      <c r="I1161" s="33">
        <f>IF(H1161="","",ROUND(MAX(0,H1161-8),2))</f>
        <v/>
      </c>
      <c r="J1161" s="33">
        <f>IF(OR(E1161="",F1161=""),"",ROUND(IF(MOD(F1161,1)&gt;=TIME(22,0,0),(MOD(F1161,1)-TIME(22,0,0))*24,IF(MOD(F1161,1)&lt;TIME(6,0,0),(MOD(F1161,1)+1-TIME(22,0,0))*24,0)),2))</f>
        <v/>
      </c>
      <c r="K1161" s="33">
        <f>IF(H1161="","",ROUND(IF(L1161="휴일근로",MIN(H1161,8)*1.5+MAX(0,H1161-8)*2,I1161*1.5)+N(J1161)*0.5,2))</f>
        <v/>
      </c>
      <c r="L1161" s="18" t="n"/>
      <c r="M1161" s="18" t="n"/>
      <c r="N1161" s="22" t="n"/>
    </row>
    <row r="1162">
      <c r="A1162" s="19" t="n"/>
      <c r="B1162" s="25">
        <f>IF(A1162="","",CHOOSE(WEEKDAY(A1162,2),"월","화","수","목","금","토","일"))</f>
        <v/>
      </c>
      <c r="C1162" s="18" t="n"/>
      <c r="D1162" s="25">
        <f>IFERROR(IF(C1162="","",INDEX(직원명부!$B$5:$B$24,MATCH(C1162,직원명부!$A$5:$A$24,0))),"사번 확인")</f>
        <v/>
      </c>
      <c r="E1162" s="34" t="n"/>
      <c r="F1162" s="34" t="n"/>
      <c r="G1162" s="28" t="n"/>
      <c r="H1162" s="33">
        <f>IF(OR(E1162="",F1162=""),"",ROUND(MOD(F1162-E1162,1)*24-N(G1162),2))</f>
        <v/>
      </c>
      <c r="I1162" s="33">
        <f>IF(H1162="","",ROUND(MAX(0,H1162-8),2))</f>
        <v/>
      </c>
      <c r="J1162" s="33">
        <f>IF(OR(E1162="",F1162=""),"",ROUND(IF(MOD(F1162,1)&gt;=TIME(22,0,0),(MOD(F1162,1)-TIME(22,0,0))*24,IF(MOD(F1162,1)&lt;TIME(6,0,0),(MOD(F1162,1)+1-TIME(22,0,0))*24,0)),2))</f>
        <v/>
      </c>
      <c r="K1162" s="33">
        <f>IF(H1162="","",ROUND(IF(L1162="휴일근로",MIN(H1162,8)*1.5+MAX(0,H1162-8)*2,I1162*1.5)+N(J1162)*0.5,2))</f>
        <v/>
      </c>
      <c r="L1162" s="18" t="n"/>
      <c r="M1162" s="18" t="n"/>
      <c r="N1162" s="22" t="n"/>
    </row>
    <row r="1163">
      <c r="A1163" s="19" t="n"/>
      <c r="B1163" s="25">
        <f>IF(A1163="","",CHOOSE(WEEKDAY(A1163,2),"월","화","수","목","금","토","일"))</f>
        <v/>
      </c>
      <c r="C1163" s="18" t="n"/>
      <c r="D1163" s="25">
        <f>IFERROR(IF(C1163="","",INDEX(직원명부!$B$5:$B$24,MATCH(C1163,직원명부!$A$5:$A$24,0))),"사번 확인")</f>
        <v/>
      </c>
      <c r="E1163" s="34" t="n"/>
      <c r="F1163" s="34" t="n"/>
      <c r="G1163" s="28" t="n"/>
      <c r="H1163" s="33">
        <f>IF(OR(E1163="",F1163=""),"",ROUND(MOD(F1163-E1163,1)*24-N(G1163),2))</f>
        <v/>
      </c>
      <c r="I1163" s="33">
        <f>IF(H1163="","",ROUND(MAX(0,H1163-8),2))</f>
        <v/>
      </c>
      <c r="J1163" s="33">
        <f>IF(OR(E1163="",F1163=""),"",ROUND(IF(MOD(F1163,1)&gt;=TIME(22,0,0),(MOD(F1163,1)-TIME(22,0,0))*24,IF(MOD(F1163,1)&lt;TIME(6,0,0),(MOD(F1163,1)+1-TIME(22,0,0))*24,0)),2))</f>
        <v/>
      </c>
      <c r="K1163" s="33">
        <f>IF(H1163="","",ROUND(IF(L1163="휴일근로",MIN(H1163,8)*1.5+MAX(0,H1163-8)*2,I1163*1.5)+N(J1163)*0.5,2))</f>
        <v/>
      </c>
      <c r="L1163" s="18" t="n"/>
      <c r="M1163" s="18" t="n"/>
      <c r="N1163" s="22" t="n"/>
    </row>
    <row r="1164">
      <c r="A1164" s="19" t="n"/>
      <c r="B1164" s="25">
        <f>IF(A1164="","",CHOOSE(WEEKDAY(A1164,2),"월","화","수","목","금","토","일"))</f>
        <v/>
      </c>
      <c r="C1164" s="18" t="n"/>
      <c r="D1164" s="25">
        <f>IFERROR(IF(C1164="","",INDEX(직원명부!$B$5:$B$24,MATCH(C1164,직원명부!$A$5:$A$24,0))),"사번 확인")</f>
        <v/>
      </c>
      <c r="E1164" s="34" t="n"/>
      <c r="F1164" s="34" t="n"/>
      <c r="G1164" s="28" t="n"/>
      <c r="H1164" s="33">
        <f>IF(OR(E1164="",F1164=""),"",ROUND(MOD(F1164-E1164,1)*24-N(G1164),2))</f>
        <v/>
      </c>
      <c r="I1164" s="33">
        <f>IF(H1164="","",ROUND(MAX(0,H1164-8),2))</f>
        <v/>
      </c>
      <c r="J1164" s="33">
        <f>IF(OR(E1164="",F1164=""),"",ROUND(IF(MOD(F1164,1)&gt;=TIME(22,0,0),(MOD(F1164,1)-TIME(22,0,0))*24,IF(MOD(F1164,1)&lt;TIME(6,0,0),(MOD(F1164,1)+1-TIME(22,0,0))*24,0)),2))</f>
        <v/>
      </c>
      <c r="K1164" s="33">
        <f>IF(H1164="","",ROUND(IF(L1164="휴일근로",MIN(H1164,8)*1.5+MAX(0,H1164-8)*2,I1164*1.5)+N(J1164)*0.5,2))</f>
        <v/>
      </c>
      <c r="L1164" s="18" t="n"/>
      <c r="M1164" s="18" t="n"/>
      <c r="N1164" s="22" t="n"/>
    </row>
    <row r="1165">
      <c r="A1165" s="19" t="n"/>
      <c r="B1165" s="25">
        <f>IF(A1165="","",CHOOSE(WEEKDAY(A1165,2),"월","화","수","목","금","토","일"))</f>
        <v/>
      </c>
      <c r="C1165" s="18" t="n"/>
      <c r="D1165" s="25">
        <f>IFERROR(IF(C1165="","",INDEX(직원명부!$B$5:$B$24,MATCH(C1165,직원명부!$A$5:$A$24,0))),"사번 확인")</f>
        <v/>
      </c>
      <c r="E1165" s="34" t="n"/>
      <c r="F1165" s="34" t="n"/>
      <c r="G1165" s="28" t="n"/>
      <c r="H1165" s="33">
        <f>IF(OR(E1165="",F1165=""),"",ROUND(MOD(F1165-E1165,1)*24-N(G1165),2))</f>
        <v/>
      </c>
      <c r="I1165" s="33">
        <f>IF(H1165="","",ROUND(MAX(0,H1165-8),2))</f>
        <v/>
      </c>
      <c r="J1165" s="33">
        <f>IF(OR(E1165="",F1165=""),"",ROUND(IF(MOD(F1165,1)&gt;=TIME(22,0,0),(MOD(F1165,1)-TIME(22,0,0))*24,IF(MOD(F1165,1)&lt;TIME(6,0,0),(MOD(F1165,1)+1-TIME(22,0,0))*24,0)),2))</f>
        <v/>
      </c>
      <c r="K1165" s="33">
        <f>IF(H1165="","",ROUND(IF(L1165="휴일근로",MIN(H1165,8)*1.5+MAX(0,H1165-8)*2,I1165*1.5)+N(J1165)*0.5,2))</f>
        <v/>
      </c>
      <c r="L1165" s="18" t="n"/>
      <c r="M1165" s="18" t="n"/>
      <c r="N1165" s="22" t="n"/>
    </row>
    <row r="1166">
      <c r="A1166" s="19" t="n"/>
      <c r="B1166" s="25">
        <f>IF(A1166="","",CHOOSE(WEEKDAY(A1166,2),"월","화","수","목","금","토","일"))</f>
        <v/>
      </c>
      <c r="C1166" s="18" t="n"/>
      <c r="D1166" s="25">
        <f>IFERROR(IF(C1166="","",INDEX(직원명부!$B$5:$B$24,MATCH(C1166,직원명부!$A$5:$A$24,0))),"사번 확인")</f>
        <v/>
      </c>
      <c r="E1166" s="34" t="n"/>
      <c r="F1166" s="34" t="n"/>
      <c r="G1166" s="28" t="n"/>
      <c r="H1166" s="33">
        <f>IF(OR(E1166="",F1166=""),"",ROUND(MOD(F1166-E1166,1)*24-N(G1166),2))</f>
        <v/>
      </c>
      <c r="I1166" s="33">
        <f>IF(H1166="","",ROUND(MAX(0,H1166-8),2))</f>
        <v/>
      </c>
      <c r="J1166" s="33">
        <f>IF(OR(E1166="",F1166=""),"",ROUND(IF(MOD(F1166,1)&gt;=TIME(22,0,0),(MOD(F1166,1)-TIME(22,0,0))*24,IF(MOD(F1166,1)&lt;TIME(6,0,0),(MOD(F1166,1)+1-TIME(22,0,0))*24,0)),2))</f>
        <v/>
      </c>
      <c r="K1166" s="33">
        <f>IF(H1166="","",ROUND(IF(L1166="휴일근로",MIN(H1166,8)*1.5+MAX(0,H1166-8)*2,I1166*1.5)+N(J1166)*0.5,2))</f>
        <v/>
      </c>
      <c r="L1166" s="18" t="n"/>
      <c r="M1166" s="18" t="n"/>
      <c r="N1166" s="22" t="n"/>
    </row>
    <row r="1167">
      <c r="A1167" s="19" t="n"/>
      <c r="B1167" s="25">
        <f>IF(A1167="","",CHOOSE(WEEKDAY(A1167,2),"월","화","수","목","금","토","일"))</f>
        <v/>
      </c>
      <c r="C1167" s="18" t="n"/>
      <c r="D1167" s="25">
        <f>IFERROR(IF(C1167="","",INDEX(직원명부!$B$5:$B$24,MATCH(C1167,직원명부!$A$5:$A$24,0))),"사번 확인")</f>
        <v/>
      </c>
      <c r="E1167" s="34" t="n"/>
      <c r="F1167" s="34" t="n"/>
      <c r="G1167" s="28" t="n"/>
      <c r="H1167" s="33">
        <f>IF(OR(E1167="",F1167=""),"",ROUND(MOD(F1167-E1167,1)*24-N(G1167),2))</f>
        <v/>
      </c>
      <c r="I1167" s="33">
        <f>IF(H1167="","",ROUND(MAX(0,H1167-8),2))</f>
        <v/>
      </c>
      <c r="J1167" s="33">
        <f>IF(OR(E1167="",F1167=""),"",ROUND(IF(MOD(F1167,1)&gt;=TIME(22,0,0),(MOD(F1167,1)-TIME(22,0,0))*24,IF(MOD(F1167,1)&lt;TIME(6,0,0),(MOD(F1167,1)+1-TIME(22,0,0))*24,0)),2))</f>
        <v/>
      </c>
      <c r="K1167" s="33">
        <f>IF(H1167="","",ROUND(IF(L1167="휴일근로",MIN(H1167,8)*1.5+MAX(0,H1167-8)*2,I1167*1.5)+N(J1167)*0.5,2))</f>
        <v/>
      </c>
      <c r="L1167" s="18" t="n"/>
      <c r="M1167" s="18" t="n"/>
      <c r="N1167" s="22" t="n"/>
    </row>
    <row r="1168">
      <c r="A1168" s="19" t="n"/>
      <c r="B1168" s="25">
        <f>IF(A1168="","",CHOOSE(WEEKDAY(A1168,2),"월","화","수","목","금","토","일"))</f>
        <v/>
      </c>
      <c r="C1168" s="18" t="n"/>
      <c r="D1168" s="25">
        <f>IFERROR(IF(C1168="","",INDEX(직원명부!$B$5:$B$24,MATCH(C1168,직원명부!$A$5:$A$24,0))),"사번 확인")</f>
        <v/>
      </c>
      <c r="E1168" s="34" t="n"/>
      <c r="F1168" s="34" t="n"/>
      <c r="G1168" s="28" t="n"/>
      <c r="H1168" s="33">
        <f>IF(OR(E1168="",F1168=""),"",ROUND(MOD(F1168-E1168,1)*24-N(G1168),2))</f>
        <v/>
      </c>
      <c r="I1168" s="33">
        <f>IF(H1168="","",ROUND(MAX(0,H1168-8),2))</f>
        <v/>
      </c>
      <c r="J1168" s="33">
        <f>IF(OR(E1168="",F1168=""),"",ROUND(IF(MOD(F1168,1)&gt;=TIME(22,0,0),(MOD(F1168,1)-TIME(22,0,0))*24,IF(MOD(F1168,1)&lt;TIME(6,0,0),(MOD(F1168,1)+1-TIME(22,0,0))*24,0)),2))</f>
        <v/>
      </c>
      <c r="K1168" s="33">
        <f>IF(H1168="","",ROUND(IF(L1168="휴일근로",MIN(H1168,8)*1.5+MAX(0,H1168-8)*2,I1168*1.5)+N(J1168)*0.5,2))</f>
        <v/>
      </c>
      <c r="L1168" s="18" t="n"/>
      <c r="M1168" s="18" t="n"/>
      <c r="N1168" s="22" t="n"/>
    </row>
    <row r="1169">
      <c r="A1169" s="19" t="n"/>
      <c r="B1169" s="25">
        <f>IF(A1169="","",CHOOSE(WEEKDAY(A1169,2),"월","화","수","목","금","토","일"))</f>
        <v/>
      </c>
      <c r="C1169" s="18" t="n"/>
      <c r="D1169" s="25">
        <f>IFERROR(IF(C1169="","",INDEX(직원명부!$B$5:$B$24,MATCH(C1169,직원명부!$A$5:$A$24,0))),"사번 확인")</f>
        <v/>
      </c>
      <c r="E1169" s="34" t="n"/>
      <c r="F1169" s="34" t="n"/>
      <c r="G1169" s="28" t="n"/>
      <c r="H1169" s="33">
        <f>IF(OR(E1169="",F1169=""),"",ROUND(MOD(F1169-E1169,1)*24-N(G1169),2))</f>
        <v/>
      </c>
      <c r="I1169" s="33">
        <f>IF(H1169="","",ROUND(MAX(0,H1169-8),2))</f>
        <v/>
      </c>
      <c r="J1169" s="33">
        <f>IF(OR(E1169="",F1169=""),"",ROUND(IF(MOD(F1169,1)&gt;=TIME(22,0,0),(MOD(F1169,1)-TIME(22,0,0))*24,IF(MOD(F1169,1)&lt;TIME(6,0,0),(MOD(F1169,1)+1-TIME(22,0,0))*24,0)),2))</f>
        <v/>
      </c>
      <c r="K1169" s="33">
        <f>IF(H1169="","",ROUND(IF(L1169="휴일근로",MIN(H1169,8)*1.5+MAX(0,H1169-8)*2,I1169*1.5)+N(J1169)*0.5,2))</f>
        <v/>
      </c>
      <c r="L1169" s="18" t="n"/>
      <c r="M1169" s="18" t="n"/>
      <c r="N1169" s="22" t="n"/>
    </row>
    <row r="1170">
      <c r="A1170" s="19" t="n"/>
      <c r="B1170" s="25">
        <f>IF(A1170="","",CHOOSE(WEEKDAY(A1170,2),"월","화","수","목","금","토","일"))</f>
        <v/>
      </c>
      <c r="C1170" s="18" t="n"/>
      <c r="D1170" s="25">
        <f>IFERROR(IF(C1170="","",INDEX(직원명부!$B$5:$B$24,MATCH(C1170,직원명부!$A$5:$A$24,0))),"사번 확인")</f>
        <v/>
      </c>
      <c r="E1170" s="34" t="n"/>
      <c r="F1170" s="34" t="n"/>
      <c r="G1170" s="28" t="n"/>
      <c r="H1170" s="33">
        <f>IF(OR(E1170="",F1170=""),"",ROUND(MOD(F1170-E1170,1)*24-N(G1170),2))</f>
        <v/>
      </c>
      <c r="I1170" s="33">
        <f>IF(H1170="","",ROUND(MAX(0,H1170-8),2))</f>
        <v/>
      </c>
      <c r="J1170" s="33">
        <f>IF(OR(E1170="",F1170=""),"",ROUND(IF(MOD(F1170,1)&gt;=TIME(22,0,0),(MOD(F1170,1)-TIME(22,0,0))*24,IF(MOD(F1170,1)&lt;TIME(6,0,0),(MOD(F1170,1)+1-TIME(22,0,0))*24,0)),2))</f>
        <v/>
      </c>
      <c r="K1170" s="33">
        <f>IF(H1170="","",ROUND(IF(L1170="휴일근로",MIN(H1170,8)*1.5+MAX(0,H1170-8)*2,I1170*1.5)+N(J1170)*0.5,2))</f>
        <v/>
      </c>
      <c r="L1170" s="18" t="n"/>
      <c r="M1170" s="18" t="n"/>
      <c r="N1170" s="22" t="n"/>
    </row>
    <row r="1171">
      <c r="A1171" s="19" t="n"/>
      <c r="B1171" s="25">
        <f>IF(A1171="","",CHOOSE(WEEKDAY(A1171,2),"월","화","수","목","금","토","일"))</f>
        <v/>
      </c>
      <c r="C1171" s="18" t="n"/>
      <c r="D1171" s="25">
        <f>IFERROR(IF(C1171="","",INDEX(직원명부!$B$5:$B$24,MATCH(C1171,직원명부!$A$5:$A$24,0))),"사번 확인")</f>
        <v/>
      </c>
      <c r="E1171" s="34" t="n"/>
      <c r="F1171" s="34" t="n"/>
      <c r="G1171" s="28" t="n"/>
      <c r="H1171" s="33">
        <f>IF(OR(E1171="",F1171=""),"",ROUND(MOD(F1171-E1171,1)*24-N(G1171),2))</f>
        <v/>
      </c>
      <c r="I1171" s="33">
        <f>IF(H1171="","",ROUND(MAX(0,H1171-8),2))</f>
        <v/>
      </c>
      <c r="J1171" s="33">
        <f>IF(OR(E1171="",F1171=""),"",ROUND(IF(MOD(F1171,1)&gt;=TIME(22,0,0),(MOD(F1171,1)-TIME(22,0,0))*24,IF(MOD(F1171,1)&lt;TIME(6,0,0),(MOD(F1171,1)+1-TIME(22,0,0))*24,0)),2))</f>
        <v/>
      </c>
      <c r="K1171" s="33">
        <f>IF(H1171="","",ROUND(IF(L1171="휴일근로",MIN(H1171,8)*1.5+MAX(0,H1171-8)*2,I1171*1.5)+N(J1171)*0.5,2))</f>
        <v/>
      </c>
      <c r="L1171" s="18" t="n"/>
      <c r="M1171" s="18" t="n"/>
      <c r="N1171" s="22" t="n"/>
    </row>
    <row r="1172">
      <c r="A1172" s="19" t="n"/>
      <c r="B1172" s="25">
        <f>IF(A1172="","",CHOOSE(WEEKDAY(A1172,2),"월","화","수","목","금","토","일"))</f>
        <v/>
      </c>
      <c r="C1172" s="18" t="n"/>
      <c r="D1172" s="25">
        <f>IFERROR(IF(C1172="","",INDEX(직원명부!$B$5:$B$24,MATCH(C1172,직원명부!$A$5:$A$24,0))),"사번 확인")</f>
        <v/>
      </c>
      <c r="E1172" s="34" t="n"/>
      <c r="F1172" s="34" t="n"/>
      <c r="G1172" s="28" t="n"/>
      <c r="H1172" s="33">
        <f>IF(OR(E1172="",F1172=""),"",ROUND(MOD(F1172-E1172,1)*24-N(G1172),2))</f>
        <v/>
      </c>
      <c r="I1172" s="33">
        <f>IF(H1172="","",ROUND(MAX(0,H1172-8),2))</f>
        <v/>
      </c>
      <c r="J1172" s="33">
        <f>IF(OR(E1172="",F1172=""),"",ROUND(IF(MOD(F1172,1)&gt;=TIME(22,0,0),(MOD(F1172,1)-TIME(22,0,0))*24,IF(MOD(F1172,1)&lt;TIME(6,0,0),(MOD(F1172,1)+1-TIME(22,0,0))*24,0)),2))</f>
        <v/>
      </c>
      <c r="K1172" s="33">
        <f>IF(H1172="","",ROUND(IF(L1172="휴일근로",MIN(H1172,8)*1.5+MAX(0,H1172-8)*2,I1172*1.5)+N(J1172)*0.5,2))</f>
        <v/>
      </c>
      <c r="L1172" s="18" t="n"/>
      <c r="M1172" s="18" t="n"/>
      <c r="N1172" s="22" t="n"/>
    </row>
    <row r="1173">
      <c r="A1173" s="19" t="n"/>
      <c r="B1173" s="25">
        <f>IF(A1173="","",CHOOSE(WEEKDAY(A1173,2),"월","화","수","목","금","토","일"))</f>
        <v/>
      </c>
      <c r="C1173" s="18" t="n"/>
      <c r="D1173" s="25">
        <f>IFERROR(IF(C1173="","",INDEX(직원명부!$B$5:$B$24,MATCH(C1173,직원명부!$A$5:$A$24,0))),"사번 확인")</f>
        <v/>
      </c>
      <c r="E1173" s="34" t="n"/>
      <c r="F1173" s="34" t="n"/>
      <c r="G1173" s="28" t="n"/>
      <c r="H1173" s="33">
        <f>IF(OR(E1173="",F1173=""),"",ROUND(MOD(F1173-E1173,1)*24-N(G1173),2))</f>
        <v/>
      </c>
      <c r="I1173" s="33">
        <f>IF(H1173="","",ROUND(MAX(0,H1173-8),2))</f>
        <v/>
      </c>
      <c r="J1173" s="33">
        <f>IF(OR(E1173="",F1173=""),"",ROUND(IF(MOD(F1173,1)&gt;=TIME(22,0,0),(MOD(F1173,1)-TIME(22,0,0))*24,IF(MOD(F1173,1)&lt;TIME(6,0,0),(MOD(F1173,1)+1-TIME(22,0,0))*24,0)),2))</f>
        <v/>
      </c>
      <c r="K1173" s="33">
        <f>IF(H1173="","",ROUND(IF(L1173="휴일근로",MIN(H1173,8)*1.5+MAX(0,H1173-8)*2,I1173*1.5)+N(J1173)*0.5,2))</f>
        <v/>
      </c>
      <c r="L1173" s="18" t="n"/>
      <c r="M1173" s="18" t="n"/>
      <c r="N1173" s="22" t="n"/>
    </row>
    <row r="1174">
      <c r="A1174" s="19" t="n"/>
      <c r="B1174" s="25">
        <f>IF(A1174="","",CHOOSE(WEEKDAY(A1174,2),"월","화","수","목","금","토","일"))</f>
        <v/>
      </c>
      <c r="C1174" s="18" t="n"/>
      <c r="D1174" s="25">
        <f>IFERROR(IF(C1174="","",INDEX(직원명부!$B$5:$B$24,MATCH(C1174,직원명부!$A$5:$A$24,0))),"사번 확인")</f>
        <v/>
      </c>
      <c r="E1174" s="34" t="n"/>
      <c r="F1174" s="34" t="n"/>
      <c r="G1174" s="28" t="n"/>
      <c r="H1174" s="33">
        <f>IF(OR(E1174="",F1174=""),"",ROUND(MOD(F1174-E1174,1)*24-N(G1174),2))</f>
        <v/>
      </c>
      <c r="I1174" s="33">
        <f>IF(H1174="","",ROUND(MAX(0,H1174-8),2))</f>
        <v/>
      </c>
      <c r="J1174" s="33">
        <f>IF(OR(E1174="",F1174=""),"",ROUND(IF(MOD(F1174,1)&gt;=TIME(22,0,0),(MOD(F1174,1)-TIME(22,0,0))*24,IF(MOD(F1174,1)&lt;TIME(6,0,0),(MOD(F1174,1)+1-TIME(22,0,0))*24,0)),2))</f>
        <v/>
      </c>
      <c r="K1174" s="33">
        <f>IF(H1174="","",ROUND(IF(L1174="휴일근로",MIN(H1174,8)*1.5+MAX(0,H1174-8)*2,I1174*1.5)+N(J1174)*0.5,2))</f>
        <v/>
      </c>
      <c r="L1174" s="18" t="n"/>
      <c r="M1174" s="18" t="n"/>
      <c r="N1174" s="22" t="n"/>
    </row>
    <row r="1175">
      <c r="A1175" s="19" t="n"/>
      <c r="B1175" s="25">
        <f>IF(A1175="","",CHOOSE(WEEKDAY(A1175,2),"월","화","수","목","금","토","일"))</f>
        <v/>
      </c>
      <c r="C1175" s="18" t="n"/>
      <c r="D1175" s="25">
        <f>IFERROR(IF(C1175="","",INDEX(직원명부!$B$5:$B$24,MATCH(C1175,직원명부!$A$5:$A$24,0))),"사번 확인")</f>
        <v/>
      </c>
      <c r="E1175" s="34" t="n"/>
      <c r="F1175" s="34" t="n"/>
      <c r="G1175" s="28" t="n"/>
      <c r="H1175" s="33">
        <f>IF(OR(E1175="",F1175=""),"",ROUND(MOD(F1175-E1175,1)*24-N(G1175),2))</f>
        <v/>
      </c>
      <c r="I1175" s="33">
        <f>IF(H1175="","",ROUND(MAX(0,H1175-8),2))</f>
        <v/>
      </c>
      <c r="J1175" s="33">
        <f>IF(OR(E1175="",F1175=""),"",ROUND(IF(MOD(F1175,1)&gt;=TIME(22,0,0),(MOD(F1175,1)-TIME(22,0,0))*24,IF(MOD(F1175,1)&lt;TIME(6,0,0),(MOD(F1175,1)+1-TIME(22,0,0))*24,0)),2))</f>
        <v/>
      </c>
      <c r="K1175" s="33">
        <f>IF(H1175="","",ROUND(IF(L1175="휴일근로",MIN(H1175,8)*1.5+MAX(0,H1175-8)*2,I1175*1.5)+N(J1175)*0.5,2))</f>
        <v/>
      </c>
      <c r="L1175" s="18" t="n"/>
      <c r="M1175" s="18" t="n"/>
      <c r="N1175" s="22" t="n"/>
    </row>
    <row r="1176">
      <c r="A1176" s="19" t="n"/>
      <c r="B1176" s="25">
        <f>IF(A1176="","",CHOOSE(WEEKDAY(A1176,2),"월","화","수","목","금","토","일"))</f>
        <v/>
      </c>
      <c r="C1176" s="18" t="n"/>
      <c r="D1176" s="25">
        <f>IFERROR(IF(C1176="","",INDEX(직원명부!$B$5:$B$24,MATCH(C1176,직원명부!$A$5:$A$24,0))),"사번 확인")</f>
        <v/>
      </c>
      <c r="E1176" s="34" t="n"/>
      <c r="F1176" s="34" t="n"/>
      <c r="G1176" s="28" t="n"/>
      <c r="H1176" s="33">
        <f>IF(OR(E1176="",F1176=""),"",ROUND(MOD(F1176-E1176,1)*24-N(G1176),2))</f>
        <v/>
      </c>
      <c r="I1176" s="33">
        <f>IF(H1176="","",ROUND(MAX(0,H1176-8),2))</f>
        <v/>
      </c>
      <c r="J1176" s="33">
        <f>IF(OR(E1176="",F1176=""),"",ROUND(IF(MOD(F1176,1)&gt;=TIME(22,0,0),(MOD(F1176,1)-TIME(22,0,0))*24,IF(MOD(F1176,1)&lt;TIME(6,0,0),(MOD(F1176,1)+1-TIME(22,0,0))*24,0)),2))</f>
        <v/>
      </c>
      <c r="K1176" s="33">
        <f>IF(H1176="","",ROUND(IF(L1176="휴일근로",MIN(H1176,8)*1.5+MAX(0,H1176-8)*2,I1176*1.5)+N(J1176)*0.5,2))</f>
        <v/>
      </c>
      <c r="L1176" s="18" t="n"/>
      <c r="M1176" s="18" t="n"/>
      <c r="N1176" s="22" t="n"/>
    </row>
    <row r="1177">
      <c r="A1177" s="19" t="n"/>
      <c r="B1177" s="25">
        <f>IF(A1177="","",CHOOSE(WEEKDAY(A1177,2),"월","화","수","목","금","토","일"))</f>
        <v/>
      </c>
      <c r="C1177" s="18" t="n"/>
      <c r="D1177" s="25">
        <f>IFERROR(IF(C1177="","",INDEX(직원명부!$B$5:$B$24,MATCH(C1177,직원명부!$A$5:$A$24,0))),"사번 확인")</f>
        <v/>
      </c>
      <c r="E1177" s="34" t="n"/>
      <c r="F1177" s="34" t="n"/>
      <c r="G1177" s="28" t="n"/>
      <c r="H1177" s="33">
        <f>IF(OR(E1177="",F1177=""),"",ROUND(MOD(F1177-E1177,1)*24-N(G1177),2))</f>
        <v/>
      </c>
      <c r="I1177" s="33">
        <f>IF(H1177="","",ROUND(MAX(0,H1177-8),2))</f>
        <v/>
      </c>
      <c r="J1177" s="33">
        <f>IF(OR(E1177="",F1177=""),"",ROUND(IF(MOD(F1177,1)&gt;=TIME(22,0,0),(MOD(F1177,1)-TIME(22,0,0))*24,IF(MOD(F1177,1)&lt;TIME(6,0,0),(MOD(F1177,1)+1-TIME(22,0,0))*24,0)),2))</f>
        <v/>
      </c>
      <c r="K1177" s="33">
        <f>IF(H1177="","",ROUND(IF(L1177="휴일근로",MIN(H1177,8)*1.5+MAX(0,H1177-8)*2,I1177*1.5)+N(J1177)*0.5,2))</f>
        <v/>
      </c>
      <c r="L1177" s="18" t="n"/>
      <c r="M1177" s="18" t="n"/>
      <c r="N1177" s="22" t="n"/>
    </row>
    <row r="1178">
      <c r="A1178" s="19" t="n"/>
      <c r="B1178" s="25">
        <f>IF(A1178="","",CHOOSE(WEEKDAY(A1178,2),"월","화","수","목","금","토","일"))</f>
        <v/>
      </c>
      <c r="C1178" s="18" t="n"/>
      <c r="D1178" s="25">
        <f>IFERROR(IF(C1178="","",INDEX(직원명부!$B$5:$B$24,MATCH(C1178,직원명부!$A$5:$A$24,0))),"사번 확인")</f>
        <v/>
      </c>
      <c r="E1178" s="34" t="n"/>
      <c r="F1178" s="34" t="n"/>
      <c r="G1178" s="28" t="n"/>
      <c r="H1178" s="33">
        <f>IF(OR(E1178="",F1178=""),"",ROUND(MOD(F1178-E1178,1)*24-N(G1178),2))</f>
        <v/>
      </c>
      <c r="I1178" s="33">
        <f>IF(H1178="","",ROUND(MAX(0,H1178-8),2))</f>
        <v/>
      </c>
      <c r="J1178" s="33">
        <f>IF(OR(E1178="",F1178=""),"",ROUND(IF(MOD(F1178,1)&gt;=TIME(22,0,0),(MOD(F1178,1)-TIME(22,0,0))*24,IF(MOD(F1178,1)&lt;TIME(6,0,0),(MOD(F1178,1)+1-TIME(22,0,0))*24,0)),2))</f>
        <v/>
      </c>
      <c r="K1178" s="33">
        <f>IF(H1178="","",ROUND(IF(L1178="휴일근로",MIN(H1178,8)*1.5+MAX(0,H1178-8)*2,I1178*1.5)+N(J1178)*0.5,2))</f>
        <v/>
      </c>
      <c r="L1178" s="18" t="n"/>
      <c r="M1178" s="18" t="n"/>
      <c r="N1178" s="22" t="n"/>
    </row>
    <row r="1179">
      <c r="A1179" s="19" t="n"/>
      <c r="B1179" s="25">
        <f>IF(A1179="","",CHOOSE(WEEKDAY(A1179,2),"월","화","수","목","금","토","일"))</f>
        <v/>
      </c>
      <c r="C1179" s="18" t="n"/>
      <c r="D1179" s="25">
        <f>IFERROR(IF(C1179="","",INDEX(직원명부!$B$5:$B$24,MATCH(C1179,직원명부!$A$5:$A$24,0))),"사번 확인")</f>
        <v/>
      </c>
      <c r="E1179" s="34" t="n"/>
      <c r="F1179" s="34" t="n"/>
      <c r="G1179" s="28" t="n"/>
      <c r="H1179" s="33">
        <f>IF(OR(E1179="",F1179=""),"",ROUND(MOD(F1179-E1179,1)*24-N(G1179),2))</f>
        <v/>
      </c>
      <c r="I1179" s="33">
        <f>IF(H1179="","",ROUND(MAX(0,H1179-8),2))</f>
        <v/>
      </c>
      <c r="J1179" s="33">
        <f>IF(OR(E1179="",F1179=""),"",ROUND(IF(MOD(F1179,1)&gt;=TIME(22,0,0),(MOD(F1179,1)-TIME(22,0,0))*24,IF(MOD(F1179,1)&lt;TIME(6,0,0),(MOD(F1179,1)+1-TIME(22,0,0))*24,0)),2))</f>
        <v/>
      </c>
      <c r="K1179" s="33">
        <f>IF(H1179="","",ROUND(IF(L1179="휴일근로",MIN(H1179,8)*1.5+MAX(0,H1179-8)*2,I1179*1.5)+N(J1179)*0.5,2))</f>
        <v/>
      </c>
      <c r="L1179" s="18" t="n"/>
      <c r="M1179" s="18" t="n"/>
      <c r="N1179" s="22" t="n"/>
    </row>
    <row r="1180">
      <c r="A1180" s="19" t="n"/>
      <c r="B1180" s="25">
        <f>IF(A1180="","",CHOOSE(WEEKDAY(A1180,2),"월","화","수","목","금","토","일"))</f>
        <v/>
      </c>
      <c r="C1180" s="18" t="n"/>
      <c r="D1180" s="25">
        <f>IFERROR(IF(C1180="","",INDEX(직원명부!$B$5:$B$24,MATCH(C1180,직원명부!$A$5:$A$24,0))),"사번 확인")</f>
        <v/>
      </c>
      <c r="E1180" s="34" t="n"/>
      <c r="F1180" s="34" t="n"/>
      <c r="G1180" s="28" t="n"/>
      <c r="H1180" s="33">
        <f>IF(OR(E1180="",F1180=""),"",ROUND(MOD(F1180-E1180,1)*24-N(G1180),2))</f>
        <v/>
      </c>
      <c r="I1180" s="33">
        <f>IF(H1180="","",ROUND(MAX(0,H1180-8),2))</f>
        <v/>
      </c>
      <c r="J1180" s="33">
        <f>IF(OR(E1180="",F1180=""),"",ROUND(IF(MOD(F1180,1)&gt;=TIME(22,0,0),(MOD(F1180,1)-TIME(22,0,0))*24,IF(MOD(F1180,1)&lt;TIME(6,0,0),(MOD(F1180,1)+1-TIME(22,0,0))*24,0)),2))</f>
        <v/>
      </c>
      <c r="K1180" s="33">
        <f>IF(H1180="","",ROUND(IF(L1180="휴일근로",MIN(H1180,8)*1.5+MAX(0,H1180-8)*2,I1180*1.5)+N(J1180)*0.5,2))</f>
        <v/>
      </c>
      <c r="L1180" s="18" t="n"/>
      <c r="M1180" s="18" t="n"/>
      <c r="N1180" s="22" t="n"/>
    </row>
    <row r="1181">
      <c r="A1181" s="19" t="n"/>
      <c r="B1181" s="25">
        <f>IF(A1181="","",CHOOSE(WEEKDAY(A1181,2),"월","화","수","목","금","토","일"))</f>
        <v/>
      </c>
      <c r="C1181" s="18" t="n"/>
      <c r="D1181" s="25">
        <f>IFERROR(IF(C1181="","",INDEX(직원명부!$B$5:$B$24,MATCH(C1181,직원명부!$A$5:$A$24,0))),"사번 확인")</f>
        <v/>
      </c>
      <c r="E1181" s="34" t="n"/>
      <c r="F1181" s="34" t="n"/>
      <c r="G1181" s="28" t="n"/>
      <c r="H1181" s="33">
        <f>IF(OR(E1181="",F1181=""),"",ROUND(MOD(F1181-E1181,1)*24-N(G1181),2))</f>
        <v/>
      </c>
      <c r="I1181" s="33">
        <f>IF(H1181="","",ROUND(MAX(0,H1181-8),2))</f>
        <v/>
      </c>
      <c r="J1181" s="33">
        <f>IF(OR(E1181="",F1181=""),"",ROUND(IF(MOD(F1181,1)&gt;=TIME(22,0,0),(MOD(F1181,1)-TIME(22,0,0))*24,IF(MOD(F1181,1)&lt;TIME(6,0,0),(MOD(F1181,1)+1-TIME(22,0,0))*24,0)),2))</f>
        <v/>
      </c>
      <c r="K1181" s="33">
        <f>IF(H1181="","",ROUND(IF(L1181="휴일근로",MIN(H1181,8)*1.5+MAX(0,H1181-8)*2,I1181*1.5)+N(J1181)*0.5,2))</f>
        <v/>
      </c>
      <c r="L1181" s="18" t="n"/>
      <c r="M1181" s="18" t="n"/>
      <c r="N1181" s="22" t="n"/>
    </row>
    <row r="1182">
      <c r="A1182" s="19" t="n"/>
      <c r="B1182" s="25">
        <f>IF(A1182="","",CHOOSE(WEEKDAY(A1182,2),"월","화","수","목","금","토","일"))</f>
        <v/>
      </c>
      <c r="C1182" s="18" t="n"/>
      <c r="D1182" s="25">
        <f>IFERROR(IF(C1182="","",INDEX(직원명부!$B$5:$B$24,MATCH(C1182,직원명부!$A$5:$A$24,0))),"사번 확인")</f>
        <v/>
      </c>
      <c r="E1182" s="34" t="n"/>
      <c r="F1182" s="34" t="n"/>
      <c r="G1182" s="28" t="n"/>
      <c r="H1182" s="33">
        <f>IF(OR(E1182="",F1182=""),"",ROUND(MOD(F1182-E1182,1)*24-N(G1182),2))</f>
        <v/>
      </c>
      <c r="I1182" s="33">
        <f>IF(H1182="","",ROUND(MAX(0,H1182-8),2))</f>
        <v/>
      </c>
      <c r="J1182" s="33">
        <f>IF(OR(E1182="",F1182=""),"",ROUND(IF(MOD(F1182,1)&gt;=TIME(22,0,0),(MOD(F1182,1)-TIME(22,0,0))*24,IF(MOD(F1182,1)&lt;TIME(6,0,0),(MOD(F1182,1)+1-TIME(22,0,0))*24,0)),2))</f>
        <v/>
      </c>
      <c r="K1182" s="33">
        <f>IF(H1182="","",ROUND(IF(L1182="휴일근로",MIN(H1182,8)*1.5+MAX(0,H1182-8)*2,I1182*1.5)+N(J1182)*0.5,2))</f>
        <v/>
      </c>
      <c r="L1182" s="18" t="n"/>
      <c r="M1182" s="18" t="n"/>
      <c r="N1182" s="22" t="n"/>
    </row>
    <row r="1183">
      <c r="A1183" s="19" t="n"/>
      <c r="B1183" s="25">
        <f>IF(A1183="","",CHOOSE(WEEKDAY(A1183,2),"월","화","수","목","금","토","일"))</f>
        <v/>
      </c>
      <c r="C1183" s="18" t="n"/>
      <c r="D1183" s="25">
        <f>IFERROR(IF(C1183="","",INDEX(직원명부!$B$5:$B$24,MATCH(C1183,직원명부!$A$5:$A$24,0))),"사번 확인")</f>
        <v/>
      </c>
      <c r="E1183" s="34" t="n"/>
      <c r="F1183" s="34" t="n"/>
      <c r="G1183" s="28" t="n"/>
      <c r="H1183" s="33">
        <f>IF(OR(E1183="",F1183=""),"",ROUND(MOD(F1183-E1183,1)*24-N(G1183),2))</f>
        <v/>
      </c>
      <c r="I1183" s="33">
        <f>IF(H1183="","",ROUND(MAX(0,H1183-8),2))</f>
        <v/>
      </c>
      <c r="J1183" s="33">
        <f>IF(OR(E1183="",F1183=""),"",ROUND(IF(MOD(F1183,1)&gt;=TIME(22,0,0),(MOD(F1183,1)-TIME(22,0,0))*24,IF(MOD(F1183,1)&lt;TIME(6,0,0),(MOD(F1183,1)+1-TIME(22,0,0))*24,0)),2))</f>
        <v/>
      </c>
      <c r="K1183" s="33">
        <f>IF(H1183="","",ROUND(IF(L1183="휴일근로",MIN(H1183,8)*1.5+MAX(0,H1183-8)*2,I1183*1.5)+N(J1183)*0.5,2))</f>
        <v/>
      </c>
      <c r="L1183" s="18" t="n"/>
      <c r="M1183" s="18" t="n"/>
      <c r="N1183" s="22" t="n"/>
    </row>
    <row r="1184">
      <c r="A1184" s="19" t="n"/>
      <c r="B1184" s="25">
        <f>IF(A1184="","",CHOOSE(WEEKDAY(A1184,2),"월","화","수","목","금","토","일"))</f>
        <v/>
      </c>
      <c r="C1184" s="18" t="n"/>
      <c r="D1184" s="25">
        <f>IFERROR(IF(C1184="","",INDEX(직원명부!$B$5:$B$24,MATCH(C1184,직원명부!$A$5:$A$24,0))),"사번 확인")</f>
        <v/>
      </c>
      <c r="E1184" s="34" t="n"/>
      <c r="F1184" s="34" t="n"/>
      <c r="G1184" s="28" t="n"/>
      <c r="H1184" s="33">
        <f>IF(OR(E1184="",F1184=""),"",ROUND(MOD(F1184-E1184,1)*24-N(G1184),2))</f>
        <v/>
      </c>
      <c r="I1184" s="33">
        <f>IF(H1184="","",ROUND(MAX(0,H1184-8),2))</f>
        <v/>
      </c>
      <c r="J1184" s="33">
        <f>IF(OR(E1184="",F1184=""),"",ROUND(IF(MOD(F1184,1)&gt;=TIME(22,0,0),(MOD(F1184,1)-TIME(22,0,0))*24,IF(MOD(F1184,1)&lt;TIME(6,0,0),(MOD(F1184,1)+1-TIME(22,0,0))*24,0)),2))</f>
        <v/>
      </c>
      <c r="K1184" s="33">
        <f>IF(H1184="","",ROUND(IF(L1184="휴일근로",MIN(H1184,8)*1.5+MAX(0,H1184-8)*2,I1184*1.5)+N(J1184)*0.5,2))</f>
        <v/>
      </c>
      <c r="L1184" s="18" t="n"/>
      <c r="M1184" s="18" t="n"/>
      <c r="N1184" s="22" t="n"/>
    </row>
    <row r="1185">
      <c r="A1185" s="19" t="n"/>
      <c r="B1185" s="25">
        <f>IF(A1185="","",CHOOSE(WEEKDAY(A1185,2),"월","화","수","목","금","토","일"))</f>
        <v/>
      </c>
      <c r="C1185" s="18" t="n"/>
      <c r="D1185" s="25">
        <f>IFERROR(IF(C1185="","",INDEX(직원명부!$B$5:$B$24,MATCH(C1185,직원명부!$A$5:$A$24,0))),"사번 확인")</f>
        <v/>
      </c>
      <c r="E1185" s="34" t="n"/>
      <c r="F1185" s="34" t="n"/>
      <c r="G1185" s="28" t="n"/>
      <c r="H1185" s="33">
        <f>IF(OR(E1185="",F1185=""),"",ROUND(MOD(F1185-E1185,1)*24-N(G1185),2))</f>
        <v/>
      </c>
      <c r="I1185" s="33">
        <f>IF(H1185="","",ROUND(MAX(0,H1185-8),2))</f>
        <v/>
      </c>
      <c r="J1185" s="33">
        <f>IF(OR(E1185="",F1185=""),"",ROUND(IF(MOD(F1185,1)&gt;=TIME(22,0,0),(MOD(F1185,1)-TIME(22,0,0))*24,IF(MOD(F1185,1)&lt;TIME(6,0,0),(MOD(F1185,1)+1-TIME(22,0,0))*24,0)),2))</f>
        <v/>
      </c>
      <c r="K1185" s="33">
        <f>IF(H1185="","",ROUND(IF(L1185="휴일근로",MIN(H1185,8)*1.5+MAX(0,H1185-8)*2,I1185*1.5)+N(J1185)*0.5,2))</f>
        <v/>
      </c>
      <c r="L1185" s="18" t="n"/>
      <c r="M1185" s="18" t="n"/>
      <c r="N1185" s="22" t="n"/>
    </row>
    <row r="1186">
      <c r="A1186" s="19" t="n"/>
      <c r="B1186" s="25">
        <f>IF(A1186="","",CHOOSE(WEEKDAY(A1186,2),"월","화","수","목","금","토","일"))</f>
        <v/>
      </c>
      <c r="C1186" s="18" t="n"/>
      <c r="D1186" s="25">
        <f>IFERROR(IF(C1186="","",INDEX(직원명부!$B$5:$B$24,MATCH(C1186,직원명부!$A$5:$A$24,0))),"사번 확인")</f>
        <v/>
      </c>
      <c r="E1186" s="34" t="n"/>
      <c r="F1186" s="34" t="n"/>
      <c r="G1186" s="28" t="n"/>
      <c r="H1186" s="33">
        <f>IF(OR(E1186="",F1186=""),"",ROUND(MOD(F1186-E1186,1)*24-N(G1186),2))</f>
        <v/>
      </c>
      <c r="I1186" s="33">
        <f>IF(H1186="","",ROUND(MAX(0,H1186-8),2))</f>
        <v/>
      </c>
      <c r="J1186" s="33">
        <f>IF(OR(E1186="",F1186=""),"",ROUND(IF(MOD(F1186,1)&gt;=TIME(22,0,0),(MOD(F1186,1)-TIME(22,0,0))*24,IF(MOD(F1186,1)&lt;TIME(6,0,0),(MOD(F1186,1)+1-TIME(22,0,0))*24,0)),2))</f>
        <v/>
      </c>
      <c r="K1186" s="33">
        <f>IF(H1186="","",ROUND(IF(L1186="휴일근로",MIN(H1186,8)*1.5+MAX(0,H1186-8)*2,I1186*1.5)+N(J1186)*0.5,2))</f>
        <v/>
      </c>
      <c r="L1186" s="18" t="n"/>
      <c r="M1186" s="18" t="n"/>
      <c r="N1186" s="22" t="n"/>
    </row>
    <row r="1187">
      <c r="A1187" s="19" t="n"/>
      <c r="B1187" s="25">
        <f>IF(A1187="","",CHOOSE(WEEKDAY(A1187,2),"월","화","수","목","금","토","일"))</f>
        <v/>
      </c>
      <c r="C1187" s="18" t="n"/>
      <c r="D1187" s="25">
        <f>IFERROR(IF(C1187="","",INDEX(직원명부!$B$5:$B$24,MATCH(C1187,직원명부!$A$5:$A$24,0))),"사번 확인")</f>
        <v/>
      </c>
      <c r="E1187" s="34" t="n"/>
      <c r="F1187" s="34" t="n"/>
      <c r="G1187" s="28" t="n"/>
      <c r="H1187" s="33">
        <f>IF(OR(E1187="",F1187=""),"",ROUND(MOD(F1187-E1187,1)*24-N(G1187),2))</f>
        <v/>
      </c>
      <c r="I1187" s="33">
        <f>IF(H1187="","",ROUND(MAX(0,H1187-8),2))</f>
        <v/>
      </c>
      <c r="J1187" s="33">
        <f>IF(OR(E1187="",F1187=""),"",ROUND(IF(MOD(F1187,1)&gt;=TIME(22,0,0),(MOD(F1187,1)-TIME(22,0,0))*24,IF(MOD(F1187,1)&lt;TIME(6,0,0),(MOD(F1187,1)+1-TIME(22,0,0))*24,0)),2))</f>
        <v/>
      </c>
      <c r="K1187" s="33">
        <f>IF(H1187="","",ROUND(IF(L1187="휴일근로",MIN(H1187,8)*1.5+MAX(0,H1187-8)*2,I1187*1.5)+N(J1187)*0.5,2))</f>
        <v/>
      </c>
      <c r="L1187" s="18" t="n"/>
      <c r="M1187" s="18" t="n"/>
      <c r="N1187" s="22" t="n"/>
    </row>
    <row r="1188">
      <c r="A1188" s="19" t="n"/>
      <c r="B1188" s="25">
        <f>IF(A1188="","",CHOOSE(WEEKDAY(A1188,2),"월","화","수","목","금","토","일"))</f>
        <v/>
      </c>
      <c r="C1188" s="18" t="n"/>
      <c r="D1188" s="25">
        <f>IFERROR(IF(C1188="","",INDEX(직원명부!$B$5:$B$24,MATCH(C1188,직원명부!$A$5:$A$24,0))),"사번 확인")</f>
        <v/>
      </c>
      <c r="E1188" s="34" t="n"/>
      <c r="F1188" s="34" t="n"/>
      <c r="G1188" s="28" t="n"/>
      <c r="H1188" s="33">
        <f>IF(OR(E1188="",F1188=""),"",ROUND(MOD(F1188-E1188,1)*24-N(G1188),2))</f>
        <v/>
      </c>
      <c r="I1188" s="33">
        <f>IF(H1188="","",ROUND(MAX(0,H1188-8),2))</f>
        <v/>
      </c>
      <c r="J1188" s="33">
        <f>IF(OR(E1188="",F1188=""),"",ROUND(IF(MOD(F1188,1)&gt;=TIME(22,0,0),(MOD(F1188,1)-TIME(22,0,0))*24,IF(MOD(F1188,1)&lt;TIME(6,0,0),(MOD(F1188,1)+1-TIME(22,0,0))*24,0)),2))</f>
        <v/>
      </c>
      <c r="K1188" s="33">
        <f>IF(H1188="","",ROUND(IF(L1188="휴일근로",MIN(H1188,8)*1.5+MAX(0,H1188-8)*2,I1188*1.5)+N(J1188)*0.5,2))</f>
        <v/>
      </c>
      <c r="L1188" s="18" t="n"/>
      <c r="M1188" s="18" t="n"/>
      <c r="N1188" s="22" t="n"/>
    </row>
    <row r="1189">
      <c r="A1189" s="19" t="n"/>
      <c r="B1189" s="25">
        <f>IF(A1189="","",CHOOSE(WEEKDAY(A1189,2),"월","화","수","목","금","토","일"))</f>
        <v/>
      </c>
      <c r="C1189" s="18" t="n"/>
      <c r="D1189" s="25">
        <f>IFERROR(IF(C1189="","",INDEX(직원명부!$B$5:$B$24,MATCH(C1189,직원명부!$A$5:$A$24,0))),"사번 확인")</f>
        <v/>
      </c>
      <c r="E1189" s="34" t="n"/>
      <c r="F1189" s="34" t="n"/>
      <c r="G1189" s="28" t="n"/>
      <c r="H1189" s="33">
        <f>IF(OR(E1189="",F1189=""),"",ROUND(MOD(F1189-E1189,1)*24-N(G1189),2))</f>
        <v/>
      </c>
      <c r="I1189" s="33">
        <f>IF(H1189="","",ROUND(MAX(0,H1189-8),2))</f>
        <v/>
      </c>
      <c r="J1189" s="33">
        <f>IF(OR(E1189="",F1189=""),"",ROUND(IF(MOD(F1189,1)&gt;=TIME(22,0,0),(MOD(F1189,1)-TIME(22,0,0))*24,IF(MOD(F1189,1)&lt;TIME(6,0,0),(MOD(F1189,1)+1-TIME(22,0,0))*24,0)),2))</f>
        <v/>
      </c>
      <c r="K1189" s="33">
        <f>IF(H1189="","",ROUND(IF(L1189="휴일근로",MIN(H1189,8)*1.5+MAX(0,H1189-8)*2,I1189*1.5)+N(J1189)*0.5,2))</f>
        <v/>
      </c>
      <c r="L1189" s="18" t="n"/>
      <c r="M1189" s="18" t="n"/>
      <c r="N1189" s="22" t="n"/>
    </row>
    <row r="1190">
      <c r="A1190" s="19" t="n"/>
      <c r="B1190" s="25">
        <f>IF(A1190="","",CHOOSE(WEEKDAY(A1190,2),"월","화","수","목","금","토","일"))</f>
        <v/>
      </c>
      <c r="C1190" s="18" t="n"/>
      <c r="D1190" s="25">
        <f>IFERROR(IF(C1190="","",INDEX(직원명부!$B$5:$B$24,MATCH(C1190,직원명부!$A$5:$A$24,0))),"사번 확인")</f>
        <v/>
      </c>
      <c r="E1190" s="34" t="n"/>
      <c r="F1190" s="34" t="n"/>
      <c r="G1190" s="28" t="n"/>
      <c r="H1190" s="33">
        <f>IF(OR(E1190="",F1190=""),"",ROUND(MOD(F1190-E1190,1)*24-N(G1190),2))</f>
        <v/>
      </c>
      <c r="I1190" s="33">
        <f>IF(H1190="","",ROUND(MAX(0,H1190-8),2))</f>
        <v/>
      </c>
      <c r="J1190" s="33">
        <f>IF(OR(E1190="",F1190=""),"",ROUND(IF(MOD(F1190,1)&gt;=TIME(22,0,0),(MOD(F1190,1)-TIME(22,0,0))*24,IF(MOD(F1190,1)&lt;TIME(6,0,0),(MOD(F1190,1)+1-TIME(22,0,0))*24,0)),2))</f>
        <v/>
      </c>
      <c r="K1190" s="33">
        <f>IF(H1190="","",ROUND(IF(L1190="휴일근로",MIN(H1190,8)*1.5+MAX(0,H1190-8)*2,I1190*1.5)+N(J1190)*0.5,2))</f>
        <v/>
      </c>
      <c r="L1190" s="18" t="n"/>
      <c r="M1190" s="18" t="n"/>
      <c r="N1190" s="22" t="n"/>
    </row>
    <row r="1191">
      <c r="A1191" s="19" t="n"/>
      <c r="B1191" s="25">
        <f>IF(A1191="","",CHOOSE(WEEKDAY(A1191,2),"월","화","수","목","금","토","일"))</f>
        <v/>
      </c>
      <c r="C1191" s="18" t="n"/>
      <c r="D1191" s="25">
        <f>IFERROR(IF(C1191="","",INDEX(직원명부!$B$5:$B$24,MATCH(C1191,직원명부!$A$5:$A$24,0))),"사번 확인")</f>
        <v/>
      </c>
      <c r="E1191" s="34" t="n"/>
      <c r="F1191" s="34" t="n"/>
      <c r="G1191" s="28" t="n"/>
      <c r="H1191" s="33">
        <f>IF(OR(E1191="",F1191=""),"",ROUND(MOD(F1191-E1191,1)*24-N(G1191),2))</f>
        <v/>
      </c>
      <c r="I1191" s="33">
        <f>IF(H1191="","",ROUND(MAX(0,H1191-8),2))</f>
        <v/>
      </c>
      <c r="J1191" s="33">
        <f>IF(OR(E1191="",F1191=""),"",ROUND(IF(MOD(F1191,1)&gt;=TIME(22,0,0),(MOD(F1191,1)-TIME(22,0,0))*24,IF(MOD(F1191,1)&lt;TIME(6,0,0),(MOD(F1191,1)+1-TIME(22,0,0))*24,0)),2))</f>
        <v/>
      </c>
      <c r="K1191" s="33">
        <f>IF(H1191="","",ROUND(IF(L1191="휴일근로",MIN(H1191,8)*1.5+MAX(0,H1191-8)*2,I1191*1.5)+N(J1191)*0.5,2))</f>
        <v/>
      </c>
      <c r="L1191" s="18" t="n"/>
      <c r="M1191" s="18" t="n"/>
      <c r="N1191" s="22" t="n"/>
    </row>
    <row r="1192">
      <c r="A1192" s="19" t="n"/>
      <c r="B1192" s="25">
        <f>IF(A1192="","",CHOOSE(WEEKDAY(A1192,2),"월","화","수","목","금","토","일"))</f>
        <v/>
      </c>
      <c r="C1192" s="18" t="n"/>
      <c r="D1192" s="25">
        <f>IFERROR(IF(C1192="","",INDEX(직원명부!$B$5:$B$24,MATCH(C1192,직원명부!$A$5:$A$24,0))),"사번 확인")</f>
        <v/>
      </c>
      <c r="E1192" s="34" t="n"/>
      <c r="F1192" s="34" t="n"/>
      <c r="G1192" s="28" t="n"/>
      <c r="H1192" s="33">
        <f>IF(OR(E1192="",F1192=""),"",ROUND(MOD(F1192-E1192,1)*24-N(G1192),2))</f>
        <v/>
      </c>
      <c r="I1192" s="33">
        <f>IF(H1192="","",ROUND(MAX(0,H1192-8),2))</f>
        <v/>
      </c>
      <c r="J1192" s="33">
        <f>IF(OR(E1192="",F1192=""),"",ROUND(IF(MOD(F1192,1)&gt;=TIME(22,0,0),(MOD(F1192,1)-TIME(22,0,0))*24,IF(MOD(F1192,1)&lt;TIME(6,0,0),(MOD(F1192,1)+1-TIME(22,0,0))*24,0)),2))</f>
        <v/>
      </c>
      <c r="K1192" s="33">
        <f>IF(H1192="","",ROUND(IF(L1192="휴일근로",MIN(H1192,8)*1.5+MAX(0,H1192-8)*2,I1192*1.5)+N(J1192)*0.5,2))</f>
        <v/>
      </c>
      <c r="L1192" s="18" t="n"/>
      <c r="M1192" s="18" t="n"/>
      <c r="N1192" s="22" t="n"/>
    </row>
    <row r="1193">
      <c r="A1193" s="19" t="n"/>
      <c r="B1193" s="25">
        <f>IF(A1193="","",CHOOSE(WEEKDAY(A1193,2),"월","화","수","목","금","토","일"))</f>
        <v/>
      </c>
      <c r="C1193" s="18" t="n"/>
      <c r="D1193" s="25">
        <f>IFERROR(IF(C1193="","",INDEX(직원명부!$B$5:$B$24,MATCH(C1193,직원명부!$A$5:$A$24,0))),"사번 확인")</f>
        <v/>
      </c>
      <c r="E1193" s="34" t="n"/>
      <c r="F1193" s="34" t="n"/>
      <c r="G1193" s="28" t="n"/>
      <c r="H1193" s="33">
        <f>IF(OR(E1193="",F1193=""),"",ROUND(MOD(F1193-E1193,1)*24-N(G1193),2))</f>
        <v/>
      </c>
      <c r="I1193" s="33">
        <f>IF(H1193="","",ROUND(MAX(0,H1193-8),2))</f>
        <v/>
      </c>
      <c r="J1193" s="33">
        <f>IF(OR(E1193="",F1193=""),"",ROUND(IF(MOD(F1193,1)&gt;=TIME(22,0,0),(MOD(F1193,1)-TIME(22,0,0))*24,IF(MOD(F1193,1)&lt;TIME(6,0,0),(MOD(F1193,1)+1-TIME(22,0,0))*24,0)),2))</f>
        <v/>
      </c>
      <c r="K1193" s="33">
        <f>IF(H1193="","",ROUND(IF(L1193="휴일근로",MIN(H1193,8)*1.5+MAX(0,H1193-8)*2,I1193*1.5)+N(J1193)*0.5,2))</f>
        <v/>
      </c>
      <c r="L1193" s="18" t="n"/>
      <c r="M1193" s="18" t="n"/>
      <c r="N1193" s="22" t="n"/>
    </row>
    <row r="1194">
      <c r="A1194" s="19" t="n"/>
      <c r="B1194" s="25">
        <f>IF(A1194="","",CHOOSE(WEEKDAY(A1194,2),"월","화","수","목","금","토","일"))</f>
        <v/>
      </c>
      <c r="C1194" s="18" t="n"/>
      <c r="D1194" s="25">
        <f>IFERROR(IF(C1194="","",INDEX(직원명부!$B$5:$B$24,MATCH(C1194,직원명부!$A$5:$A$24,0))),"사번 확인")</f>
        <v/>
      </c>
      <c r="E1194" s="34" t="n"/>
      <c r="F1194" s="34" t="n"/>
      <c r="G1194" s="28" t="n"/>
      <c r="H1194" s="33">
        <f>IF(OR(E1194="",F1194=""),"",ROUND(MOD(F1194-E1194,1)*24-N(G1194),2))</f>
        <v/>
      </c>
      <c r="I1194" s="33">
        <f>IF(H1194="","",ROUND(MAX(0,H1194-8),2))</f>
        <v/>
      </c>
      <c r="J1194" s="33">
        <f>IF(OR(E1194="",F1194=""),"",ROUND(IF(MOD(F1194,1)&gt;=TIME(22,0,0),(MOD(F1194,1)-TIME(22,0,0))*24,IF(MOD(F1194,1)&lt;TIME(6,0,0),(MOD(F1194,1)+1-TIME(22,0,0))*24,0)),2))</f>
        <v/>
      </c>
      <c r="K1194" s="33">
        <f>IF(H1194="","",ROUND(IF(L1194="휴일근로",MIN(H1194,8)*1.5+MAX(0,H1194-8)*2,I1194*1.5)+N(J1194)*0.5,2))</f>
        <v/>
      </c>
      <c r="L1194" s="18" t="n"/>
      <c r="M1194" s="18" t="n"/>
      <c r="N1194" s="22" t="n"/>
    </row>
    <row r="1195">
      <c r="A1195" s="19" t="n"/>
      <c r="B1195" s="25">
        <f>IF(A1195="","",CHOOSE(WEEKDAY(A1195,2),"월","화","수","목","금","토","일"))</f>
        <v/>
      </c>
      <c r="C1195" s="18" t="n"/>
      <c r="D1195" s="25">
        <f>IFERROR(IF(C1195="","",INDEX(직원명부!$B$5:$B$24,MATCH(C1195,직원명부!$A$5:$A$24,0))),"사번 확인")</f>
        <v/>
      </c>
      <c r="E1195" s="34" t="n"/>
      <c r="F1195" s="34" t="n"/>
      <c r="G1195" s="28" t="n"/>
      <c r="H1195" s="33">
        <f>IF(OR(E1195="",F1195=""),"",ROUND(MOD(F1195-E1195,1)*24-N(G1195),2))</f>
        <v/>
      </c>
      <c r="I1195" s="33">
        <f>IF(H1195="","",ROUND(MAX(0,H1195-8),2))</f>
        <v/>
      </c>
      <c r="J1195" s="33">
        <f>IF(OR(E1195="",F1195=""),"",ROUND(IF(MOD(F1195,1)&gt;=TIME(22,0,0),(MOD(F1195,1)-TIME(22,0,0))*24,IF(MOD(F1195,1)&lt;TIME(6,0,0),(MOD(F1195,1)+1-TIME(22,0,0))*24,0)),2))</f>
        <v/>
      </c>
      <c r="K1195" s="33">
        <f>IF(H1195="","",ROUND(IF(L1195="휴일근로",MIN(H1195,8)*1.5+MAX(0,H1195-8)*2,I1195*1.5)+N(J1195)*0.5,2))</f>
        <v/>
      </c>
      <c r="L1195" s="18" t="n"/>
      <c r="M1195" s="18" t="n"/>
      <c r="N1195" s="22" t="n"/>
    </row>
    <row r="1196">
      <c r="A1196" s="19" t="n"/>
      <c r="B1196" s="25">
        <f>IF(A1196="","",CHOOSE(WEEKDAY(A1196,2),"월","화","수","목","금","토","일"))</f>
        <v/>
      </c>
      <c r="C1196" s="18" t="n"/>
      <c r="D1196" s="25">
        <f>IFERROR(IF(C1196="","",INDEX(직원명부!$B$5:$B$24,MATCH(C1196,직원명부!$A$5:$A$24,0))),"사번 확인")</f>
        <v/>
      </c>
      <c r="E1196" s="34" t="n"/>
      <c r="F1196" s="34" t="n"/>
      <c r="G1196" s="28" t="n"/>
      <c r="H1196" s="33">
        <f>IF(OR(E1196="",F1196=""),"",ROUND(MOD(F1196-E1196,1)*24-N(G1196),2))</f>
        <v/>
      </c>
      <c r="I1196" s="33">
        <f>IF(H1196="","",ROUND(MAX(0,H1196-8),2))</f>
        <v/>
      </c>
      <c r="J1196" s="33">
        <f>IF(OR(E1196="",F1196=""),"",ROUND(IF(MOD(F1196,1)&gt;=TIME(22,0,0),(MOD(F1196,1)-TIME(22,0,0))*24,IF(MOD(F1196,1)&lt;TIME(6,0,0),(MOD(F1196,1)+1-TIME(22,0,0))*24,0)),2))</f>
        <v/>
      </c>
      <c r="K1196" s="33">
        <f>IF(H1196="","",ROUND(IF(L1196="휴일근로",MIN(H1196,8)*1.5+MAX(0,H1196-8)*2,I1196*1.5)+N(J1196)*0.5,2))</f>
        <v/>
      </c>
      <c r="L1196" s="18" t="n"/>
      <c r="M1196" s="18" t="n"/>
      <c r="N1196" s="22" t="n"/>
    </row>
    <row r="1197">
      <c r="A1197" s="19" t="n"/>
      <c r="B1197" s="25">
        <f>IF(A1197="","",CHOOSE(WEEKDAY(A1197,2),"월","화","수","목","금","토","일"))</f>
        <v/>
      </c>
      <c r="C1197" s="18" t="n"/>
      <c r="D1197" s="25">
        <f>IFERROR(IF(C1197="","",INDEX(직원명부!$B$5:$B$24,MATCH(C1197,직원명부!$A$5:$A$24,0))),"사번 확인")</f>
        <v/>
      </c>
      <c r="E1197" s="34" t="n"/>
      <c r="F1197" s="34" t="n"/>
      <c r="G1197" s="28" t="n"/>
      <c r="H1197" s="33">
        <f>IF(OR(E1197="",F1197=""),"",ROUND(MOD(F1197-E1197,1)*24-N(G1197),2))</f>
        <v/>
      </c>
      <c r="I1197" s="33">
        <f>IF(H1197="","",ROUND(MAX(0,H1197-8),2))</f>
        <v/>
      </c>
      <c r="J1197" s="33">
        <f>IF(OR(E1197="",F1197=""),"",ROUND(IF(MOD(F1197,1)&gt;=TIME(22,0,0),(MOD(F1197,1)-TIME(22,0,0))*24,IF(MOD(F1197,1)&lt;TIME(6,0,0),(MOD(F1197,1)+1-TIME(22,0,0))*24,0)),2))</f>
        <v/>
      </c>
      <c r="K1197" s="33">
        <f>IF(H1197="","",ROUND(IF(L1197="휴일근로",MIN(H1197,8)*1.5+MAX(0,H1197-8)*2,I1197*1.5)+N(J1197)*0.5,2))</f>
        <v/>
      </c>
      <c r="L1197" s="18" t="n"/>
      <c r="M1197" s="18" t="n"/>
      <c r="N1197" s="22" t="n"/>
    </row>
    <row r="1198">
      <c r="A1198" s="19" t="n"/>
      <c r="B1198" s="25">
        <f>IF(A1198="","",CHOOSE(WEEKDAY(A1198,2),"월","화","수","목","금","토","일"))</f>
        <v/>
      </c>
      <c r="C1198" s="18" t="n"/>
      <c r="D1198" s="25">
        <f>IFERROR(IF(C1198="","",INDEX(직원명부!$B$5:$B$24,MATCH(C1198,직원명부!$A$5:$A$24,0))),"사번 확인")</f>
        <v/>
      </c>
      <c r="E1198" s="34" t="n"/>
      <c r="F1198" s="34" t="n"/>
      <c r="G1198" s="28" t="n"/>
      <c r="H1198" s="33">
        <f>IF(OR(E1198="",F1198=""),"",ROUND(MOD(F1198-E1198,1)*24-N(G1198),2))</f>
        <v/>
      </c>
      <c r="I1198" s="33">
        <f>IF(H1198="","",ROUND(MAX(0,H1198-8),2))</f>
        <v/>
      </c>
      <c r="J1198" s="33">
        <f>IF(OR(E1198="",F1198=""),"",ROUND(IF(MOD(F1198,1)&gt;=TIME(22,0,0),(MOD(F1198,1)-TIME(22,0,0))*24,IF(MOD(F1198,1)&lt;TIME(6,0,0),(MOD(F1198,1)+1-TIME(22,0,0))*24,0)),2))</f>
        <v/>
      </c>
      <c r="K1198" s="33">
        <f>IF(H1198="","",ROUND(IF(L1198="휴일근로",MIN(H1198,8)*1.5+MAX(0,H1198-8)*2,I1198*1.5)+N(J1198)*0.5,2))</f>
        <v/>
      </c>
      <c r="L1198" s="18" t="n"/>
      <c r="M1198" s="18" t="n"/>
      <c r="N1198" s="22" t="n"/>
    </row>
    <row r="1199">
      <c r="A1199" s="19" t="n"/>
      <c r="B1199" s="25">
        <f>IF(A1199="","",CHOOSE(WEEKDAY(A1199,2),"월","화","수","목","금","토","일"))</f>
        <v/>
      </c>
      <c r="C1199" s="18" t="n"/>
      <c r="D1199" s="25">
        <f>IFERROR(IF(C1199="","",INDEX(직원명부!$B$5:$B$24,MATCH(C1199,직원명부!$A$5:$A$24,0))),"사번 확인")</f>
        <v/>
      </c>
      <c r="E1199" s="34" t="n"/>
      <c r="F1199" s="34" t="n"/>
      <c r="G1199" s="28" t="n"/>
      <c r="H1199" s="33">
        <f>IF(OR(E1199="",F1199=""),"",ROUND(MOD(F1199-E1199,1)*24-N(G1199),2))</f>
        <v/>
      </c>
      <c r="I1199" s="33">
        <f>IF(H1199="","",ROUND(MAX(0,H1199-8),2))</f>
        <v/>
      </c>
      <c r="J1199" s="33">
        <f>IF(OR(E1199="",F1199=""),"",ROUND(IF(MOD(F1199,1)&gt;=TIME(22,0,0),(MOD(F1199,1)-TIME(22,0,0))*24,IF(MOD(F1199,1)&lt;TIME(6,0,0),(MOD(F1199,1)+1-TIME(22,0,0))*24,0)),2))</f>
        <v/>
      </c>
      <c r="K1199" s="33">
        <f>IF(H1199="","",ROUND(IF(L1199="휴일근로",MIN(H1199,8)*1.5+MAX(0,H1199-8)*2,I1199*1.5)+N(J1199)*0.5,2))</f>
        <v/>
      </c>
      <c r="L1199" s="18" t="n"/>
      <c r="M1199" s="18" t="n"/>
      <c r="N1199" s="22" t="n"/>
    </row>
    <row r="1200">
      <c r="A1200" s="19" t="n"/>
      <c r="B1200" s="25">
        <f>IF(A1200="","",CHOOSE(WEEKDAY(A1200,2),"월","화","수","목","금","토","일"))</f>
        <v/>
      </c>
      <c r="C1200" s="18" t="n"/>
      <c r="D1200" s="25">
        <f>IFERROR(IF(C1200="","",INDEX(직원명부!$B$5:$B$24,MATCH(C1200,직원명부!$A$5:$A$24,0))),"사번 확인")</f>
        <v/>
      </c>
      <c r="E1200" s="34" t="n"/>
      <c r="F1200" s="34" t="n"/>
      <c r="G1200" s="28" t="n"/>
      <c r="H1200" s="33">
        <f>IF(OR(E1200="",F1200=""),"",ROUND(MOD(F1200-E1200,1)*24-N(G1200),2))</f>
        <v/>
      </c>
      <c r="I1200" s="33">
        <f>IF(H1200="","",ROUND(MAX(0,H1200-8),2))</f>
        <v/>
      </c>
      <c r="J1200" s="33">
        <f>IF(OR(E1200="",F1200=""),"",ROUND(IF(MOD(F1200,1)&gt;=TIME(22,0,0),(MOD(F1200,1)-TIME(22,0,0))*24,IF(MOD(F1200,1)&lt;TIME(6,0,0),(MOD(F1200,1)+1-TIME(22,0,0))*24,0)),2))</f>
        <v/>
      </c>
      <c r="K1200" s="33">
        <f>IF(H1200="","",ROUND(IF(L1200="휴일근로",MIN(H1200,8)*1.5+MAX(0,H1200-8)*2,I1200*1.5)+N(J1200)*0.5,2))</f>
        <v/>
      </c>
      <c r="L1200" s="18" t="n"/>
      <c r="M1200" s="18" t="n"/>
      <c r="N1200" s="22" t="n"/>
    </row>
    <row r="1201">
      <c r="A1201" s="19" t="n"/>
      <c r="B1201" s="25">
        <f>IF(A1201="","",CHOOSE(WEEKDAY(A1201,2),"월","화","수","목","금","토","일"))</f>
        <v/>
      </c>
      <c r="C1201" s="18" t="n"/>
      <c r="D1201" s="25">
        <f>IFERROR(IF(C1201="","",INDEX(직원명부!$B$5:$B$24,MATCH(C1201,직원명부!$A$5:$A$24,0))),"사번 확인")</f>
        <v/>
      </c>
      <c r="E1201" s="34" t="n"/>
      <c r="F1201" s="34" t="n"/>
      <c r="G1201" s="28" t="n"/>
      <c r="H1201" s="33">
        <f>IF(OR(E1201="",F1201=""),"",ROUND(MOD(F1201-E1201,1)*24-N(G1201),2))</f>
        <v/>
      </c>
      <c r="I1201" s="33">
        <f>IF(H1201="","",ROUND(MAX(0,H1201-8),2))</f>
        <v/>
      </c>
      <c r="J1201" s="33">
        <f>IF(OR(E1201="",F1201=""),"",ROUND(IF(MOD(F1201,1)&gt;=TIME(22,0,0),(MOD(F1201,1)-TIME(22,0,0))*24,IF(MOD(F1201,1)&lt;TIME(6,0,0),(MOD(F1201,1)+1-TIME(22,0,0))*24,0)),2))</f>
        <v/>
      </c>
      <c r="K1201" s="33">
        <f>IF(H1201="","",ROUND(IF(L1201="휴일근로",MIN(H1201,8)*1.5+MAX(0,H1201-8)*2,I1201*1.5)+N(J1201)*0.5,2))</f>
        <v/>
      </c>
      <c r="L1201" s="18" t="n"/>
      <c r="M1201" s="18" t="n"/>
      <c r="N1201" s="22" t="n"/>
    </row>
    <row r="1202">
      <c r="A1202" s="19" t="n"/>
      <c r="B1202" s="25">
        <f>IF(A1202="","",CHOOSE(WEEKDAY(A1202,2),"월","화","수","목","금","토","일"))</f>
        <v/>
      </c>
      <c r="C1202" s="18" t="n"/>
      <c r="D1202" s="25">
        <f>IFERROR(IF(C1202="","",INDEX(직원명부!$B$5:$B$24,MATCH(C1202,직원명부!$A$5:$A$24,0))),"사번 확인")</f>
        <v/>
      </c>
      <c r="E1202" s="34" t="n"/>
      <c r="F1202" s="34" t="n"/>
      <c r="G1202" s="28" t="n"/>
      <c r="H1202" s="33">
        <f>IF(OR(E1202="",F1202=""),"",ROUND(MOD(F1202-E1202,1)*24-N(G1202),2))</f>
        <v/>
      </c>
      <c r="I1202" s="33">
        <f>IF(H1202="","",ROUND(MAX(0,H1202-8),2))</f>
        <v/>
      </c>
      <c r="J1202" s="33">
        <f>IF(OR(E1202="",F1202=""),"",ROUND(IF(MOD(F1202,1)&gt;=TIME(22,0,0),(MOD(F1202,1)-TIME(22,0,0))*24,IF(MOD(F1202,1)&lt;TIME(6,0,0),(MOD(F1202,1)+1-TIME(22,0,0))*24,0)),2))</f>
        <v/>
      </c>
      <c r="K1202" s="33">
        <f>IF(H1202="","",ROUND(IF(L1202="휴일근로",MIN(H1202,8)*1.5+MAX(0,H1202-8)*2,I1202*1.5)+N(J1202)*0.5,2))</f>
        <v/>
      </c>
      <c r="L1202" s="18" t="n"/>
      <c r="M1202" s="18" t="n"/>
      <c r="N1202" s="22" t="n"/>
    </row>
    <row r="1203">
      <c r="A1203" s="19" t="n"/>
      <c r="B1203" s="25">
        <f>IF(A1203="","",CHOOSE(WEEKDAY(A1203,2),"월","화","수","목","금","토","일"))</f>
        <v/>
      </c>
      <c r="C1203" s="18" t="n"/>
      <c r="D1203" s="25">
        <f>IFERROR(IF(C1203="","",INDEX(직원명부!$B$5:$B$24,MATCH(C1203,직원명부!$A$5:$A$24,0))),"사번 확인")</f>
        <v/>
      </c>
      <c r="E1203" s="34" t="n"/>
      <c r="F1203" s="34" t="n"/>
      <c r="G1203" s="28" t="n"/>
      <c r="H1203" s="33">
        <f>IF(OR(E1203="",F1203=""),"",ROUND(MOD(F1203-E1203,1)*24-N(G1203),2))</f>
        <v/>
      </c>
      <c r="I1203" s="33">
        <f>IF(H1203="","",ROUND(MAX(0,H1203-8),2))</f>
        <v/>
      </c>
      <c r="J1203" s="33">
        <f>IF(OR(E1203="",F1203=""),"",ROUND(IF(MOD(F1203,1)&gt;=TIME(22,0,0),(MOD(F1203,1)-TIME(22,0,0))*24,IF(MOD(F1203,1)&lt;TIME(6,0,0),(MOD(F1203,1)+1-TIME(22,0,0))*24,0)),2))</f>
        <v/>
      </c>
      <c r="K1203" s="33">
        <f>IF(H1203="","",ROUND(IF(L1203="휴일근로",MIN(H1203,8)*1.5+MAX(0,H1203-8)*2,I1203*1.5)+N(J1203)*0.5,2))</f>
        <v/>
      </c>
      <c r="L1203" s="18" t="n"/>
      <c r="M1203" s="18" t="n"/>
      <c r="N1203" s="22" t="n"/>
    </row>
    <row r="1204">
      <c r="A1204" s="19" t="n"/>
      <c r="B1204" s="25">
        <f>IF(A1204="","",CHOOSE(WEEKDAY(A1204,2),"월","화","수","목","금","토","일"))</f>
        <v/>
      </c>
      <c r="C1204" s="18" t="n"/>
      <c r="D1204" s="25">
        <f>IFERROR(IF(C1204="","",INDEX(직원명부!$B$5:$B$24,MATCH(C1204,직원명부!$A$5:$A$24,0))),"사번 확인")</f>
        <v/>
      </c>
      <c r="E1204" s="34" t="n"/>
      <c r="F1204" s="34" t="n"/>
      <c r="G1204" s="28" t="n"/>
      <c r="H1204" s="33">
        <f>IF(OR(E1204="",F1204=""),"",ROUND(MOD(F1204-E1204,1)*24-N(G1204),2))</f>
        <v/>
      </c>
      <c r="I1204" s="33">
        <f>IF(H1204="","",ROUND(MAX(0,H1204-8),2))</f>
        <v/>
      </c>
      <c r="J1204" s="33">
        <f>IF(OR(E1204="",F1204=""),"",ROUND(IF(MOD(F1204,1)&gt;=TIME(22,0,0),(MOD(F1204,1)-TIME(22,0,0))*24,IF(MOD(F1204,1)&lt;TIME(6,0,0),(MOD(F1204,1)+1-TIME(22,0,0))*24,0)),2))</f>
        <v/>
      </c>
      <c r="K1204" s="33">
        <f>IF(H1204="","",ROUND(IF(L1204="휴일근로",MIN(H1204,8)*1.5+MAX(0,H1204-8)*2,I1204*1.5)+N(J1204)*0.5,2))</f>
        <v/>
      </c>
      <c r="L1204" s="18" t="n"/>
      <c r="M1204" s="18" t="n"/>
      <c r="N1204" s="22" t="n"/>
    </row>
    <row r="1205">
      <c r="A1205" s="19" t="n"/>
      <c r="B1205" s="25">
        <f>IF(A1205="","",CHOOSE(WEEKDAY(A1205,2),"월","화","수","목","금","토","일"))</f>
        <v/>
      </c>
      <c r="C1205" s="18" t="n"/>
      <c r="D1205" s="25">
        <f>IFERROR(IF(C1205="","",INDEX(직원명부!$B$5:$B$24,MATCH(C1205,직원명부!$A$5:$A$24,0))),"사번 확인")</f>
        <v/>
      </c>
      <c r="E1205" s="34" t="n"/>
      <c r="F1205" s="34" t="n"/>
      <c r="G1205" s="28" t="n"/>
      <c r="H1205" s="33">
        <f>IF(OR(E1205="",F1205=""),"",ROUND(MOD(F1205-E1205,1)*24-N(G1205),2))</f>
        <v/>
      </c>
      <c r="I1205" s="33">
        <f>IF(H1205="","",ROUND(MAX(0,H1205-8),2))</f>
        <v/>
      </c>
      <c r="J1205" s="33">
        <f>IF(OR(E1205="",F1205=""),"",ROUND(IF(MOD(F1205,1)&gt;=TIME(22,0,0),(MOD(F1205,1)-TIME(22,0,0))*24,IF(MOD(F1205,1)&lt;TIME(6,0,0),(MOD(F1205,1)+1-TIME(22,0,0))*24,0)),2))</f>
        <v/>
      </c>
      <c r="K1205" s="33">
        <f>IF(H1205="","",ROUND(IF(L1205="휴일근로",MIN(H1205,8)*1.5+MAX(0,H1205-8)*2,I1205*1.5)+N(J1205)*0.5,2))</f>
        <v/>
      </c>
      <c r="L1205" s="18" t="n"/>
      <c r="M1205" s="18" t="n"/>
      <c r="N1205" s="22" t="n"/>
    </row>
    <row r="1206">
      <c r="A1206" s="19" t="n"/>
      <c r="B1206" s="25">
        <f>IF(A1206="","",CHOOSE(WEEKDAY(A1206,2),"월","화","수","목","금","토","일"))</f>
        <v/>
      </c>
      <c r="C1206" s="18" t="n"/>
      <c r="D1206" s="25">
        <f>IFERROR(IF(C1206="","",INDEX(직원명부!$B$5:$B$24,MATCH(C1206,직원명부!$A$5:$A$24,0))),"사번 확인")</f>
        <v/>
      </c>
      <c r="E1206" s="34" t="n"/>
      <c r="F1206" s="34" t="n"/>
      <c r="G1206" s="28" t="n"/>
      <c r="H1206" s="33">
        <f>IF(OR(E1206="",F1206=""),"",ROUND(MOD(F1206-E1206,1)*24-N(G1206),2))</f>
        <v/>
      </c>
      <c r="I1206" s="33">
        <f>IF(H1206="","",ROUND(MAX(0,H1206-8),2))</f>
        <v/>
      </c>
      <c r="J1206" s="33">
        <f>IF(OR(E1206="",F1206=""),"",ROUND(IF(MOD(F1206,1)&gt;=TIME(22,0,0),(MOD(F1206,1)-TIME(22,0,0))*24,IF(MOD(F1206,1)&lt;TIME(6,0,0),(MOD(F1206,1)+1-TIME(22,0,0))*24,0)),2))</f>
        <v/>
      </c>
      <c r="K1206" s="33">
        <f>IF(H1206="","",ROUND(IF(L1206="휴일근로",MIN(H1206,8)*1.5+MAX(0,H1206-8)*2,I1206*1.5)+N(J1206)*0.5,2))</f>
        <v/>
      </c>
      <c r="L1206" s="18" t="n"/>
      <c r="M1206" s="18" t="n"/>
      <c r="N1206" s="22" t="n"/>
    </row>
    <row r="1207">
      <c r="A1207" s="19" t="n"/>
      <c r="B1207" s="25">
        <f>IF(A1207="","",CHOOSE(WEEKDAY(A1207,2),"월","화","수","목","금","토","일"))</f>
        <v/>
      </c>
      <c r="C1207" s="18" t="n"/>
      <c r="D1207" s="25">
        <f>IFERROR(IF(C1207="","",INDEX(직원명부!$B$5:$B$24,MATCH(C1207,직원명부!$A$5:$A$24,0))),"사번 확인")</f>
        <v/>
      </c>
      <c r="E1207" s="34" t="n"/>
      <c r="F1207" s="34" t="n"/>
      <c r="G1207" s="28" t="n"/>
      <c r="H1207" s="33">
        <f>IF(OR(E1207="",F1207=""),"",ROUND(MOD(F1207-E1207,1)*24-N(G1207),2))</f>
        <v/>
      </c>
      <c r="I1207" s="33">
        <f>IF(H1207="","",ROUND(MAX(0,H1207-8),2))</f>
        <v/>
      </c>
      <c r="J1207" s="33">
        <f>IF(OR(E1207="",F1207=""),"",ROUND(IF(MOD(F1207,1)&gt;=TIME(22,0,0),(MOD(F1207,1)-TIME(22,0,0))*24,IF(MOD(F1207,1)&lt;TIME(6,0,0),(MOD(F1207,1)+1-TIME(22,0,0))*24,0)),2))</f>
        <v/>
      </c>
      <c r="K1207" s="33">
        <f>IF(H1207="","",ROUND(IF(L1207="휴일근로",MIN(H1207,8)*1.5+MAX(0,H1207-8)*2,I1207*1.5)+N(J1207)*0.5,2))</f>
        <v/>
      </c>
      <c r="L1207" s="18" t="n"/>
      <c r="M1207" s="18" t="n"/>
      <c r="N1207" s="22" t="n"/>
    </row>
    <row r="1208">
      <c r="A1208" s="19" t="n"/>
      <c r="B1208" s="25">
        <f>IF(A1208="","",CHOOSE(WEEKDAY(A1208,2),"월","화","수","목","금","토","일"))</f>
        <v/>
      </c>
      <c r="C1208" s="18" t="n"/>
      <c r="D1208" s="25">
        <f>IFERROR(IF(C1208="","",INDEX(직원명부!$B$5:$B$24,MATCH(C1208,직원명부!$A$5:$A$24,0))),"사번 확인")</f>
        <v/>
      </c>
      <c r="E1208" s="34" t="n"/>
      <c r="F1208" s="34" t="n"/>
      <c r="G1208" s="28" t="n"/>
      <c r="H1208" s="33">
        <f>IF(OR(E1208="",F1208=""),"",ROUND(MOD(F1208-E1208,1)*24-N(G1208),2))</f>
        <v/>
      </c>
      <c r="I1208" s="33">
        <f>IF(H1208="","",ROUND(MAX(0,H1208-8),2))</f>
        <v/>
      </c>
      <c r="J1208" s="33">
        <f>IF(OR(E1208="",F1208=""),"",ROUND(IF(MOD(F1208,1)&gt;=TIME(22,0,0),(MOD(F1208,1)-TIME(22,0,0))*24,IF(MOD(F1208,1)&lt;TIME(6,0,0),(MOD(F1208,1)+1-TIME(22,0,0))*24,0)),2))</f>
        <v/>
      </c>
      <c r="K1208" s="33">
        <f>IF(H1208="","",ROUND(IF(L1208="휴일근로",MIN(H1208,8)*1.5+MAX(0,H1208-8)*2,I1208*1.5)+N(J1208)*0.5,2))</f>
        <v/>
      </c>
      <c r="L1208" s="18" t="n"/>
      <c r="M1208" s="18" t="n"/>
      <c r="N1208" s="22" t="n"/>
    </row>
    <row r="1209">
      <c r="A1209" s="19" t="n"/>
      <c r="B1209" s="25">
        <f>IF(A1209="","",CHOOSE(WEEKDAY(A1209,2),"월","화","수","목","금","토","일"))</f>
        <v/>
      </c>
      <c r="C1209" s="18" t="n"/>
      <c r="D1209" s="25">
        <f>IFERROR(IF(C1209="","",INDEX(직원명부!$B$5:$B$24,MATCH(C1209,직원명부!$A$5:$A$24,0))),"사번 확인")</f>
        <v/>
      </c>
      <c r="E1209" s="34" t="n"/>
      <c r="F1209" s="34" t="n"/>
      <c r="G1209" s="28" t="n"/>
      <c r="H1209" s="33">
        <f>IF(OR(E1209="",F1209=""),"",ROUND(MOD(F1209-E1209,1)*24-N(G1209),2))</f>
        <v/>
      </c>
      <c r="I1209" s="33">
        <f>IF(H1209="","",ROUND(MAX(0,H1209-8),2))</f>
        <v/>
      </c>
      <c r="J1209" s="33">
        <f>IF(OR(E1209="",F1209=""),"",ROUND(IF(MOD(F1209,1)&gt;=TIME(22,0,0),(MOD(F1209,1)-TIME(22,0,0))*24,IF(MOD(F1209,1)&lt;TIME(6,0,0),(MOD(F1209,1)+1-TIME(22,0,0))*24,0)),2))</f>
        <v/>
      </c>
      <c r="K1209" s="33">
        <f>IF(H1209="","",ROUND(IF(L1209="휴일근로",MIN(H1209,8)*1.5+MAX(0,H1209-8)*2,I1209*1.5)+N(J1209)*0.5,2))</f>
        <v/>
      </c>
      <c r="L1209" s="18" t="n"/>
      <c r="M1209" s="18" t="n"/>
      <c r="N1209" s="22" t="n"/>
    </row>
    <row r="1210">
      <c r="A1210" s="19" t="n"/>
      <c r="B1210" s="25">
        <f>IF(A1210="","",CHOOSE(WEEKDAY(A1210,2),"월","화","수","목","금","토","일"))</f>
        <v/>
      </c>
      <c r="C1210" s="18" t="n"/>
      <c r="D1210" s="25">
        <f>IFERROR(IF(C1210="","",INDEX(직원명부!$B$5:$B$24,MATCH(C1210,직원명부!$A$5:$A$24,0))),"사번 확인")</f>
        <v/>
      </c>
      <c r="E1210" s="34" t="n"/>
      <c r="F1210" s="34" t="n"/>
      <c r="G1210" s="28" t="n"/>
      <c r="H1210" s="33">
        <f>IF(OR(E1210="",F1210=""),"",ROUND(MOD(F1210-E1210,1)*24-N(G1210),2))</f>
        <v/>
      </c>
      <c r="I1210" s="33">
        <f>IF(H1210="","",ROUND(MAX(0,H1210-8),2))</f>
        <v/>
      </c>
      <c r="J1210" s="33">
        <f>IF(OR(E1210="",F1210=""),"",ROUND(IF(MOD(F1210,1)&gt;=TIME(22,0,0),(MOD(F1210,1)-TIME(22,0,0))*24,IF(MOD(F1210,1)&lt;TIME(6,0,0),(MOD(F1210,1)+1-TIME(22,0,0))*24,0)),2))</f>
        <v/>
      </c>
      <c r="K1210" s="33">
        <f>IF(H1210="","",ROUND(IF(L1210="휴일근로",MIN(H1210,8)*1.5+MAX(0,H1210-8)*2,I1210*1.5)+N(J1210)*0.5,2))</f>
        <v/>
      </c>
      <c r="L1210" s="18" t="n"/>
      <c r="M1210" s="18" t="n"/>
      <c r="N1210" s="22" t="n"/>
    </row>
    <row r="1211">
      <c r="A1211" s="19" t="n"/>
      <c r="B1211" s="25">
        <f>IF(A1211="","",CHOOSE(WEEKDAY(A1211,2),"월","화","수","목","금","토","일"))</f>
        <v/>
      </c>
      <c r="C1211" s="18" t="n"/>
      <c r="D1211" s="25">
        <f>IFERROR(IF(C1211="","",INDEX(직원명부!$B$5:$B$24,MATCH(C1211,직원명부!$A$5:$A$24,0))),"사번 확인")</f>
        <v/>
      </c>
      <c r="E1211" s="34" t="n"/>
      <c r="F1211" s="34" t="n"/>
      <c r="G1211" s="28" t="n"/>
      <c r="H1211" s="33">
        <f>IF(OR(E1211="",F1211=""),"",ROUND(MOD(F1211-E1211,1)*24-N(G1211),2))</f>
        <v/>
      </c>
      <c r="I1211" s="33">
        <f>IF(H1211="","",ROUND(MAX(0,H1211-8),2))</f>
        <v/>
      </c>
      <c r="J1211" s="33">
        <f>IF(OR(E1211="",F1211=""),"",ROUND(IF(MOD(F1211,1)&gt;=TIME(22,0,0),(MOD(F1211,1)-TIME(22,0,0))*24,IF(MOD(F1211,1)&lt;TIME(6,0,0),(MOD(F1211,1)+1-TIME(22,0,0))*24,0)),2))</f>
        <v/>
      </c>
      <c r="K1211" s="33">
        <f>IF(H1211="","",ROUND(IF(L1211="휴일근로",MIN(H1211,8)*1.5+MAX(0,H1211-8)*2,I1211*1.5)+N(J1211)*0.5,2))</f>
        <v/>
      </c>
      <c r="L1211" s="18" t="n"/>
      <c r="M1211" s="18" t="n"/>
      <c r="N1211" s="22" t="n"/>
    </row>
    <row r="1212">
      <c r="A1212" s="19" t="n"/>
      <c r="B1212" s="25">
        <f>IF(A1212="","",CHOOSE(WEEKDAY(A1212,2),"월","화","수","목","금","토","일"))</f>
        <v/>
      </c>
      <c r="C1212" s="18" t="n"/>
      <c r="D1212" s="25">
        <f>IFERROR(IF(C1212="","",INDEX(직원명부!$B$5:$B$24,MATCH(C1212,직원명부!$A$5:$A$24,0))),"사번 확인")</f>
        <v/>
      </c>
      <c r="E1212" s="34" t="n"/>
      <c r="F1212" s="34" t="n"/>
      <c r="G1212" s="28" t="n"/>
      <c r="H1212" s="33">
        <f>IF(OR(E1212="",F1212=""),"",ROUND(MOD(F1212-E1212,1)*24-N(G1212),2))</f>
        <v/>
      </c>
      <c r="I1212" s="33">
        <f>IF(H1212="","",ROUND(MAX(0,H1212-8),2))</f>
        <v/>
      </c>
      <c r="J1212" s="33">
        <f>IF(OR(E1212="",F1212=""),"",ROUND(IF(MOD(F1212,1)&gt;=TIME(22,0,0),(MOD(F1212,1)-TIME(22,0,0))*24,IF(MOD(F1212,1)&lt;TIME(6,0,0),(MOD(F1212,1)+1-TIME(22,0,0))*24,0)),2))</f>
        <v/>
      </c>
      <c r="K1212" s="33">
        <f>IF(H1212="","",ROUND(IF(L1212="휴일근로",MIN(H1212,8)*1.5+MAX(0,H1212-8)*2,I1212*1.5)+N(J1212)*0.5,2))</f>
        <v/>
      </c>
      <c r="L1212" s="18" t="n"/>
      <c r="M1212" s="18" t="n"/>
      <c r="N1212" s="22" t="n"/>
    </row>
    <row r="1213">
      <c r="A1213" s="19" t="n"/>
      <c r="B1213" s="25">
        <f>IF(A1213="","",CHOOSE(WEEKDAY(A1213,2),"월","화","수","목","금","토","일"))</f>
        <v/>
      </c>
      <c r="C1213" s="18" t="n"/>
      <c r="D1213" s="25">
        <f>IFERROR(IF(C1213="","",INDEX(직원명부!$B$5:$B$24,MATCH(C1213,직원명부!$A$5:$A$24,0))),"사번 확인")</f>
        <v/>
      </c>
      <c r="E1213" s="34" t="n"/>
      <c r="F1213" s="34" t="n"/>
      <c r="G1213" s="28" t="n"/>
      <c r="H1213" s="33">
        <f>IF(OR(E1213="",F1213=""),"",ROUND(MOD(F1213-E1213,1)*24-N(G1213),2))</f>
        <v/>
      </c>
      <c r="I1213" s="33">
        <f>IF(H1213="","",ROUND(MAX(0,H1213-8),2))</f>
        <v/>
      </c>
      <c r="J1213" s="33">
        <f>IF(OR(E1213="",F1213=""),"",ROUND(IF(MOD(F1213,1)&gt;=TIME(22,0,0),(MOD(F1213,1)-TIME(22,0,0))*24,IF(MOD(F1213,1)&lt;TIME(6,0,0),(MOD(F1213,1)+1-TIME(22,0,0))*24,0)),2))</f>
        <v/>
      </c>
      <c r="K1213" s="33">
        <f>IF(H1213="","",ROUND(IF(L1213="휴일근로",MIN(H1213,8)*1.5+MAX(0,H1213-8)*2,I1213*1.5)+N(J1213)*0.5,2))</f>
        <v/>
      </c>
      <c r="L1213" s="18" t="n"/>
      <c r="M1213" s="18" t="n"/>
      <c r="N1213" s="22" t="n"/>
    </row>
    <row r="1214">
      <c r="A1214" s="19" t="n"/>
      <c r="B1214" s="25">
        <f>IF(A1214="","",CHOOSE(WEEKDAY(A1214,2),"월","화","수","목","금","토","일"))</f>
        <v/>
      </c>
      <c r="C1214" s="18" t="n"/>
      <c r="D1214" s="25">
        <f>IFERROR(IF(C1214="","",INDEX(직원명부!$B$5:$B$24,MATCH(C1214,직원명부!$A$5:$A$24,0))),"사번 확인")</f>
        <v/>
      </c>
      <c r="E1214" s="34" t="n"/>
      <c r="F1214" s="34" t="n"/>
      <c r="G1214" s="28" t="n"/>
      <c r="H1214" s="33">
        <f>IF(OR(E1214="",F1214=""),"",ROUND(MOD(F1214-E1214,1)*24-N(G1214),2))</f>
        <v/>
      </c>
      <c r="I1214" s="33">
        <f>IF(H1214="","",ROUND(MAX(0,H1214-8),2))</f>
        <v/>
      </c>
      <c r="J1214" s="33">
        <f>IF(OR(E1214="",F1214=""),"",ROUND(IF(MOD(F1214,1)&gt;=TIME(22,0,0),(MOD(F1214,1)-TIME(22,0,0))*24,IF(MOD(F1214,1)&lt;TIME(6,0,0),(MOD(F1214,1)+1-TIME(22,0,0))*24,0)),2))</f>
        <v/>
      </c>
      <c r="K1214" s="33">
        <f>IF(H1214="","",ROUND(IF(L1214="휴일근로",MIN(H1214,8)*1.5+MAX(0,H1214-8)*2,I1214*1.5)+N(J1214)*0.5,2))</f>
        <v/>
      </c>
      <c r="L1214" s="18" t="n"/>
      <c r="M1214" s="18" t="n"/>
      <c r="N1214" s="22" t="n"/>
    </row>
    <row r="1215">
      <c r="A1215" s="19" t="n"/>
      <c r="B1215" s="25">
        <f>IF(A1215="","",CHOOSE(WEEKDAY(A1215,2),"월","화","수","목","금","토","일"))</f>
        <v/>
      </c>
      <c r="C1215" s="18" t="n"/>
      <c r="D1215" s="25">
        <f>IFERROR(IF(C1215="","",INDEX(직원명부!$B$5:$B$24,MATCH(C1215,직원명부!$A$5:$A$24,0))),"사번 확인")</f>
        <v/>
      </c>
      <c r="E1215" s="34" t="n"/>
      <c r="F1215" s="34" t="n"/>
      <c r="G1215" s="28" t="n"/>
      <c r="H1215" s="33">
        <f>IF(OR(E1215="",F1215=""),"",ROUND(MOD(F1215-E1215,1)*24-N(G1215),2))</f>
        <v/>
      </c>
      <c r="I1215" s="33">
        <f>IF(H1215="","",ROUND(MAX(0,H1215-8),2))</f>
        <v/>
      </c>
      <c r="J1215" s="33">
        <f>IF(OR(E1215="",F1215=""),"",ROUND(IF(MOD(F1215,1)&gt;=TIME(22,0,0),(MOD(F1215,1)-TIME(22,0,0))*24,IF(MOD(F1215,1)&lt;TIME(6,0,0),(MOD(F1215,1)+1-TIME(22,0,0))*24,0)),2))</f>
        <v/>
      </c>
      <c r="K1215" s="33">
        <f>IF(H1215="","",ROUND(IF(L1215="휴일근로",MIN(H1215,8)*1.5+MAX(0,H1215-8)*2,I1215*1.5)+N(J1215)*0.5,2))</f>
        <v/>
      </c>
      <c r="L1215" s="18" t="n"/>
      <c r="M1215" s="18" t="n"/>
      <c r="N1215" s="22" t="n"/>
    </row>
    <row r="1216">
      <c r="A1216" s="19" t="n"/>
      <c r="B1216" s="25">
        <f>IF(A1216="","",CHOOSE(WEEKDAY(A1216,2),"월","화","수","목","금","토","일"))</f>
        <v/>
      </c>
      <c r="C1216" s="18" t="n"/>
      <c r="D1216" s="25">
        <f>IFERROR(IF(C1216="","",INDEX(직원명부!$B$5:$B$24,MATCH(C1216,직원명부!$A$5:$A$24,0))),"사번 확인")</f>
        <v/>
      </c>
      <c r="E1216" s="34" t="n"/>
      <c r="F1216" s="34" t="n"/>
      <c r="G1216" s="28" t="n"/>
      <c r="H1216" s="33">
        <f>IF(OR(E1216="",F1216=""),"",ROUND(MOD(F1216-E1216,1)*24-N(G1216),2))</f>
        <v/>
      </c>
      <c r="I1216" s="33">
        <f>IF(H1216="","",ROUND(MAX(0,H1216-8),2))</f>
        <v/>
      </c>
      <c r="J1216" s="33">
        <f>IF(OR(E1216="",F1216=""),"",ROUND(IF(MOD(F1216,1)&gt;=TIME(22,0,0),(MOD(F1216,1)-TIME(22,0,0))*24,IF(MOD(F1216,1)&lt;TIME(6,0,0),(MOD(F1216,1)+1-TIME(22,0,0))*24,0)),2))</f>
        <v/>
      </c>
      <c r="K1216" s="33">
        <f>IF(H1216="","",ROUND(IF(L1216="휴일근로",MIN(H1216,8)*1.5+MAX(0,H1216-8)*2,I1216*1.5)+N(J1216)*0.5,2))</f>
        <v/>
      </c>
      <c r="L1216" s="18" t="n"/>
      <c r="M1216" s="18" t="n"/>
      <c r="N1216" s="22" t="n"/>
    </row>
    <row r="1217">
      <c r="A1217" s="19" t="n"/>
      <c r="B1217" s="25">
        <f>IF(A1217="","",CHOOSE(WEEKDAY(A1217,2),"월","화","수","목","금","토","일"))</f>
        <v/>
      </c>
      <c r="C1217" s="18" t="n"/>
      <c r="D1217" s="25">
        <f>IFERROR(IF(C1217="","",INDEX(직원명부!$B$5:$B$24,MATCH(C1217,직원명부!$A$5:$A$24,0))),"사번 확인")</f>
        <v/>
      </c>
      <c r="E1217" s="34" t="n"/>
      <c r="F1217" s="34" t="n"/>
      <c r="G1217" s="28" t="n"/>
      <c r="H1217" s="33">
        <f>IF(OR(E1217="",F1217=""),"",ROUND(MOD(F1217-E1217,1)*24-N(G1217),2))</f>
        <v/>
      </c>
      <c r="I1217" s="33">
        <f>IF(H1217="","",ROUND(MAX(0,H1217-8),2))</f>
        <v/>
      </c>
      <c r="J1217" s="33">
        <f>IF(OR(E1217="",F1217=""),"",ROUND(IF(MOD(F1217,1)&gt;=TIME(22,0,0),(MOD(F1217,1)-TIME(22,0,0))*24,IF(MOD(F1217,1)&lt;TIME(6,0,0),(MOD(F1217,1)+1-TIME(22,0,0))*24,0)),2))</f>
        <v/>
      </c>
      <c r="K1217" s="33">
        <f>IF(H1217="","",ROUND(IF(L1217="휴일근로",MIN(H1217,8)*1.5+MAX(0,H1217-8)*2,I1217*1.5)+N(J1217)*0.5,2))</f>
        <v/>
      </c>
      <c r="L1217" s="18" t="n"/>
      <c r="M1217" s="18" t="n"/>
      <c r="N1217" s="22" t="n"/>
    </row>
    <row r="1218">
      <c r="A1218" s="19" t="n"/>
      <c r="B1218" s="25">
        <f>IF(A1218="","",CHOOSE(WEEKDAY(A1218,2),"월","화","수","목","금","토","일"))</f>
        <v/>
      </c>
      <c r="C1218" s="18" t="n"/>
      <c r="D1218" s="25">
        <f>IFERROR(IF(C1218="","",INDEX(직원명부!$B$5:$B$24,MATCH(C1218,직원명부!$A$5:$A$24,0))),"사번 확인")</f>
        <v/>
      </c>
      <c r="E1218" s="34" t="n"/>
      <c r="F1218" s="34" t="n"/>
      <c r="G1218" s="28" t="n"/>
      <c r="H1218" s="33">
        <f>IF(OR(E1218="",F1218=""),"",ROUND(MOD(F1218-E1218,1)*24-N(G1218),2))</f>
        <v/>
      </c>
      <c r="I1218" s="33">
        <f>IF(H1218="","",ROUND(MAX(0,H1218-8),2))</f>
        <v/>
      </c>
      <c r="J1218" s="33">
        <f>IF(OR(E1218="",F1218=""),"",ROUND(IF(MOD(F1218,1)&gt;=TIME(22,0,0),(MOD(F1218,1)-TIME(22,0,0))*24,IF(MOD(F1218,1)&lt;TIME(6,0,0),(MOD(F1218,1)+1-TIME(22,0,0))*24,0)),2))</f>
        <v/>
      </c>
      <c r="K1218" s="33">
        <f>IF(H1218="","",ROUND(IF(L1218="휴일근로",MIN(H1218,8)*1.5+MAX(0,H1218-8)*2,I1218*1.5)+N(J1218)*0.5,2))</f>
        <v/>
      </c>
      <c r="L1218" s="18" t="n"/>
      <c r="M1218" s="18" t="n"/>
      <c r="N1218" s="22" t="n"/>
    </row>
    <row r="1219">
      <c r="A1219" s="19" t="n"/>
      <c r="B1219" s="25">
        <f>IF(A1219="","",CHOOSE(WEEKDAY(A1219,2),"월","화","수","목","금","토","일"))</f>
        <v/>
      </c>
      <c r="C1219" s="18" t="n"/>
      <c r="D1219" s="25">
        <f>IFERROR(IF(C1219="","",INDEX(직원명부!$B$5:$B$24,MATCH(C1219,직원명부!$A$5:$A$24,0))),"사번 확인")</f>
        <v/>
      </c>
      <c r="E1219" s="34" t="n"/>
      <c r="F1219" s="34" t="n"/>
      <c r="G1219" s="28" t="n"/>
      <c r="H1219" s="33">
        <f>IF(OR(E1219="",F1219=""),"",ROUND(MOD(F1219-E1219,1)*24-N(G1219),2))</f>
        <v/>
      </c>
      <c r="I1219" s="33">
        <f>IF(H1219="","",ROUND(MAX(0,H1219-8),2))</f>
        <v/>
      </c>
      <c r="J1219" s="33">
        <f>IF(OR(E1219="",F1219=""),"",ROUND(IF(MOD(F1219,1)&gt;=TIME(22,0,0),(MOD(F1219,1)-TIME(22,0,0))*24,IF(MOD(F1219,1)&lt;TIME(6,0,0),(MOD(F1219,1)+1-TIME(22,0,0))*24,0)),2))</f>
        <v/>
      </c>
      <c r="K1219" s="33">
        <f>IF(H1219="","",ROUND(IF(L1219="휴일근로",MIN(H1219,8)*1.5+MAX(0,H1219-8)*2,I1219*1.5)+N(J1219)*0.5,2))</f>
        <v/>
      </c>
      <c r="L1219" s="18" t="n"/>
      <c r="M1219" s="18" t="n"/>
      <c r="N1219" s="22" t="n"/>
    </row>
    <row r="1220">
      <c r="A1220" s="19" t="n"/>
      <c r="B1220" s="25">
        <f>IF(A1220="","",CHOOSE(WEEKDAY(A1220,2),"월","화","수","목","금","토","일"))</f>
        <v/>
      </c>
      <c r="C1220" s="18" t="n"/>
      <c r="D1220" s="25">
        <f>IFERROR(IF(C1220="","",INDEX(직원명부!$B$5:$B$24,MATCH(C1220,직원명부!$A$5:$A$24,0))),"사번 확인")</f>
        <v/>
      </c>
      <c r="E1220" s="34" t="n"/>
      <c r="F1220" s="34" t="n"/>
      <c r="G1220" s="28" t="n"/>
      <c r="H1220" s="33">
        <f>IF(OR(E1220="",F1220=""),"",ROUND(MOD(F1220-E1220,1)*24-N(G1220),2))</f>
        <v/>
      </c>
      <c r="I1220" s="33">
        <f>IF(H1220="","",ROUND(MAX(0,H1220-8),2))</f>
        <v/>
      </c>
      <c r="J1220" s="33">
        <f>IF(OR(E1220="",F1220=""),"",ROUND(IF(MOD(F1220,1)&gt;=TIME(22,0,0),(MOD(F1220,1)-TIME(22,0,0))*24,IF(MOD(F1220,1)&lt;TIME(6,0,0),(MOD(F1220,1)+1-TIME(22,0,0))*24,0)),2))</f>
        <v/>
      </c>
      <c r="K1220" s="33">
        <f>IF(H1220="","",ROUND(IF(L1220="휴일근로",MIN(H1220,8)*1.5+MAX(0,H1220-8)*2,I1220*1.5)+N(J1220)*0.5,2))</f>
        <v/>
      </c>
      <c r="L1220" s="18" t="n"/>
      <c r="M1220" s="18" t="n"/>
      <c r="N1220" s="22" t="n"/>
    </row>
    <row r="1221">
      <c r="A1221" s="19" t="n"/>
      <c r="B1221" s="25">
        <f>IF(A1221="","",CHOOSE(WEEKDAY(A1221,2),"월","화","수","목","금","토","일"))</f>
        <v/>
      </c>
      <c r="C1221" s="18" t="n"/>
      <c r="D1221" s="25">
        <f>IFERROR(IF(C1221="","",INDEX(직원명부!$B$5:$B$24,MATCH(C1221,직원명부!$A$5:$A$24,0))),"사번 확인")</f>
        <v/>
      </c>
      <c r="E1221" s="34" t="n"/>
      <c r="F1221" s="34" t="n"/>
      <c r="G1221" s="28" t="n"/>
      <c r="H1221" s="33">
        <f>IF(OR(E1221="",F1221=""),"",ROUND(MOD(F1221-E1221,1)*24-N(G1221),2))</f>
        <v/>
      </c>
      <c r="I1221" s="33">
        <f>IF(H1221="","",ROUND(MAX(0,H1221-8),2))</f>
        <v/>
      </c>
      <c r="J1221" s="33">
        <f>IF(OR(E1221="",F1221=""),"",ROUND(IF(MOD(F1221,1)&gt;=TIME(22,0,0),(MOD(F1221,1)-TIME(22,0,0))*24,IF(MOD(F1221,1)&lt;TIME(6,0,0),(MOD(F1221,1)+1-TIME(22,0,0))*24,0)),2))</f>
        <v/>
      </c>
      <c r="K1221" s="33">
        <f>IF(H1221="","",ROUND(IF(L1221="휴일근로",MIN(H1221,8)*1.5+MAX(0,H1221-8)*2,I1221*1.5)+N(J1221)*0.5,2))</f>
        <v/>
      </c>
      <c r="L1221" s="18" t="n"/>
      <c r="M1221" s="18" t="n"/>
      <c r="N1221" s="22" t="n"/>
    </row>
    <row r="1222">
      <c r="A1222" s="19" t="n"/>
      <c r="B1222" s="25">
        <f>IF(A1222="","",CHOOSE(WEEKDAY(A1222,2),"월","화","수","목","금","토","일"))</f>
        <v/>
      </c>
      <c r="C1222" s="18" t="n"/>
      <c r="D1222" s="25">
        <f>IFERROR(IF(C1222="","",INDEX(직원명부!$B$5:$B$24,MATCH(C1222,직원명부!$A$5:$A$24,0))),"사번 확인")</f>
        <v/>
      </c>
      <c r="E1222" s="34" t="n"/>
      <c r="F1222" s="34" t="n"/>
      <c r="G1222" s="28" t="n"/>
      <c r="H1222" s="33">
        <f>IF(OR(E1222="",F1222=""),"",ROUND(MOD(F1222-E1222,1)*24-N(G1222),2))</f>
        <v/>
      </c>
      <c r="I1222" s="33">
        <f>IF(H1222="","",ROUND(MAX(0,H1222-8),2))</f>
        <v/>
      </c>
      <c r="J1222" s="33">
        <f>IF(OR(E1222="",F1222=""),"",ROUND(IF(MOD(F1222,1)&gt;=TIME(22,0,0),(MOD(F1222,1)-TIME(22,0,0))*24,IF(MOD(F1222,1)&lt;TIME(6,0,0),(MOD(F1222,1)+1-TIME(22,0,0))*24,0)),2))</f>
        <v/>
      </c>
      <c r="K1222" s="33">
        <f>IF(H1222="","",ROUND(IF(L1222="휴일근로",MIN(H1222,8)*1.5+MAX(0,H1222-8)*2,I1222*1.5)+N(J1222)*0.5,2))</f>
        <v/>
      </c>
      <c r="L1222" s="18" t="n"/>
      <c r="M1222" s="18" t="n"/>
      <c r="N1222" s="22" t="n"/>
    </row>
    <row r="1223">
      <c r="A1223" s="19" t="n"/>
      <c r="B1223" s="25">
        <f>IF(A1223="","",CHOOSE(WEEKDAY(A1223,2),"월","화","수","목","금","토","일"))</f>
        <v/>
      </c>
      <c r="C1223" s="18" t="n"/>
      <c r="D1223" s="25">
        <f>IFERROR(IF(C1223="","",INDEX(직원명부!$B$5:$B$24,MATCH(C1223,직원명부!$A$5:$A$24,0))),"사번 확인")</f>
        <v/>
      </c>
      <c r="E1223" s="34" t="n"/>
      <c r="F1223" s="34" t="n"/>
      <c r="G1223" s="28" t="n"/>
      <c r="H1223" s="33">
        <f>IF(OR(E1223="",F1223=""),"",ROUND(MOD(F1223-E1223,1)*24-N(G1223),2))</f>
        <v/>
      </c>
      <c r="I1223" s="33">
        <f>IF(H1223="","",ROUND(MAX(0,H1223-8),2))</f>
        <v/>
      </c>
      <c r="J1223" s="33">
        <f>IF(OR(E1223="",F1223=""),"",ROUND(IF(MOD(F1223,1)&gt;=TIME(22,0,0),(MOD(F1223,1)-TIME(22,0,0))*24,IF(MOD(F1223,1)&lt;TIME(6,0,0),(MOD(F1223,1)+1-TIME(22,0,0))*24,0)),2))</f>
        <v/>
      </c>
      <c r="K1223" s="33">
        <f>IF(H1223="","",ROUND(IF(L1223="휴일근로",MIN(H1223,8)*1.5+MAX(0,H1223-8)*2,I1223*1.5)+N(J1223)*0.5,2))</f>
        <v/>
      </c>
      <c r="L1223" s="18" t="n"/>
      <c r="M1223" s="18" t="n"/>
      <c r="N1223" s="22" t="n"/>
    </row>
    <row r="1224">
      <c r="A1224" s="19" t="n"/>
      <c r="B1224" s="25">
        <f>IF(A1224="","",CHOOSE(WEEKDAY(A1224,2),"월","화","수","목","금","토","일"))</f>
        <v/>
      </c>
      <c r="C1224" s="18" t="n"/>
      <c r="D1224" s="25">
        <f>IFERROR(IF(C1224="","",INDEX(직원명부!$B$5:$B$24,MATCH(C1224,직원명부!$A$5:$A$24,0))),"사번 확인")</f>
        <v/>
      </c>
      <c r="E1224" s="34" t="n"/>
      <c r="F1224" s="34" t="n"/>
      <c r="G1224" s="28" t="n"/>
      <c r="H1224" s="33">
        <f>IF(OR(E1224="",F1224=""),"",ROUND(MOD(F1224-E1224,1)*24-N(G1224),2))</f>
        <v/>
      </c>
      <c r="I1224" s="33">
        <f>IF(H1224="","",ROUND(MAX(0,H1224-8),2))</f>
        <v/>
      </c>
      <c r="J1224" s="33">
        <f>IF(OR(E1224="",F1224=""),"",ROUND(IF(MOD(F1224,1)&gt;=TIME(22,0,0),(MOD(F1224,1)-TIME(22,0,0))*24,IF(MOD(F1224,1)&lt;TIME(6,0,0),(MOD(F1224,1)+1-TIME(22,0,0))*24,0)),2))</f>
        <v/>
      </c>
      <c r="K1224" s="33">
        <f>IF(H1224="","",ROUND(IF(L1224="휴일근로",MIN(H1224,8)*1.5+MAX(0,H1224-8)*2,I1224*1.5)+N(J1224)*0.5,2))</f>
        <v/>
      </c>
      <c r="L1224" s="18" t="n"/>
      <c r="M1224" s="18" t="n"/>
      <c r="N1224" s="22" t="n"/>
    </row>
    <row r="1225">
      <c r="A1225" s="19" t="n"/>
      <c r="B1225" s="25">
        <f>IF(A1225="","",CHOOSE(WEEKDAY(A1225,2),"월","화","수","목","금","토","일"))</f>
        <v/>
      </c>
      <c r="C1225" s="18" t="n"/>
      <c r="D1225" s="25">
        <f>IFERROR(IF(C1225="","",INDEX(직원명부!$B$5:$B$24,MATCH(C1225,직원명부!$A$5:$A$24,0))),"사번 확인")</f>
        <v/>
      </c>
      <c r="E1225" s="34" t="n"/>
      <c r="F1225" s="34" t="n"/>
      <c r="G1225" s="28" t="n"/>
      <c r="H1225" s="33">
        <f>IF(OR(E1225="",F1225=""),"",ROUND(MOD(F1225-E1225,1)*24-N(G1225),2))</f>
        <v/>
      </c>
      <c r="I1225" s="33">
        <f>IF(H1225="","",ROUND(MAX(0,H1225-8),2))</f>
        <v/>
      </c>
      <c r="J1225" s="33">
        <f>IF(OR(E1225="",F1225=""),"",ROUND(IF(MOD(F1225,1)&gt;=TIME(22,0,0),(MOD(F1225,1)-TIME(22,0,0))*24,IF(MOD(F1225,1)&lt;TIME(6,0,0),(MOD(F1225,1)+1-TIME(22,0,0))*24,0)),2))</f>
        <v/>
      </c>
      <c r="K1225" s="33">
        <f>IF(H1225="","",ROUND(IF(L1225="휴일근로",MIN(H1225,8)*1.5+MAX(0,H1225-8)*2,I1225*1.5)+N(J1225)*0.5,2))</f>
        <v/>
      </c>
      <c r="L1225" s="18" t="n"/>
      <c r="M1225" s="18" t="n"/>
      <c r="N1225" s="22" t="n"/>
    </row>
    <row r="1226">
      <c r="A1226" s="19" t="n"/>
      <c r="B1226" s="25">
        <f>IF(A1226="","",CHOOSE(WEEKDAY(A1226,2),"월","화","수","목","금","토","일"))</f>
        <v/>
      </c>
      <c r="C1226" s="18" t="n"/>
      <c r="D1226" s="25">
        <f>IFERROR(IF(C1226="","",INDEX(직원명부!$B$5:$B$24,MATCH(C1226,직원명부!$A$5:$A$24,0))),"사번 확인")</f>
        <v/>
      </c>
      <c r="E1226" s="34" t="n"/>
      <c r="F1226" s="34" t="n"/>
      <c r="G1226" s="28" t="n"/>
      <c r="H1226" s="33">
        <f>IF(OR(E1226="",F1226=""),"",ROUND(MOD(F1226-E1226,1)*24-N(G1226),2))</f>
        <v/>
      </c>
      <c r="I1226" s="33">
        <f>IF(H1226="","",ROUND(MAX(0,H1226-8),2))</f>
        <v/>
      </c>
      <c r="J1226" s="33">
        <f>IF(OR(E1226="",F1226=""),"",ROUND(IF(MOD(F1226,1)&gt;=TIME(22,0,0),(MOD(F1226,1)-TIME(22,0,0))*24,IF(MOD(F1226,1)&lt;TIME(6,0,0),(MOD(F1226,1)+1-TIME(22,0,0))*24,0)),2))</f>
        <v/>
      </c>
      <c r="K1226" s="33">
        <f>IF(H1226="","",ROUND(IF(L1226="휴일근로",MIN(H1226,8)*1.5+MAX(0,H1226-8)*2,I1226*1.5)+N(J1226)*0.5,2))</f>
        <v/>
      </c>
      <c r="L1226" s="18" t="n"/>
      <c r="M1226" s="18" t="n"/>
      <c r="N1226" s="22" t="n"/>
    </row>
    <row r="1227">
      <c r="A1227" s="19" t="n"/>
      <c r="B1227" s="25">
        <f>IF(A1227="","",CHOOSE(WEEKDAY(A1227,2),"월","화","수","목","금","토","일"))</f>
        <v/>
      </c>
      <c r="C1227" s="18" t="n"/>
      <c r="D1227" s="25">
        <f>IFERROR(IF(C1227="","",INDEX(직원명부!$B$5:$B$24,MATCH(C1227,직원명부!$A$5:$A$24,0))),"사번 확인")</f>
        <v/>
      </c>
      <c r="E1227" s="34" t="n"/>
      <c r="F1227" s="34" t="n"/>
      <c r="G1227" s="28" t="n"/>
      <c r="H1227" s="33">
        <f>IF(OR(E1227="",F1227=""),"",ROUND(MOD(F1227-E1227,1)*24-N(G1227),2))</f>
        <v/>
      </c>
      <c r="I1227" s="33">
        <f>IF(H1227="","",ROUND(MAX(0,H1227-8),2))</f>
        <v/>
      </c>
      <c r="J1227" s="33">
        <f>IF(OR(E1227="",F1227=""),"",ROUND(IF(MOD(F1227,1)&gt;=TIME(22,0,0),(MOD(F1227,1)-TIME(22,0,0))*24,IF(MOD(F1227,1)&lt;TIME(6,0,0),(MOD(F1227,1)+1-TIME(22,0,0))*24,0)),2))</f>
        <v/>
      </c>
      <c r="K1227" s="33">
        <f>IF(H1227="","",ROUND(IF(L1227="휴일근로",MIN(H1227,8)*1.5+MAX(0,H1227-8)*2,I1227*1.5)+N(J1227)*0.5,2))</f>
        <v/>
      </c>
      <c r="L1227" s="18" t="n"/>
      <c r="M1227" s="18" t="n"/>
      <c r="N1227" s="22" t="n"/>
    </row>
    <row r="1228">
      <c r="A1228" s="19" t="n"/>
      <c r="B1228" s="25">
        <f>IF(A1228="","",CHOOSE(WEEKDAY(A1228,2),"월","화","수","목","금","토","일"))</f>
        <v/>
      </c>
      <c r="C1228" s="18" t="n"/>
      <c r="D1228" s="25">
        <f>IFERROR(IF(C1228="","",INDEX(직원명부!$B$5:$B$24,MATCH(C1228,직원명부!$A$5:$A$24,0))),"사번 확인")</f>
        <v/>
      </c>
      <c r="E1228" s="34" t="n"/>
      <c r="F1228" s="34" t="n"/>
      <c r="G1228" s="28" t="n"/>
      <c r="H1228" s="33">
        <f>IF(OR(E1228="",F1228=""),"",ROUND(MOD(F1228-E1228,1)*24-N(G1228),2))</f>
        <v/>
      </c>
      <c r="I1228" s="33">
        <f>IF(H1228="","",ROUND(MAX(0,H1228-8),2))</f>
        <v/>
      </c>
      <c r="J1228" s="33">
        <f>IF(OR(E1228="",F1228=""),"",ROUND(IF(MOD(F1228,1)&gt;=TIME(22,0,0),(MOD(F1228,1)-TIME(22,0,0))*24,IF(MOD(F1228,1)&lt;TIME(6,0,0),(MOD(F1228,1)+1-TIME(22,0,0))*24,0)),2))</f>
        <v/>
      </c>
      <c r="K1228" s="33">
        <f>IF(H1228="","",ROUND(IF(L1228="휴일근로",MIN(H1228,8)*1.5+MAX(0,H1228-8)*2,I1228*1.5)+N(J1228)*0.5,2))</f>
        <v/>
      </c>
      <c r="L1228" s="18" t="n"/>
      <c r="M1228" s="18" t="n"/>
      <c r="N1228" s="22" t="n"/>
    </row>
    <row r="1229">
      <c r="A1229" s="19" t="n"/>
      <c r="B1229" s="25">
        <f>IF(A1229="","",CHOOSE(WEEKDAY(A1229,2),"월","화","수","목","금","토","일"))</f>
        <v/>
      </c>
      <c r="C1229" s="18" t="n"/>
      <c r="D1229" s="25">
        <f>IFERROR(IF(C1229="","",INDEX(직원명부!$B$5:$B$24,MATCH(C1229,직원명부!$A$5:$A$24,0))),"사번 확인")</f>
        <v/>
      </c>
      <c r="E1229" s="34" t="n"/>
      <c r="F1229" s="34" t="n"/>
      <c r="G1229" s="28" t="n"/>
      <c r="H1229" s="33">
        <f>IF(OR(E1229="",F1229=""),"",ROUND(MOD(F1229-E1229,1)*24-N(G1229),2))</f>
        <v/>
      </c>
      <c r="I1229" s="33">
        <f>IF(H1229="","",ROUND(MAX(0,H1229-8),2))</f>
        <v/>
      </c>
      <c r="J1229" s="33">
        <f>IF(OR(E1229="",F1229=""),"",ROUND(IF(MOD(F1229,1)&gt;=TIME(22,0,0),(MOD(F1229,1)-TIME(22,0,0))*24,IF(MOD(F1229,1)&lt;TIME(6,0,0),(MOD(F1229,1)+1-TIME(22,0,0))*24,0)),2))</f>
        <v/>
      </c>
      <c r="K1229" s="33">
        <f>IF(H1229="","",ROUND(IF(L1229="휴일근로",MIN(H1229,8)*1.5+MAX(0,H1229-8)*2,I1229*1.5)+N(J1229)*0.5,2))</f>
        <v/>
      </c>
      <c r="L1229" s="18" t="n"/>
      <c r="M1229" s="18" t="n"/>
      <c r="N1229" s="22" t="n"/>
    </row>
    <row r="1230">
      <c r="A1230" s="19" t="n"/>
      <c r="B1230" s="25">
        <f>IF(A1230="","",CHOOSE(WEEKDAY(A1230,2),"월","화","수","목","금","토","일"))</f>
        <v/>
      </c>
      <c r="C1230" s="18" t="n"/>
      <c r="D1230" s="25">
        <f>IFERROR(IF(C1230="","",INDEX(직원명부!$B$5:$B$24,MATCH(C1230,직원명부!$A$5:$A$24,0))),"사번 확인")</f>
        <v/>
      </c>
      <c r="E1230" s="34" t="n"/>
      <c r="F1230" s="34" t="n"/>
      <c r="G1230" s="28" t="n"/>
      <c r="H1230" s="33">
        <f>IF(OR(E1230="",F1230=""),"",ROUND(MOD(F1230-E1230,1)*24-N(G1230),2))</f>
        <v/>
      </c>
      <c r="I1230" s="33">
        <f>IF(H1230="","",ROUND(MAX(0,H1230-8),2))</f>
        <v/>
      </c>
      <c r="J1230" s="33">
        <f>IF(OR(E1230="",F1230=""),"",ROUND(IF(MOD(F1230,1)&gt;=TIME(22,0,0),(MOD(F1230,1)-TIME(22,0,0))*24,IF(MOD(F1230,1)&lt;TIME(6,0,0),(MOD(F1230,1)+1-TIME(22,0,0))*24,0)),2))</f>
        <v/>
      </c>
      <c r="K1230" s="33">
        <f>IF(H1230="","",ROUND(IF(L1230="휴일근로",MIN(H1230,8)*1.5+MAX(0,H1230-8)*2,I1230*1.5)+N(J1230)*0.5,2))</f>
        <v/>
      </c>
      <c r="L1230" s="18" t="n"/>
      <c r="M1230" s="18" t="n"/>
      <c r="N1230" s="22" t="n"/>
    </row>
    <row r="1231">
      <c r="A1231" s="19" t="n"/>
      <c r="B1231" s="25">
        <f>IF(A1231="","",CHOOSE(WEEKDAY(A1231,2),"월","화","수","목","금","토","일"))</f>
        <v/>
      </c>
      <c r="C1231" s="18" t="n"/>
      <c r="D1231" s="25">
        <f>IFERROR(IF(C1231="","",INDEX(직원명부!$B$5:$B$24,MATCH(C1231,직원명부!$A$5:$A$24,0))),"사번 확인")</f>
        <v/>
      </c>
      <c r="E1231" s="34" t="n"/>
      <c r="F1231" s="34" t="n"/>
      <c r="G1231" s="28" t="n"/>
      <c r="H1231" s="33">
        <f>IF(OR(E1231="",F1231=""),"",ROUND(MOD(F1231-E1231,1)*24-N(G1231),2))</f>
        <v/>
      </c>
      <c r="I1231" s="33">
        <f>IF(H1231="","",ROUND(MAX(0,H1231-8),2))</f>
        <v/>
      </c>
      <c r="J1231" s="33">
        <f>IF(OR(E1231="",F1231=""),"",ROUND(IF(MOD(F1231,1)&gt;=TIME(22,0,0),(MOD(F1231,1)-TIME(22,0,0))*24,IF(MOD(F1231,1)&lt;TIME(6,0,0),(MOD(F1231,1)+1-TIME(22,0,0))*24,0)),2))</f>
        <v/>
      </c>
      <c r="K1231" s="33">
        <f>IF(H1231="","",ROUND(IF(L1231="휴일근로",MIN(H1231,8)*1.5+MAX(0,H1231-8)*2,I1231*1.5)+N(J1231)*0.5,2))</f>
        <v/>
      </c>
      <c r="L1231" s="18" t="n"/>
      <c r="M1231" s="18" t="n"/>
      <c r="N1231" s="22" t="n"/>
    </row>
    <row r="1232">
      <c r="A1232" s="19" t="n"/>
      <c r="B1232" s="25">
        <f>IF(A1232="","",CHOOSE(WEEKDAY(A1232,2),"월","화","수","목","금","토","일"))</f>
        <v/>
      </c>
      <c r="C1232" s="18" t="n"/>
      <c r="D1232" s="25">
        <f>IFERROR(IF(C1232="","",INDEX(직원명부!$B$5:$B$24,MATCH(C1232,직원명부!$A$5:$A$24,0))),"사번 확인")</f>
        <v/>
      </c>
      <c r="E1232" s="34" t="n"/>
      <c r="F1232" s="34" t="n"/>
      <c r="G1232" s="28" t="n"/>
      <c r="H1232" s="33">
        <f>IF(OR(E1232="",F1232=""),"",ROUND(MOD(F1232-E1232,1)*24-N(G1232),2))</f>
        <v/>
      </c>
      <c r="I1232" s="33">
        <f>IF(H1232="","",ROUND(MAX(0,H1232-8),2))</f>
        <v/>
      </c>
      <c r="J1232" s="33">
        <f>IF(OR(E1232="",F1232=""),"",ROUND(IF(MOD(F1232,1)&gt;=TIME(22,0,0),(MOD(F1232,1)-TIME(22,0,0))*24,IF(MOD(F1232,1)&lt;TIME(6,0,0),(MOD(F1232,1)+1-TIME(22,0,0))*24,0)),2))</f>
        <v/>
      </c>
      <c r="K1232" s="33">
        <f>IF(H1232="","",ROUND(IF(L1232="휴일근로",MIN(H1232,8)*1.5+MAX(0,H1232-8)*2,I1232*1.5)+N(J1232)*0.5,2))</f>
        <v/>
      </c>
      <c r="L1232" s="18" t="n"/>
      <c r="M1232" s="18" t="n"/>
      <c r="N1232" s="22" t="n"/>
    </row>
    <row r="1233">
      <c r="A1233" s="19" t="n"/>
      <c r="B1233" s="25">
        <f>IF(A1233="","",CHOOSE(WEEKDAY(A1233,2),"월","화","수","목","금","토","일"))</f>
        <v/>
      </c>
      <c r="C1233" s="18" t="n"/>
      <c r="D1233" s="25">
        <f>IFERROR(IF(C1233="","",INDEX(직원명부!$B$5:$B$24,MATCH(C1233,직원명부!$A$5:$A$24,0))),"사번 확인")</f>
        <v/>
      </c>
      <c r="E1233" s="34" t="n"/>
      <c r="F1233" s="34" t="n"/>
      <c r="G1233" s="28" t="n"/>
      <c r="H1233" s="33">
        <f>IF(OR(E1233="",F1233=""),"",ROUND(MOD(F1233-E1233,1)*24-N(G1233),2))</f>
        <v/>
      </c>
      <c r="I1233" s="33">
        <f>IF(H1233="","",ROUND(MAX(0,H1233-8),2))</f>
        <v/>
      </c>
      <c r="J1233" s="33">
        <f>IF(OR(E1233="",F1233=""),"",ROUND(IF(MOD(F1233,1)&gt;=TIME(22,0,0),(MOD(F1233,1)-TIME(22,0,0))*24,IF(MOD(F1233,1)&lt;TIME(6,0,0),(MOD(F1233,1)+1-TIME(22,0,0))*24,0)),2))</f>
        <v/>
      </c>
      <c r="K1233" s="33">
        <f>IF(H1233="","",ROUND(IF(L1233="휴일근로",MIN(H1233,8)*1.5+MAX(0,H1233-8)*2,I1233*1.5)+N(J1233)*0.5,2))</f>
        <v/>
      </c>
      <c r="L1233" s="18" t="n"/>
      <c r="M1233" s="18" t="n"/>
      <c r="N1233" s="22" t="n"/>
    </row>
    <row r="1234">
      <c r="A1234" s="19" t="n"/>
      <c r="B1234" s="25">
        <f>IF(A1234="","",CHOOSE(WEEKDAY(A1234,2),"월","화","수","목","금","토","일"))</f>
        <v/>
      </c>
      <c r="C1234" s="18" t="n"/>
      <c r="D1234" s="25">
        <f>IFERROR(IF(C1234="","",INDEX(직원명부!$B$5:$B$24,MATCH(C1234,직원명부!$A$5:$A$24,0))),"사번 확인")</f>
        <v/>
      </c>
      <c r="E1234" s="34" t="n"/>
      <c r="F1234" s="34" t="n"/>
      <c r="G1234" s="28" t="n"/>
      <c r="H1234" s="33">
        <f>IF(OR(E1234="",F1234=""),"",ROUND(MOD(F1234-E1234,1)*24-N(G1234),2))</f>
        <v/>
      </c>
      <c r="I1234" s="33">
        <f>IF(H1234="","",ROUND(MAX(0,H1234-8),2))</f>
        <v/>
      </c>
      <c r="J1234" s="33">
        <f>IF(OR(E1234="",F1234=""),"",ROUND(IF(MOD(F1234,1)&gt;=TIME(22,0,0),(MOD(F1234,1)-TIME(22,0,0))*24,IF(MOD(F1234,1)&lt;TIME(6,0,0),(MOD(F1234,1)+1-TIME(22,0,0))*24,0)),2))</f>
        <v/>
      </c>
      <c r="K1234" s="33">
        <f>IF(H1234="","",ROUND(IF(L1234="휴일근로",MIN(H1234,8)*1.5+MAX(0,H1234-8)*2,I1234*1.5)+N(J1234)*0.5,2))</f>
        <v/>
      </c>
      <c r="L1234" s="18" t="n"/>
      <c r="M1234" s="18" t="n"/>
      <c r="N1234" s="22" t="n"/>
    </row>
    <row r="1235">
      <c r="A1235" s="19" t="n"/>
      <c r="B1235" s="25">
        <f>IF(A1235="","",CHOOSE(WEEKDAY(A1235,2),"월","화","수","목","금","토","일"))</f>
        <v/>
      </c>
      <c r="C1235" s="18" t="n"/>
      <c r="D1235" s="25">
        <f>IFERROR(IF(C1235="","",INDEX(직원명부!$B$5:$B$24,MATCH(C1235,직원명부!$A$5:$A$24,0))),"사번 확인")</f>
        <v/>
      </c>
      <c r="E1235" s="34" t="n"/>
      <c r="F1235" s="34" t="n"/>
      <c r="G1235" s="28" t="n"/>
      <c r="H1235" s="33">
        <f>IF(OR(E1235="",F1235=""),"",ROUND(MOD(F1235-E1235,1)*24-N(G1235),2))</f>
        <v/>
      </c>
      <c r="I1235" s="33">
        <f>IF(H1235="","",ROUND(MAX(0,H1235-8),2))</f>
        <v/>
      </c>
      <c r="J1235" s="33">
        <f>IF(OR(E1235="",F1235=""),"",ROUND(IF(MOD(F1235,1)&gt;=TIME(22,0,0),(MOD(F1235,1)-TIME(22,0,0))*24,IF(MOD(F1235,1)&lt;TIME(6,0,0),(MOD(F1235,1)+1-TIME(22,0,0))*24,0)),2))</f>
        <v/>
      </c>
      <c r="K1235" s="33">
        <f>IF(H1235="","",ROUND(IF(L1235="휴일근로",MIN(H1235,8)*1.5+MAX(0,H1235-8)*2,I1235*1.5)+N(J1235)*0.5,2))</f>
        <v/>
      </c>
      <c r="L1235" s="18" t="n"/>
      <c r="M1235" s="18" t="n"/>
      <c r="N1235" s="22" t="n"/>
    </row>
    <row r="1236">
      <c r="A1236" s="19" t="n"/>
      <c r="B1236" s="25">
        <f>IF(A1236="","",CHOOSE(WEEKDAY(A1236,2),"월","화","수","목","금","토","일"))</f>
        <v/>
      </c>
      <c r="C1236" s="18" t="n"/>
      <c r="D1236" s="25">
        <f>IFERROR(IF(C1236="","",INDEX(직원명부!$B$5:$B$24,MATCH(C1236,직원명부!$A$5:$A$24,0))),"사번 확인")</f>
        <v/>
      </c>
      <c r="E1236" s="34" t="n"/>
      <c r="F1236" s="34" t="n"/>
      <c r="G1236" s="28" t="n"/>
      <c r="H1236" s="33">
        <f>IF(OR(E1236="",F1236=""),"",ROUND(MOD(F1236-E1236,1)*24-N(G1236),2))</f>
        <v/>
      </c>
      <c r="I1236" s="33">
        <f>IF(H1236="","",ROUND(MAX(0,H1236-8),2))</f>
        <v/>
      </c>
      <c r="J1236" s="33">
        <f>IF(OR(E1236="",F1236=""),"",ROUND(IF(MOD(F1236,1)&gt;=TIME(22,0,0),(MOD(F1236,1)-TIME(22,0,0))*24,IF(MOD(F1236,1)&lt;TIME(6,0,0),(MOD(F1236,1)+1-TIME(22,0,0))*24,0)),2))</f>
        <v/>
      </c>
      <c r="K1236" s="33">
        <f>IF(H1236="","",ROUND(IF(L1236="휴일근로",MIN(H1236,8)*1.5+MAX(0,H1236-8)*2,I1236*1.5)+N(J1236)*0.5,2))</f>
        <v/>
      </c>
      <c r="L1236" s="18" t="n"/>
      <c r="M1236" s="18" t="n"/>
      <c r="N1236" s="22" t="n"/>
    </row>
    <row r="1237">
      <c r="A1237" s="19" t="n"/>
      <c r="B1237" s="25">
        <f>IF(A1237="","",CHOOSE(WEEKDAY(A1237,2),"월","화","수","목","금","토","일"))</f>
        <v/>
      </c>
      <c r="C1237" s="18" t="n"/>
      <c r="D1237" s="25">
        <f>IFERROR(IF(C1237="","",INDEX(직원명부!$B$5:$B$24,MATCH(C1237,직원명부!$A$5:$A$24,0))),"사번 확인")</f>
        <v/>
      </c>
      <c r="E1237" s="34" t="n"/>
      <c r="F1237" s="34" t="n"/>
      <c r="G1237" s="28" t="n"/>
      <c r="H1237" s="33">
        <f>IF(OR(E1237="",F1237=""),"",ROUND(MOD(F1237-E1237,1)*24-N(G1237),2))</f>
        <v/>
      </c>
      <c r="I1237" s="33">
        <f>IF(H1237="","",ROUND(MAX(0,H1237-8),2))</f>
        <v/>
      </c>
      <c r="J1237" s="33">
        <f>IF(OR(E1237="",F1237=""),"",ROUND(IF(MOD(F1237,1)&gt;=TIME(22,0,0),(MOD(F1237,1)-TIME(22,0,0))*24,IF(MOD(F1237,1)&lt;TIME(6,0,0),(MOD(F1237,1)+1-TIME(22,0,0))*24,0)),2))</f>
        <v/>
      </c>
      <c r="K1237" s="33">
        <f>IF(H1237="","",ROUND(IF(L1237="휴일근로",MIN(H1237,8)*1.5+MAX(0,H1237-8)*2,I1237*1.5)+N(J1237)*0.5,2))</f>
        <v/>
      </c>
      <c r="L1237" s="18" t="n"/>
      <c r="M1237" s="18" t="n"/>
      <c r="N1237" s="22" t="n"/>
    </row>
    <row r="1238">
      <c r="A1238" s="19" t="n"/>
      <c r="B1238" s="25">
        <f>IF(A1238="","",CHOOSE(WEEKDAY(A1238,2),"월","화","수","목","금","토","일"))</f>
        <v/>
      </c>
      <c r="C1238" s="18" t="n"/>
      <c r="D1238" s="25">
        <f>IFERROR(IF(C1238="","",INDEX(직원명부!$B$5:$B$24,MATCH(C1238,직원명부!$A$5:$A$24,0))),"사번 확인")</f>
        <v/>
      </c>
      <c r="E1238" s="34" t="n"/>
      <c r="F1238" s="34" t="n"/>
      <c r="G1238" s="28" t="n"/>
      <c r="H1238" s="33">
        <f>IF(OR(E1238="",F1238=""),"",ROUND(MOD(F1238-E1238,1)*24-N(G1238),2))</f>
        <v/>
      </c>
      <c r="I1238" s="33">
        <f>IF(H1238="","",ROUND(MAX(0,H1238-8),2))</f>
        <v/>
      </c>
      <c r="J1238" s="33">
        <f>IF(OR(E1238="",F1238=""),"",ROUND(IF(MOD(F1238,1)&gt;=TIME(22,0,0),(MOD(F1238,1)-TIME(22,0,0))*24,IF(MOD(F1238,1)&lt;TIME(6,0,0),(MOD(F1238,1)+1-TIME(22,0,0))*24,0)),2))</f>
        <v/>
      </c>
      <c r="K1238" s="33">
        <f>IF(H1238="","",ROUND(IF(L1238="휴일근로",MIN(H1238,8)*1.5+MAX(0,H1238-8)*2,I1238*1.5)+N(J1238)*0.5,2))</f>
        <v/>
      </c>
      <c r="L1238" s="18" t="n"/>
      <c r="M1238" s="18" t="n"/>
      <c r="N1238" s="22" t="n"/>
    </row>
    <row r="1239">
      <c r="A1239" s="19" t="n"/>
      <c r="B1239" s="25">
        <f>IF(A1239="","",CHOOSE(WEEKDAY(A1239,2),"월","화","수","목","금","토","일"))</f>
        <v/>
      </c>
      <c r="C1239" s="18" t="n"/>
      <c r="D1239" s="25">
        <f>IFERROR(IF(C1239="","",INDEX(직원명부!$B$5:$B$24,MATCH(C1239,직원명부!$A$5:$A$24,0))),"사번 확인")</f>
        <v/>
      </c>
      <c r="E1239" s="34" t="n"/>
      <c r="F1239" s="34" t="n"/>
      <c r="G1239" s="28" t="n"/>
      <c r="H1239" s="33">
        <f>IF(OR(E1239="",F1239=""),"",ROUND(MOD(F1239-E1239,1)*24-N(G1239),2))</f>
        <v/>
      </c>
      <c r="I1239" s="33">
        <f>IF(H1239="","",ROUND(MAX(0,H1239-8),2))</f>
        <v/>
      </c>
      <c r="J1239" s="33">
        <f>IF(OR(E1239="",F1239=""),"",ROUND(IF(MOD(F1239,1)&gt;=TIME(22,0,0),(MOD(F1239,1)-TIME(22,0,0))*24,IF(MOD(F1239,1)&lt;TIME(6,0,0),(MOD(F1239,1)+1-TIME(22,0,0))*24,0)),2))</f>
        <v/>
      </c>
      <c r="K1239" s="33">
        <f>IF(H1239="","",ROUND(IF(L1239="휴일근로",MIN(H1239,8)*1.5+MAX(0,H1239-8)*2,I1239*1.5)+N(J1239)*0.5,2))</f>
        <v/>
      </c>
      <c r="L1239" s="18" t="n"/>
      <c r="M1239" s="18" t="n"/>
      <c r="N1239" s="22" t="n"/>
    </row>
    <row r="1240">
      <c r="A1240" s="19" t="n"/>
      <c r="B1240" s="25">
        <f>IF(A1240="","",CHOOSE(WEEKDAY(A1240,2),"월","화","수","목","금","토","일"))</f>
        <v/>
      </c>
      <c r="C1240" s="18" t="n"/>
      <c r="D1240" s="25">
        <f>IFERROR(IF(C1240="","",INDEX(직원명부!$B$5:$B$24,MATCH(C1240,직원명부!$A$5:$A$24,0))),"사번 확인")</f>
        <v/>
      </c>
      <c r="E1240" s="34" t="n"/>
      <c r="F1240" s="34" t="n"/>
      <c r="G1240" s="28" t="n"/>
      <c r="H1240" s="33">
        <f>IF(OR(E1240="",F1240=""),"",ROUND(MOD(F1240-E1240,1)*24-N(G1240),2))</f>
        <v/>
      </c>
      <c r="I1240" s="33">
        <f>IF(H1240="","",ROUND(MAX(0,H1240-8),2))</f>
        <v/>
      </c>
      <c r="J1240" s="33">
        <f>IF(OR(E1240="",F1240=""),"",ROUND(IF(MOD(F1240,1)&gt;=TIME(22,0,0),(MOD(F1240,1)-TIME(22,0,0))*24,IF(MOD(F1240,1)&lt;TIME(6,0,0),(MOD(F1240,1)+1-TIME(22,0,0))*24,0)),2))</f>
        <v/>
      </c>
      <c r="K1240" s="33">
        <f>IF(H1240="","",ROUND(IF(L1240="휴일근로",MIN(H1240,8)*1.5+MAX(0,H1240-8)*2,I1240*1.5)+N(J1240)*0.5,2))</f>
        <v/>
      </c>
      <c r="L1240" s="18" t="n"/>
      <c r="M1240" s="18" t="n"/>
      <c r="N1240" s="22" t="n"/>
    </row>
    <row r="1241">
      <c r="A1241" s="19" t="n"/>
      <c r="B1241" s="25">
        <f>IF(A1241="","",CHOOSE(WEEKDAY(A1241,2),"월","화","수","목","금","토","일"))</f>
        <v/>
      </c>
      <c r="C1241" s="18" t="n"/>
      <c r="D1241" s="25">
        <f>IFERROR(IF(C1241="","",INDEX(직원명부!$B$5:$B$24,MATCH(C1241,직원명부!$A$5:$A$24,0))),"사번 확인")</f>
        <v/>
      </c>
      <c r="E1241" s="34" t="n"/>
      <c r="F1241" s="34" t="n"/>
      <c r="G1241" s="28" t="n"/>
      <c r="H1241" s="33">
        <f>IF(OR(E1241="",F1241=""),"",ROUND(MOD(F1241-E1241,1)*24-N(G1241),2))</f>
        <v/>
      </c>
      <c r="I1241" s="33">
        <f>IF(H1241="","",ROUND(MAX(0,H1241-8),2))</f>
        <v/>
      </c>
      <c r="J1241" s="33">
        <f>IF(OR(E1241="",F1241=""),"",ROUND(IF(MOD(F1241,1)&gt;=TIME(22,0,0),(MOD(F1241,1)-TIME(22,0,0))*24,IF(MOD(F1241,1)&lt;TIME(6,0,0),(MOD(F1241,1)+1-TIME(22,0,0))*24,0)),2))</f>
        <v/>
      </c>
      <c r="K1241" s="33">
        <f>IF(H1241="","",ROUND(IF(L1241="휴일근로",MIN(H1241,8)*1.5+MAX(0,H1241-8)*2,I1241*1.5)+N(J1241)*0.5,2))</f>
        <v/>
      </c>
      <c r="L1241" s="18" t="n"/>
      <c r="M1241" s="18" t="n"/>
      <c r="N1241" s="22" t="n"/>
    </row>
    <row r="1242">
      <c r="A1242" s="19" t="n"/>
      <c r="B1242" s="25">
        <f>IF(A1242="","",CHOOSE(WEEKDAY(A1242,2),"월","화","수","목","금","토","일"))</f>
        <v/>
      </c>
      <c r="C1242" s="18" t="n"/>
      <c r="D1242" s="25">
        <f>IFERROR(IF(C1242="","",INDEX(직원명부!$B$5:$B$24,MATCH(C1242,직원명부!$A$5:$A$24,0))),"사번 확인")</f>
        <v/>
      </c>
      <c r="E1242" s="34" t="n"/>
      <c r="F1242" s="34" t="n"/>
      <c r="G1242" s="28" t="n"/>
      <c r="H1242" s="33">
        <f>IF(OR(E1242="",F1242=""),"",ROUND(MOD(F1242-E1242,1)*24-N(G1242),2))</f>
        <v/>
      </c>
      <c r="I1242" s="33">
        <f>IF(H1242="","",ROUND(MAX(0,H1242-8),2))</f>
        <v/>
      </c>
      <c r="J1242" s="33">
        <f>IF(OR(E1242="",F1242=""),"",ROUND(IF(MOD(F1242,1)&gt;=TIME(22,0,0),(MOD(F1242,1)-TIME(22,0,0))*24,IF(MOD(F1242,1)&lt;TIME(6,0,0),(MOD(F1242,1)+1-TIME(22,0,0))*24,0)),2))</f>
        <v/>
      </c>
      <c r="K1242" s="33">
        <f>IF(H1242="","",ROUND(IF(L1242="휴일근로",MIN(H1242,8)*1.5+MAX(0,H1242-8)*2,I1242*1.5)+N(J1242)*0.5,2))</f>
        <v/>
      </c>
      <c r="L1242" s="18" t="n"/>
      <c r="M1242" s="18" t="n"/>
      <c r="N1242" s="22" t="n"/>
    </row>
    <row r="1243">
      <c r="A1243" s="19" t="n"/>
      <c r="B1243" s="25">
        <f>IF(A1243="","",CHOOSE(WEEKDAY(A1243,2),"월","화","수","목","금","토","일"))</f>
        <v/>
      </c>
      <c r="C1243" s="18" t="n"/>
      <c r="D1243" s="25">
        <f>IFERROR(IF(C1243="","",INDEX(직원명부!$B$5:$B$24,MATCH(C1243,직원명부!$A$5:$A$24,0))),"사번 확인")</f>
        <v/>
      </c>
      <c r="E1243" s="34" t="n"/>
      <c r="F1243" s="34" t="n"/>
      <c r="G1243" s="28" t="n"/>
      <c r="H1243" s="33">
        <f>IF(OR(E1243="",F1243=""),"",ROUND(MOD(F1243-E1243,1)*24-N(G1243),2))</f>
        <v/>
      </c>
      <c r="I1243" s="33">
        <f>IF(H1243="","",ROUND(MAX(0,H1243-8),2))</f>
        <v/>
      </c>
      <c r="J1243" s="33">
        <f>IF(OR(E1243="",F1243=""),"",ROUND(IF(MOD(F1243,1)&gt;=TIME(22,0,0),(MOD(F1243,1)-TIME(22,0,0))*24,IF(MOD(F1243,1)&lt;TIME(6,0,0),(MOD(F1243,1)+1-TIME(22,0,0))*24,0)),2))</f>
        <v/>
      </c>
      <c r="K1243" s="33">
        <f>IF(H1243="","",ROUND(IF(L1243="휴일근로",MIN(H1243,8)*1.5+MAX(0,H1243-8)*2,I1243*1.5)+N(J1243)*0.5,2))</f>
        <v/>
      </c>
      <c r="L1243" s="18" t="n"/>
      <c r="M1243" s="18" t="n"/>
      <c r="N1243" s="22" t="n"/>
    </row>
    <row r="1244">
      <c r="A1244" s="19" t="n"/>
      <c r="B1244" s="25">
        <f>IF(A1244="","",CHOOSE(WEEKDAY(A1244,2),"월","화","수","목","금","토","일"))</f>
        <v/>
      </c>
      <c r="C1244" s="18" t="n"/>
      <c r="D1244" s="25">
        <f>IFERROR(IF(C1244="","",INDEX(직원명부!$B$5:$B$24,MATCH(C1244,직원명부!$A$5:$A$24,0))),"사번 확인")</f>
        <v/>
      </c>
      <c r="E1244" s="34" t="n"/>
      <c r="F1244" s="34" t="n"/>
      <c r="G1244" s="28" t="n"/>
      <c r="H1244" s="33">
        <f>IF(OR(E1244="",F1244=""),"",ROUND(MOD(F1244-E1244,1)*24-N(G1244),2))</f>
        <v/>
      </c>
      <c r="I1244" s="33">
        <f>IF(H1244="","",ROUND(MAX(0,H1244-8),2))</f>
        <v/>
      </c>
      <c r="J1244" s="33">
        <f>IF(OR(E1244="",F1244=""),"",ROUND(IF(MOD(F1244,1)&gt;=TIME(22,0,0),(MOD(F1244,1)-TIME(22,0,0))*24,IF(MOD(F1244,1)&lt;TIME(6,0,0),(MOD(F1244,1)+1-TIME(22,0,0))*24,0)),2))</f>
        <v/>
      </c>
      <c r="K1244" s="33">
        <f>IF(H1244="","",ROUND(IF(L1244="휴일근로",MIN(H1244,8)*1.5+MAX(0,H1244-8)*2,I1244*1.5)+N(J1244)*0.5,2))</f>
        <v/>
      </c>
      <c r="L1244" s="18" t="n"/>
      <c r="M1244" s="18" t="n"/>
      <c r="N1244" s="22" t="n"/>
    </row>
    <row r="1245">
      <c r="A1245" s="19" t="n"/>
      <c r="B1245" s="25">
        <f>IF(A1245="","",CHOOSE(WEEKDAY(A1245,2),"월","화","수","목","금","토","일"))</f>
        <v/>
      </c>
      <c r="C1245" s="18" t="n"/>
      <c r="D1245" s="25">
        <f>IFERROR(IF(C1245="","",INDEX(직원명부!$B$5:$B$24,MATCH(C1245,직원명부!$A$5:$A$24,0))),"사번 확인")</f>
        <v/>
      </c>
      <c r="E1245" s="34" t="n"/>
      <c r="F1245" s="34" t="n"/>
      <c r="G1245" s="28" t="n"/>
      <c r="H1245" s="33">
        <f>IF(OR(E1245="",F1245=""),"",ROUND(MOD(F1245-E1245,1)*24-N(G1245),2))</f>
        <v/>
      </c>
      <c r="I1245" s="33">
        <f>IF(H1245="","",ROUND(MAX(0,H1245-8),2))</f>
        <v/>
      </c>
      <c r="J1245" s="33">
        <f>IF(OR(E1245="",F1245=""),"",ROUND(IF(MOD(F1245,1)&gt;=TIME(22,0,0),(MOD(F1245,1)-TIME(22,0,0))*24,IF(MOD(F1245,1)&lt;TIME(6,0,0),(MOD(F1245,1)+1-TIME(22,0,0))*24,0)),2))</f>
        <v/>
      </c>
      <c r="K1245" s="33">
        <f>IF(H1245="","",ROUND(IF(L1245="휴일근로",MIN(H1245,8)*1.5+MAX(0,H1245-8)*2,I1245*1.5)+N(J1245)*0.5,2))</f>
        <v/>
      </c>
      <c r="L1245" s="18" t="n"/>
      <c r="M1245" s="18" t="n"/>
      <c r="N1245" s="22" t="n"/>
    </row>
    <row r="1246">
      <c r="A1246" s="19" t="n"/>
      <c r="B1246" s="25">
        <f>IF(A1246="","",CHOOSE(WEEKDAY(A1246,2),"월","화","수","목","금","토","일"))</f>
        <v/>
      </c>
      <c r="C1246" s="18" t="n"/>
      <c r="D1246" s="25">
        <f>IFERROR(IF(C1246="","",INDEX(직원명부!$B$5:$B$24,MATCH(C1246,직원명부!$A$5:$A$24,0))),"사번 확인")</f>
        <v/>
      </c>
      <c r="E1246" s="34" t="n"/>
      <c r="F1246" s="34" t="n"/>
      <c r="G1246" s="28" t="n"/>
      <c r="H1246" s="33">
        <f>IF(OR(E1246="",F1246=""),"",ROUND(MOD(F1246-E1246,1)*24-N(G1246),2))</f>
        <v/>
      </c>
      <c r="I1246" s="33">
        <f>IF(H1246="","",ROUND(MAX(0,H1246-8),2))</f>
        <v/>
      </c>
      <c r="J1246" s="33">
        <f>IF(OR(E1246="",F1246=""),"",ROUND(IF(MOD(F1246,1)&gt;=TIME(22,0,0),(MOD(F1246,1)-TIME(22,0,0))*24,IF(MOD(F1246,1)&lt;TIME(6,0,0),(MOD(F1246,1)+1-TIME(22,0,0))*24,0)),2))</f>
        <v/>
      </c>
      <c r="K1246" s="33">
        <f>IF(H1246="","",ROUND(IF(L1246="휴일근로",MIN(H1246,8)*1.5+MAX(0,H1246-8)*2,I1246*1.5)+N(J1246)*0.5,2))</f>
        <v/>
      </c>
      <c r="L1246" s="18" t="n"/>
      <c r="M1246" s="18" t="n"/>
      <c r="N1246" s="22" t="n"/>
    </row>
    <row r="1247">
      <c r="A1247" s="19" t="n"/>
      <c r="B1247" s="25">
        <f>IF(A1247="","",CHOOSE(WEEKDAY(A1247,2),"월","화","수","목","금","토","일"))</f>
        <v/>
      </c>
      <c r="C1247" s="18" t="n"/>
      <c r="D1247" s="25">
        <f>IFERROR(IF(C1247="","",INDEX(직원명부!$B$5:$B$24,MATCH(C1247,직원명부!$A$5:$A$24,0))),"사번 확인")</f>
        <v/>
      </c>
      <c r="E1247" s="34" t="n"/>
      <c r="F1247" s="34" t="n"/>
      <c r="G1247" s="28" t="n"/>
      <c r="H1247" s="33">
        <f>IF(OR(E1247="",F1247=""),"",ROUND(MOD(F1247-E1247,1)*24-N(G1247),2))</f>
        <v/>
      </c>
      <c r="I1247" s="33">
        <f>IF(H1247="","",ROUND(MAX(0,H1247-8),2))</f>
        <v/>
      </c>
      <c r="J1247" s="33">
        <f>IF(OR(E1247="",F1247=""),"",ROUND(IF(MOD(F1247,1)&gt;=TIME(22,0,0),(MOD(F1247,1)-TIME(22,0,0))*24,IF(MOD(F1247,1)&lt;TIME(6,0,0),(MOD(F1247,1)+1-TIME(22,0,0))*24,0)),2))</f>
        <v/>
      </c>
      <c r="K1247" s="33">
        <f>IF(H1247="","",ROUND(IF(L1247="휴일근로",MIN(H1247,8)*1.5+MAX(0,H1247-8)*2,I1247*1.5)+N(J1247)*0.5,2))</f>
        <v/>
      </c>
      <c r="L1247" s="18" t="n"/>
      <c r="M1247" s="18" t="n"/>
      <c r="N1247" s="22" t="n"/>
    </row>
    <row r="1248">
      <c r="A1248" s="19" t="n"/>
      <c r="B1248" s="25">
        <f>IF(A1248="","",CHOOSE(WEEKDAY(A1248,2),"월","화","수","목","금","토","일"))</f>
        <v/>
      </c>
      <c r="C1248" s="18" t="n"/>
      <c r="D1248" s="25">
        <f>IFERROR(IF(C1248="","",INDEX(직원명부!$B$5:$B$24,MATCH(C1248,직원명부!$A$5:$A$24,0))),"사번 확인")</f>
        <v/>
      </c>
      <c r="E1248" s="34" t="n"/>
      <c r="F1248" s="34" t="n"/>
      <c r="G1248" s="28" t="n"/>
      <c r="H1248" s="33">
        <f>IF(OR(E1248="",F1248=""),"",ROUND(MOD(F1248-E1248,1)*24-N(G1248),2))</f>
        <v/>
      </c>
      <c r="I1248" s="33">
        <f>IF(H1248="","",ROUND(MAX(0,H1248-8),2))</f>
        <v/>
      </c>
      <c r="J1248" s="33">
        <f>IF(OR(E1248="",F1248=""),"",ROUND(IF(MOD(F1248,1)&gt;=TIME(22,0,0),(MOD(F1248,1)-TIME(22,0,0))*24,IF(MOD(F1248,1)&lt;TIME(6,0,0),(MOD(F1248,1)+1-TIME(22,0,0))*24,0)),2))</f>
        <v/>
      </c>
      <c r="K1248" s="33">
        <f>IF(H1248="","",ROUND(IF(L1248="휴일근로",MIN(H1248,8)*1.5+MAX(0,H1248-8)*2,I1248*1.5)+N(J1248)*0.5,2))</f>
        <v/>
      </c>
      <c r="L1248" s="18" t="n"/>
      <c r="M1248" s="18" t="n"/>
      <c r="N1248" s="22" t="n"/>
    </row>
    <row r="1249">
      <c r="A1249" s="19" t="n"/>
      <c r="B1249" s="25">
        <f>IF(A1249="","",CHOOSE(WEEKDAY(A1249,2),"월","화","수","목","금","토","일"))</f>
        <v/>
      </c>
      <c r="C1249" s="18" t="n"/>
      <c r="D1249" s="25">
        <f>IFERROR(IF(C1249="","",INDEX(직원명부!$B$5:$B$24,MATCH(C1249,직원명부!$A$5:$A$24,0))),"사번 확인")</f>
        <v/>
      </c>
      <c r="E1249" s="34" t="n"/>
      <c r="F1249" s="34" t="n"/>
      <c r="G1249" s="28" t="n"/>
      <c r="H1249" s="33">
        <f>IF(OR(E1249="",F1249=""),"",ROUND(MOD(F1249-E1249,1)*24-N(G1249),2))</f>
        <v/>
      </c>
      <c r="I1249" s="33">
        <f>IF(H1249="","",ROUND(MAX(0,H1249-8),2))</f>
        <v/>
      </c>
      <c r="J1249" s="33">
        <f>IF(OR(E1249="",F1249=""),"",ROUND(IF(MOD(F1249,1)&gt;=TIME(22,0,0),(MOD(F1249,1)-TIME(22,0,0))*24,IF(MOD(F1249,1)&lt;TIME(6,0,0),(MOD(F1249,1)+1-TIME(22,0,0))*24,0)),2))</f>
        <v/>
      </c>
      <c r="K1249" s="33">
        <f>IF(H1249="","",ROUND(IF(L1249="휴일근로",MIN(H1249,8)*1.5+MAX(0,H1249-8)*2,I1249*1.5)+N(J1249)*0.5,2))</f>
        <v/>
      </c>
      <c r="L1249" s="18" t="n"/>
      <c r="M1249" s="18" t="n"/>
      <c r="N1249" s="22" t="n"/>
    </row>
    <row r="1250">
      <c r="A1250" s="19" t="n"/>
      <c r="B1250" s="25">
        <f>IF(A1250="","",CHOOSE(WEEKDAY(A1250,2),"월","화","수","목","금","토","일"))</f>
        <v/>
      </c>
      <c r="C1250" s="18" t="n"/>
      <c r="D1250" s="25">
        <f>IFERROR(IF(C1250="","",INDEX(직원명부!$B$5:$B$24,MATCH(C1250,직원명부!$A$5:$A$24,0))),"사번 확인")</f>
        <v/>
      </c>
      <c r="E1250" s="34" t="n"/>
      <c r="F1250" s="34" t="n"/>
      <c r="G1250" s="28" t="n"/>
      <c r="H1250" s="33">
        <f>IF(OR(E1250="",F1250=""),"",ROUND(MOD(F1250-E1250,1)*24-N(G1250),2))</f>
        <v/>
      </c>
      <c r="I1250" s="33">
        <f>IF(H1250="","",ROUND(MAX(0,H1250-8),2))</f>
        <v/>
      </c>
      <c r="J1250" s="33">
        <f>IF(OR(E1250="",F1250=""),"",ROUND(IF(MOD(F1250,1)&gt;=TIME(22,0,0),(MOD(F1250,1)-TIME(22,0,0))*24,IF(MOD(F1250,1)&lt;TIME(6,0,0),(MOD(F1250,1)+1-TIME(22,0,0))*24,0)),2))</f>
        <v/>
      </c>
      <c r="K1250" s="33">
        <f>IF(H1250="","",ROUND(IF(L1250="휴일근로",MIN(H1250,8)*1.5+MAX(0,H1250-8)*2,I1250*1.5)+N(J1250)*0.5,2))</f>
        <v/>
      </c>
      <c r="L1250" s="18" t="n"/>
      <c r="M1250" s="18" t="n"/>
      <c r="N1250" s="22" t="n"/>
    </row>
    <row r="1251">
      <c r="A1251" s="19" t="n"/>
      <c r="B1251" s="25">
        <f>IF(A1251="","",CHOOSE(WEEKDAY(A1251,2),"월","화","수","목","금","토","일"))</f>
        <v/>
      </c>
      <c r="C1251" s="18" t="n"/>
      <c r="D1251" s="25">
        <f>IFERROR(IF(C1251="","",INDEX(직원명부!$B$5:$B$24,MATCH(C1251,직원명부!$A$5:$A$24,0))),"사번 확인")</f>
        <v/>
      </c>
      <c r="E1251" s="34" t="n"/>
      <c r="F1251" s="34" t="n"/>
      <c r="G1251" s="28" t="n"/>
      <c r="H1251" s="33">
        <f>IF(OR(E1251="",F1251=""),"",ROUND(MOD(F1251-E1251,1)*24-N(G1251),2))</f>
        <v/>
      </c>
      <c r="I1251" s="33">
        <f>IF(H1251="","",ROUND(MAX(0,H1251-8),2))</f>
        <v/>
      </c>
      <c r="J1251" s="33">
        <f>IF(OR(E1251="",F1251=""),"",ROUND(IF(MOD(F1251,1)&gt;=TIME(22,0,0),(MOD(F1251,1)-TIME(22,0,0))*24,IF(MOD(F1251,1)&lt;TIME(6,0,0),(MOD(F1251,1)+1-TIME(22,0,0))*24,0)),2))</f>
        <v/>
      </c>
      <c r="K1251" s="33">
        <f>IF(H1251="","",ROUND(IF(L1251="휴일근로",MIN(H1251,8)*1.5+MAX(0,H1251-8)*2,I1251*1.5)+N(J1251)*0.5,2))</f>
        <v/>
      </c>
      <c r="L1251" s="18" t="n"/>
      <c r="M1251" s="18" t="n"/>
      <c r="N1251" s="22" t="n"/>
    </row>
    <row r="1252">
      <c r="A1252" s="19" t="n"/>
      <c r="B1252" s="25">
        <f>IF(A1252="","",CHOOSE(WEEKDAY(A1252,2),"월","화","수","목","금","토","일"))</f>
        <v/>
      </c>
      <c r="C1252" s="18" t="n"/>
      <c r="D1252" s="25">
        <f>IFERROR(IF(C1252="","",INDEX(직원명부!$B$5:$B$24,MATCH(C1252,직원명부!$A$5:$A$24,0))),"사번 확인")</f>
        <v/>
      </c>
      <c r="E1252" s="34" t="n"/>
      <c r="F1252" s="34" t="n"/>
      <c r="G1252" s="28" t="n"/>
      <c r="H1252" s="33">
        <f>IF(OR(E1252="",F1252=""),"",ROUND(MOD(F1252-E1252,1)*24-N(G1252),2))</f>
        <v/>
      </c>
      <c r="I1252" s="33">
        <f>IF(H1252="","",ROUND(MAX(0,H1252-8),2))</f>
        <v/>
      </c>
      <c r="J1252" s="33">
        <f>IF(OR(E1252="",F1252=""),"",ROUND(IF(MOD(F1252,1)&gt;=TIME(22,0,0),(MOD(F1252,1)-TIME(22,0,0))*24,IF(MOD(F1252,1)&lt;TIME(6,0,0),(MOD(F1252,1)+1-TIME(22,0,0))*24,0)),2))</f>
        <v/>
      </c>
      <c r="K1252" s="33">
        <f>IF(H1252="","",ROUND(IF(L1252="휴일근로",MIN(H1252,8)*1.5+MAX(0,H1252-8)*2,I1252*1.5)+N(J1252)*0.5,2))</f>
        <v/>
      </c>
      <c r="L1252" s="18" t="n"/>
      <c r="M1252" s="18" t="n"/>
      <c r="N1252" s="22" t="n"/>
    </row>
    <row r="1253">
      <c r="A1253" s="19" t="n"/>
      <c r="B1253" s="25">
        <f>IF(A1253="","",CHOOSE(WEEKDAY(A1253,2),"월","화","수","목","금","토","일"))</f>
        <v/>
      </c>
      <c r="C1253" s="18" t="n"/>
      <c r="D1253" s="25">
        <f>IFERROR(IF(C1253="","",INDEX(직원명부!$B$5:$B$24,MATCH(C1253,직원명부!$A$5:$A$24,0))),"사번 확인")</f>
        <v/>
      </c>
      <c r="E1253" s="34" t="n"/>
      <c r="F1253" s="34" t="n"/>
      <c r="G1253" s="28" t="n"/>
      <c r="H1253" s="33">
        <f>IF(OR(E1253="",F1253=""),"",ROUND(MOD(F1253-E1253,1)*24-N(G1253),2))</f>
        <v/>
      </c>
      <c r="I1253" s="33">
        <f>IF(H1253="","",ROUND(MAX(0,H1253-8),2))</f>
        <v/>
      </c>
      <c r="J1253" s="33">
        <f>IF(OR(E1253="",F1253=""),"",ROUND(IF(MOD(F1253,1)&gt;=TIME(22,0,0),(MOD(F1253,1)-TIME(22,0,0))*24,IF(MOD(F1253,1)&lt;TIME(6,0,0),(MOD(F1253,1)+1-TIME(22,0,0))*24,0)),2))</f>
        <v/>
      </c>
      <c r="K1253" s="33">
        <f>IF(H1253="","",ROUND(IF(L1253="휴일근로",MIN(H1253,8)*1.5+MAX(0,H1253-8)*2,I1253*1.5)+N(J1253)*0.5,2))</f>
        <v/>
      </c>
      <c r="L1253" s="18" t="n"/>
      <c r="M1253" s="18" t="n"/>
      <c r="N1253" s="22" t="n"/>
    </row>
    <row r="1254">
      <c r="A1254" s="19" t="n"/>
      <c r="B1254" s="25">
        <f>IF(A1254="","",CHOOSE(WEEKDAY(A1254,2),"월","화","수","목","금","토","일"))</f>
        <v/>
      </c>
      <c r="C1254" s="18" t="n"/>
      <c r="D1254" s="25">
        <f>IFERROR(IF(C1254="","",INDEX(직원명부!$B$5:$B$24,MATCH(C1254,직원명부!$A$5:$A$24,0))),"사번 확인")</f>
        <v/>
      </c>
      <c r="E1254" s="34" t="n"/>
      <c r="F1254" s="34" t="n"/>
      <c r="G1254" s="28" t="n"/>
      <c r="H1254" s="33">
        <f>IF(OR(E1254="",F1254=""),"",ROUND(MOD(F1254-E1254,1)*24-N(G1254),2))</f>
        <v/>
      </c>
      <c r="I1254" s="33">
        <f>IF(H1254="","",ROUND(MAX(0,H1254-8),2))</f>
        <v/>
      </c>
      <c r="J1254" s="33">
        <f>IF(OR(E1254="",F1254=""),"",ROUND(IF(MOD(F1254,1)&gt;=TIME(22,0,0),(MOD(F1254,1)-TIME(22,0,0))*24,IF(MOD(F1254,1)&lt;TIME(6,0,0),(MOD(F1254,1)+1-TIME(22,0,0))*24,0)),2))</f>
        <v/>
      </c>
      <c r="K1254" s="33">
        <f>IF(H1254="","",ROUND(IF(L1254="휴일근로",MIN(H1254,8)*1.5+MAX(0,H1254-8)*2,I1254*1.5)+N(J1254)*0.5,2))</f>
        <v/>
      </c>
      <c r="L1254" s="18" t="n"/>
      <c r="M1254" s="18" t="n"/>
      <c r="N1254" s="22" t="n"/>
    </row>
    <row r="1255">
      <c r="A1255" s="19" t="n"/>
      <c r="B1255" s="25">
        <f>IF(A1255="","",CHOOSE(WEEKDAY(A1255,2),"월","화","수","목","금","토","일"))</f>
        <v/>
      </c>
      <c r="C1255" s="18" t="n"/>
      <c r="D1255" s="25">
        <f>IFERROR(IF(C1255="","",INDEX(직원명부!$B$5:$B$24,MATCH(C1255,직원명부!$A$5:$A$24,0))),"사번 확인")</f>
        <v/>
      </c>
      <c r="E1255" s="34" t="n"/>
      <c r="F1255" s="34" t="n"/>
      <c r="G1255" s="28" t="n"/>
      <c r="H1255" s="33">
        <f>IF(OR(E1255="",F1255=""),"",ROUND(MOD(F1255-E1255,1)*24-N(G1255),2))</f>
        <v/>
      </c>
      <c r="I1255" s="33">
        <f>IF(H1255="","",ROUND(MAX(0,H1255-8),2))</f>
        <v/>
      </c>
      <c r="J1255" s="33">
        <f>IF(OR(E1255="",F1255=""),"",ROUND(IF(MOD(F1255,1)&gt;=TIME(22,0,0),(MOD(F1255,1)-TIME(22,0,0))*24,IF(MOD(F1255,1)&lt;TIME(6,0,0),(MOD(F1255,1)+1-TIME(22,0,0))*24,0)),2))</f>
        <v/>
      </c>
      <c r="K1255" s="33">
        <f>IF(H1255="","",ROUND(IF(L1255="휴일근로",MIN(H1255,8)*1.5+MAX(0,H1255-8)*2,I1255*1.5)+N(J1255)*0.5,2))</f>
        <v/>
      </c>
      <c r="L1255" s="18" t="n"/>
      <c r="M1255" s="18" t="n"/>
      <c r="N1255" s="22" t="n"/>
    </row>
    <row r="1256">
      <c r="A1256" s="19" t="n"/>
      <c r="B1256" s="25">
        <f>IF(A1256="","",CHOOSE(WEEKDAY(A1256,2),"월","화","수","목","금","토","일"))</f>
        <v/>
      </c>
      <c r="C1256" s="18" t="n"/>
      <c r="D1256" s="25">
        <f>IFERROR(IF(C1256="","",INDEX(직원명부!$B$5:$B$24,MATCH(C1256,직원명부!$A$5:$A$24,0))),"사번 확인")</f>
        <v/>
      </c>
      <c r="E1256" s="34" t="n"/>
      <c r="F1256" s="34" t="n"/>
      <c r="G1256" s="28" t="n"/>
      <c r="H1256" s="33">
        <f>IF(OR(E1256="",F1256=""),"",ROUND(MOD(F1256-E1256,1)*24-N(G1256),2))</f>
        <v/>
      </c>
      <c r="I1256" s="33">
        <f>IF(H1256="","",ROUND(MAX(0,H1256-8),2))</f>
        <v/>
      </c>
      <c r="J1256" s="33">
        <f>IF(OR(E1256="",F1256=""),"",ROUND(IF(MOD(F1256,1)&gt;=TIME(22,0,0),(MOD(F1256,1)-TIME(22,0,0))*24,IF(MOD(F1256,1)&lt;TIME(6,0,0),(MOD(F1256,1)+1-TIME(22,0,0))*24,0)),2))</f>
        <v/>
      </c>
      <c r="K1256" s="33">
        <f>IF(H1256="","",ROUND(IF(L1256="휴일근로",MIN(H1256,8)*1.5+MAX(0,H1256-8)*2,I1256*1.5)+N(J1256)*0.5,2))</f>
        <v/>
      </c>
      <c r="L1256" s="18" t="n"/>
      <c r="M1256" s="18" t="n"/>
      <c r="N1256" s="22" t="n"/>
    </row>
    <row r="1257">
      <c r="A1257" s="19" t="n"/>
      <c r="B1257" s="25">
        <f>IF(A1257="","",CHOOSE(WEEKDAY(A1257,2),"월","화","수","목","금","토","일"))</f>
        <v/>
      </c>
      <c r="C1257" s="18" t="n"/>
      <c r="D1257" s="25">
        <f>IFERROR(IF(C1257="","",INDEX(직원명부!$B$5:$B$24,MATCH(C1257,직원명부!$A$5:$A$24,0))),"사번 확인")</f>
        <v/>
      </c>
      <c r="E1257" s="34" t="n"/>
      <c r="F1257" s="34" t="n"/>
      <c r="G1257" s="28" t="n"/>
      <c r="H1257" s="33">
        <f>IF(OR(E1257="",F1257=""),"",ROUND(MOD(F1257-E1257,1)*24-N(G1257),2))</f>
        <v/>
      </c>
      <c r="I1257" s="33">
        <f>IF(H1257="","",ROUND(MAX(0,H1257-8),2))</f>
        <v/>
      </c>
      <c r="J1257" s="33">
        <f>IF(OR(E1257="",F1257=""),"",ROUND(IF(MOD(F1257,1)&gt;=TIME(22,0,0),(MOD(F1257,1)-TIME(22,0,0))*24,IF(MOD(F1257,1)&lt;TIME(6,0,0),(MOD(F1257,1)+1-TIME(22,0,0))*24,0)),2))</f>
        <v/>
      </c>
      <c r="K1257" s="33">
        <f>IF(H1257="","",ROUND(IF(L1257="휴일근로",MIN(H1257,8)*1.5+MAX(0,H1257-8)*2,I1257*1.5)+N(J1257)*0.5,2))</f>
        <v/>
      </c>
      <c r="L1257" s="18" t="n"/>
      <c r="M1257" s="18" t="n"/>
      <c r="N1257" s="22" t="n"/>
    </row>
    <row r="1258">
      <c r="A1258" s="19" t="n"/>
      <c r="B1258" s="25">
        <f>IF(A1258="","",CHOOSE(WEEKDAY(A1258,2),"월","화","수","목","금","토","일"))</f>
        <v/>
      </c>
      <c r="C1258" s="18" t="n"/>
      <c r="D1258" s="25">
        <f>IFERROR(IF(C1258="","",INDEX(직원명부!$B$5:$B$24,MATCH(C1258,직원명부!$A$5:$A$24,0))),"사번 확인")</f>
        <v/>
      </c>
      <c r="E1258" s="34" t="n"/>
      <c r="F1258" s="34" t="n"/>
      <c r="G1258" s="28" t="n"/>
      <c r="H1258" s="33">
        <f>IF(OR(E1258="",F1258=""),"",ROUND(MOD(F1258-E1258,1)*24-N(G1258),2))</f>
        <v/>
      </c>
      <c r="I1258" s="33">
        <f>IF(H1258="","",ROUND(MAX(0,H1258-8),2))</f>
        <v/>
      </c>
      <c r="J1258" s="33">
        <f>IF(OR(E1258="",F1258=""),"",ROUND(IF(MOD(F1258,1)&gt;=TIME(22,0,0),(MOD(F1258,1)-TIME(22,0,0))*24,IF(MOD(F1258,1)&lt;TIME(6,0,0),(MOD(F1258,1)+1-TIME(22,0,0))*24,0)),2))</f>
        <v/>
      </c>
      <c r="K1258" s="33">
        <f>IF(H1258="","",ROUND(IF(L1258="휴일근로",MIN(H1258,8)*1.5+MAX(0,H1258-8)*2,I1258*1.5)+N(J1258)*0.5,2))</f>
        <v/>
      </c>
      <c r="L1258" s="18" t="n"/>
      <c r="M1258" s="18" t="n"/>
      <c r="N1258" s="22" t="n"/>
    </row>
    <row r="1259">
      <c r="A1259" s="19" t="n"/>
      <c r="B1259" s="25">
        <f>IF(A1259="","",CHOOSE(WEEKDAY(A1259,2),"월","화","수","목","금","토","일"))</f>
        <v/>
      </c>
      <c r="C1259" s="18" t="n"/>
      <c r="D1259" s="25">
        <f>IFERROR(IF(C1259="","",INDEX(직원명부!$B$5:$B$24,MATCH(C1259,직원명부!$A$5:$A$24,0))),"사번 확인")</f>
        <v/>
      </c>
      <c r="E1259" s="34" t="n"/>
      <c r="F1259" s="34" t="n"/>
      <c r="G1259" s="28" t="n"/>
      <c r="H1259" s="33">
        <f>IF(OR(E1259="",F1259=""),"",ROUND(MOD(F1259-E1259,1)*24-N(G1259),2))</f>
        <v/>
      </c>
      <c r="I1259" s="33">
        <f>IF(H1259="","",ROUND(MAX(0,H1259-8),2))</f>
        <v/>
      </c>
      <c r="J1259" s="33">
        <f>IF(OR(E1259="",F1259=""),"",ROUND(IF(MOD(F1259,1)&gt;=TIME(22,0,0),(MOD(F1259,1)-TIME(22,0,0))*24,IF(MOD(F1259,1)&lt;TIME(6,0,0),(MOD(F1259,1)+1-TIME(22,0,0))*24,0)),2))</f>
        <v/>
      </c>
      <c r="K1259" s="33">
        <f>IF(H1259="","",ROUND(IF(L1259="휴일근로",MIN(H1259,8)*1.5+MAX(0,H1259-8)*2,I1259*1.5)+N(J1259)*0.5,2))</f>
        <v/>
      </c>
      <c r="L1259" s="18" t="n"/>
      <c r="M1259" s="18" t="n"/>
      <c r="N1259" s="22" t="n"/>
    </row>
    <row r="1260">
      <c r="A1260" s="19" t="n"/>
      <c r="B1260" s="25">
        <f>IF(A1260="","",CHOOSE(WEEKDAY(A1260,2),"월","화","수","목","금","토","일"))</f>
        <v/>
      </c>
      <c r="C1260" s="18" t="n"/>
      <c r="D1260" s="25">
        <f>IFERROR(IF(C1260="","",INDEX(직원명부!$B$5:$B$24,MATCH(C1260,직원명부!$A$5:$A$24,0))),"사번 확인")</f>
        <v/>
      </c>
      <c r="E1260" s="34" t="n"/>
      <c r="F1260" s="34" t="n"/>
      <c r="G1260" s="28" t="n"/>
      <c r="H1260" s="33">
        <f>IF(OR(E1260="",F1260=""),"",ROUND(MOD(F1260-E1260,1)*24-N(G1260),2))</f>
        <v/>
      </c>
      <c r="I1260" s="33">
        <f>IF(H1260="","",ROUND(MAX(0,H1260-8),2))</f>
        <v/>
      </c>
      <c r="J1260" s="33">
        <f>IF(OR(E1260="",F1260=""),"",ROUND(IF(MOD(F1260,1)&gt;=TIME(22,0,0),(MOD(F1260,1)-TIME(22,0,0))*24,IF(MOD(F1260,1)&lt;TIME(6,0,0),(MOD(F1260,1)+1-TIME(22,0,0))*24,0)),2))</f>
        <v/>
      </c>
      <c r="K1260" s="33">
        <f>IF(H1260="","",ROUND(IF(L1260="휴일근로",MIN(H1260,8)*1.5+MAX(0,H1260-8)*2,I1260*1.5)+N(J1260)*0.5,2))</f>
        <v/>
      </c>
      <c r="L1260" s="18" t="n"/>
      <c r="M1260" s="18" t="n"/>
      <c r="N1260" s="22" t="n"/>
    </row>
    <row r="1261">
      <c r="A1261" s="19" t="n"/>
      <c r="B1261" s="25">
        <f>IF(A1261="","",CHOOSE(WEEKDAY(A1261,2),"월","화","수","목","금","토","일"))</f>
        <v/>
      </c>
      <c r="C1261" s="18" t="n"/>
      <c r="D1261" s="25">
        <f>IFERROR(IF(C1261="","",INDEX(직원명부!$B$5:$B$24,MATCH(C1261,직원명부!$A$5:$A$24,0))),"사번 확인")</f>
        <v/>
      </c>
      <c r="E1261" s="34" t="n"/>
      <c r="F1261" s="34" t="n"/>
      <c r="G1261" s="28" t="n"/>
      <c r="H1261" s="33">
        <f>IF(OR(E1261="",F1261=""),"",ROUND(MOD(F1261-E1261,1)*24-N(G1261),2))</f>
        <v/>
      </c>
      <c r="I1261" s="33">
        <f>IF(H1261="","",ROUND(MAX(0,H1261-8),2))</f>
        <v/>
      </c>
      <c r="J1261" s="33">
        <f>IF(OR(E1261="",F1261=""),"",ROUND(IF(MOD(F1261,1)&gt;=TIME(22,0,0),(MOD(F1261,1)-TIME(22,0,0))*24,IF(MOD(F1261,1)&lt;TIME(6,0,0),(MOD(F1261,1)+1-TIME(22,0,0))*24,0)),2))</f>
        <v/>
      </c>
      <c r="K1261" s="33">
        <f>IF(H1261="","",ROUND(IF(L1261="휴일근로",MIN(H1261,8)*1.5+MAX(0,H1261-8)*2,I1261*1.5)+N(J1261)*0.5,2))</f>
        <v/>
      </c>
      <c r="L1261" s="18" t="n"/>
      <c r="M1261" s="18" t="n"/>
      <c r="N1261" s="22" t="n"/>
    </row>
    <row r="1262">
      <c r="A1262" s="19" t="n"/>
      <c r="B1262" s="25">
        <f>IF(A1262="","",CHOOSE(WEEKDAY(A1262,2),"월","화","수","목","금","토","일"))</f>
        <v/>
      </c>
      <c r="C1262" s="18" t="n"/>
      <c r="D1262" s="25">
        <f>IFERROR(IF(C1262="","",INDEX(직원명부!$B$5:$B$24,MATCH(C1262,직원명부!$A$5:$A$24,0))),"사번 확인")</f>
        <v/>
      </c>
      <c r="E1262" s="34" t="n"/>
      <c r="F1262" s="34" t="n"/>
      <c r="G1262" s="28" t="n"/>
      <c r="H1262" s="33">
        <f>IF(OR(E1262="",F1262=""),"",ROUND(MOD(F1262-E1262,1)*24-N(G1262),2))</f>
        <v/>
      </c>
      <c r="I1262" s="33">
        <f>IF(H1262="","",ROUND(MAX(0,H1262-8),2))</f>
        <v/>
      </c>
      <c r="J1262" s="33">
        <f>IF(OR(E1262="",F1262=""),"",ROUND(IF(MOD(F1262,1)&gt;=TIME(22,0,0),(MOD(F1262,1)-TIME(22,0,0))*24,IF(MOD(F1262,1)&lt;TIME(6,0,0),(MOD(F1262,1)+1-TIME(22,0,0))*24,0)),2))</f>
        <v/>
      </c>
      <c r="K1262" s="33">
        <f>IF(H1262="","",ROUND(IF(L1262="휴일근로",MIN(H1262,8)*1.5+MAX(0,H1262-8)*2,I1262*1.5)+N(J1262)*0.5,2))</f>
        <v/>
      </c>
      <c r="L1262" s="18" t="n"/>
      <c r="M1262" s="18" t="n"/>
      <c r="N1262" s="22" t="n"/>
    </row>
    <row r="1263">
      <c r="A1263" s="19" t="n"/>
      <c r="B1263" s="25">
        <f>IF(A1263="","",CHOOSE(WEEKDAY(A1263,2),"월","화","수","목","금","토","일"))</f>
        <v/>
      </c>
      <c r="C1263" s="18" t="n"/>
      <c r="D1263" s="25">
        <f>IFERROR(IF(C1263="","",INDEX(직원명부!$B$5:$B$24,MATCH(C1263,직원명부!$A$5:$A$24,0))),"사번 확인")</f>
        <v/>
      </c>
      <c r="E1263" s="34" t="n"/>
      <c r="F1263" s="34" t="n"/>
      <c r="G1263" s="28" t="n"/>
      <c r="H1263" s="33">
        <f>IF(OR(E1263="",F1263=""),"",ROUND(MOD(F1263-E1263,1)*24-N(G1263),2))</f>
        <v/>
      </c>
      <c r="I1263" s="33">
        <f>IF(H1263="","",ROUND(MAX(0,H1263-8),2))</f>
        <v/>
      </c>
      <c r="J1263" s="33">
        <f>IF(OR(E1263="",F1263=""),"",ROUND(IF(MOD(F1263,1)&gt;=TIME(22,0,0),(MOD(F1263,1)-TIME(22,0,0))*24,IF(MOD(F1263,1)&lt;TIME(6,0,0),(MOD(F1263,1)+1-TIME(22,0,0))*24,0)),2))</f>
        <v/>
      </c>
      <c r="K1263" s="33">
        <f>IF(H1263="","",ROUND(IF(L1263="휴일근로",MIN(H1263,8)*1.5+MAX(0,H1263-8)*2,I1263*1.5)+N(J1263)*0.5,2))</f>
        <v/>
      </c>
      <c r="L1263" s="18" t="n"/>
      <c r="M1263" s="18" t="n"/>
      <c r="N1263" s="22" t="n"/>
    </row>
    <row r="1264">
      <c r="A1264" s="19" t="n"/>
      <c r="B1264" s="25">
        <f>IF(A1264="","",CHOOSE(WEEKDAY(A1264,2),"월","화","수","목","금","토","일"))</f>
        <v/>
      </c>
      <c r="C1264" s="18" t="n"/>
      <c r="D1264" s="25">
        <f>IFERROR(IF(C1264="","",INDEX(직원명부!$B$5:$B$24,MATCH(C1264,직원명부!$A$5:$A$24,0))),"사번 확인")</f>
        <v/>
      </c>
      <c r="E1264" s="34" t="n"/>
      <c r="F1264" s="34" t="n"/>
      <c r="G1264" s="28" t="n"/>
      <c r="H1264" s="33">
        <f>IF(OR(E1264="",F1264=""),"",ROUND(MOD(F1264-E1264,1)*24-N(G1264),2))</f>
        <v/>
      </c>
      <c r="I1264" s="33">
        <f>IF(H1264="","",ROUND(MAX(0,H1264-8),2))</f>
        <v/>
      </c>
      <c r="J1264" s="33">
        <f>IF(OR(E1264="",F1264=""),"",ROUND(IF(MOD(F1264,1)&gt;=TIME(22,0,0),(MOD(F1264,1)-TIME(22,0,0))*24,IF(MOD(F1264,1)&lt;TIME(6,0,0),(MOD(F1264,1)+1-TIME(22,0,0))*24,0)),2))</f>
        <v/>
      </c>
      <c r="K1264" s="33">
        <f>IF(H1264="","",ROUND(IF(L1264="휴일근로",MIN(H1264,8)*1.5+MAX(0,H1264-8)*2,I1264*1.5)+N(J1264)*0.5,2))</f>
        <v/>
      </c>
      <c r="L1264" s="18" t="n"/>
      <c r="M1264" s="18" t="n"/>
      <c r="N1264" s="22" t="n"/>
    </row>
    <row r="1265">
      <c r="A1265" s="19" t="n"/>
      <c r="B1265" s="25">
        <f>IF(A1265="","",CHOOSE(WEEKDAY(A1265,2),"월","화","수","목","금","토","일"))</f>
        <v/>
      </c>
      <c r="C1265" s="18" t="n"/>
      <c r="D1265" s="25">
        <f>IFERROR(IF(C1265="","",INDEX(직원명부!$B$5:$B$24,MATCH(C1265,직원명부!$A$5:$A$24,0))),"사번 확인")</f>
        <v/>
      </c>
      <c r="E1265" s="34" t="n"/>
      <c r="F1265" s="34" t="n"/>
      <c r="G1265" s="28" t="n"/>
      <c r="H1265" s="33">
        <f>IF(OR(E1265="",F1265=""),"",ROUND(MOD(F1265-E1265,1)*24-N(G1265),2))</f>
        <v/>
      </c>
      <c r="I1265" s="33">
        <f>IF(H1265="","",ROUND(MAX(0,H1265-8),2))</f>
        <v/>
      </c>
      <c r="J1265" s="33">
        <f>IF(OR(E1265="",F1265=""),"",ROUND(IF(MOD(F1265,1)&gt;=TIME(22,0,0),(MOD(F1265,1)-TIME(22,0,0))*24,IF(MOD(F1265,1)&lt;TIME(6,0,0),(MOD(F1265,1)+1-TIME(22,0,0))*24,0)),2))</f>
        <v/>
      </c>
      <c r="K1265" s="33">
        <f>IF(H1265="","",ROUND(IF(L1265="휴일근로",MIN(H1265,8)*1.5+MAX(0,H1265-8)*2,I1265*1.5)+N(J1265)*0.5,2))</f>
        <v/>
      </c>
      <c r="L1265" s="18" t="n"/>
      <c r="M1265" s="18" t="n"/>
      <c r="N1265" s="22" t="n"/>
    </row>
    <row r="1266">
      <c r="A1266" s="19" t="n"/>
      <c r="B1266" s="25">
        <f>IF(A1266="","",CHOOSE(WEEKDAY(A1266,2),"월","화","수","목","금","토","일"))</f>
        <v/>
      </c>
      <c r="C1266" s="18" t="n"/>
      <c r="D1266" s="25">
        <f>IFERROR(IF(C1266="","",INDEX(직원명부!$B$5:$B$24,MATCH(C1266,직원명부!$A$5:$A$24,0))),"사번 확인")</f>
        <v/>
      </c>
      <c r="E1266" s="34" t="n"/>
      <c r="F1266" s="34" t="n"/>
      <c r="G1266" s="28" t="n"/>
      <c r="H1266" s="33">
        <f>IF(OR(E1266="",F1266=""),"",ROUND(MOD(F1266-E1266,1)*24-N(G1266),2))</f>
        <v/>
      </c>
      <c r="I1266" s="33">
        <f>IF(H1266="","",ROUND(MAX(0,H1266-8),2))</f>
        <v/>
      </c>
      <c r="J1266" s="33">
        <f>IF(OR(E1266="",F1266=""),"",ROUND(IF(MOD(F1266,1)&gt;=TIME(22,0,0),(MOD(F1266,1)-TIME(22,0,0))*24,IF(MOD(F1266,1)&lt;TIME(6,0,0),(MOD(F1266,1)+1-TIME(22,0,0))*24,0)),2))</f>
        <v/>
      </c>
      <c r="K1266" s="33">
        <f>IF(H1266="","",ROUND(IF(L1266="휴일근로",MIN(H1266,8)*1.5+MAX(0,H1266-8)*2,I1266*1.5)+N(J1266)*0.5,2))</f>
        <v/>
      </c>
      <c r="L1266" s="18" t="n"/>
      <c r="M1266" s="18" t="n"/>
      <c r="N1266" s="22" t="n"/>
    </row>
    <row r="1267">
      <c r="A1267" s="19" t="n"/>
      <c r="B1267" s="25">
        <f>IF(A1267="","",CHOOSE(WEEKDAY(A1267,2),"월","화","수","목","금","토","일"))</f>
        <v/>
      </c>
      <c r="C1267" s="18" t="n"/>
      <c r="D1267" s="25">
        <f>IFERROR(IF(C1267="","",INDEX(직원명부!$B$5:$B$24,MATCH(C1267,직원명부!$A$5:$A$24,0))),"사번 확인")</f>
        <v/>
      </c>
      <c r="E1267" s="34" t="n"/>
      <c r="F1267" s="34" t="n"/>
      <c r="G1267" s="28" t="n"/>
      <c r="H1267" s="33">
        <f>IF(OR(E1267="",F1267=""),"",ROUND(MOD(F1267-E1267,1)*24-N(G1267),2))</f>
        <v/>
      </c>
      <c r="I1267" s="33">
        <f>IF(H1267="","",ROUND(MAX(0,H1267-8),2))</f>
        <v/>
      </c>
      <c r="J1267" s="33">
        <f>IF(OR(E1267="",F1267=""),"",ROUND(IF(MOD(F1267,1)&gt;=TIME(22,0,0),(MOD(F1267,1)-TIME(22,0,0))*24,IF(MOD(F1267,1)&lt;TIME(6,0,0),(MOD(F1267,1)+1-TIME(22,0,0))*24,0)),2))</f>
        <v/>
      </c>
      <c r="K1267" s="33">
        <f>IF(H1267="","",ROUND(IF(L1267="휴일근로",MIN(H1267,8)*1.5+MAX(0,H1267-8)*2,I1267*1.5)+N(J1267)*0.5,2))</f>
        <v/>
      </c>
      <c r="L1267" s="18" t="n"/>
      <c r="M1267" s="18" t="n"/>
      <c r="N1267" s="22" t="n"/>
    </row>
    <row r="1268">
      <c r="A1268" s="19" t="n"/>
      <c r="B1268" s="25">
        <f>IF(A1268="","",CHOOSE(WEEKDAY(A1268,2),"월","화","수","목","금","토","일"))</f>
        <v/>
      </c>
      <c r="C1268" s="18" t="n"/>
      <c r="D1268" s="25">
        <f>IFERROR(IF(C1268="","",INDEX(직원명부!$B$5:$B$24,MATCH(C1268,직원명부!$A$5:$A$24,0))),"사번 확인")</f>
        <v/>
      </c>
      <c r="E1268" s="34" t="n"/>
      <c r="F1268" s="34" t="n"/>
      <c r="G1268" s="28" t="n"/>
      <c r="H1268" s="33">
        <f>IF(OR(E1268="",F1268=""),"",ROUND(MOD(F1268-E1268,1)*24-N(G1268),2))</f>
        <v/>
      </c>
      <c r="I1268" s="33">
        <f>IF(H1268="","",ROUND(MAX(0,H1268-8),2))</f>
        <v/>
      </c>
      <c r="J1268" s="33">
        <f>IF(OR(E1268="",F1268=""),"",ROUND(IF(MOD(F1268,1)&gt;=TIME(22,0,0),(MOD(F1268,1)-TIME(22,0,0))*24,IF(MOD(F1268,1)&lt;TIME(6,0,0),(MOD(F1268,1)+1-TIME(22,0,0))*24,0)),2))</f>
        <v/>
      </c>
      <c r="K1268" s="33">
        <f>IF(H1268="","",ROUND(IF(L1268="휴일근로",MIN(H1268,8)*1.5+MAX(0,H1268-8)*2,I1268*1.5)+N(J1268)*0.5,2))</f>
        <v/>
      </c>
      <c r="L1268" s="18" t="n"/>
      <c r="M1268" s="18" t="n"/>
      <c r="N1268" s="22" t="n"/>
    </row>
    <row r="1269">
      <c r="A1269" s="19" t="n"/>
      <c r="B1269" s="25">
        <f>IF(A1269="","",CHOOSE(WEEKDAY(A1269,2),"월","화","수","목","금","토","일"))</f>
        <v/>
      </c>
      <c r="C1269" s="18" t="n"/>
      <c r="D1269" s="25">
        <f>IFERROR(IF(C1269="","",INDEX(직원명부!$B$5:$B$24,MATCH(C1269,직원명부!$A$5:$A$24,0))),"사번 확인")</f>
        <v/>
      </c>
      <c r="E1269" s="34" t="n"/>
      <c r="F1269" s="34" t="n"/>
      <c r="G1269" s="28" t="n"/>
      <c r="H1269" s="33">
        <f>IF(OR(E1269="",F1269=""),"",ROUND(MOD(F1269-E1269,1)*24-N(G1269),2))</f>
        <v/>
      </c>
      <c r="I1269" s="33">
        <f>IF(H1269="","",ROUND(MAX(0,H1269-8),2))</f>
        <v/>
      </c>
      <c r="J1269" s="33">
        <f>IF(OR(E1269="",F1269=""),"",ROUND(IF(MOD(F1269,1)&gt;=TIME(22,0,0),(MOD(F1269,1)-TIME(22,0,0))*24,IF(MOD(F1269,1)&lt;TIME(6,0,0),(MOD(F1269,1)+1-TIME(22,0,0))*24,0)),2))</f>
        <v/>
      </c>
      <c r="K1269" s="33">
        <f>IF(H1269="","",ROUND(IF(L1269="휴일근로",MIN(H1269,8)*1.5+MAX(0,H1269-8)*2,I1269*1.5)+N(J1269)*0.5,2))</f>
        <v/>
      </c>
      <c r="L1269" s="18" t="n"/>
      <c r="M1269" s="18" t="n"/>
      <c r="N1269" s="22" t="n"/>
    </row>
    <row r="1270">
      <c r="A1270" s="19" t="n"/>
      <c r="B1270" s="25">
        <f>IF(A1270="","",CHOOSE(WEEKDAY(A1270,2),"월","화","수","목","금","토","일"))</f>
        <v/>
      </c>
      <c r="C1270" s="18" t="n"/>
      <c r="D1270" s="25">
        <f>IFERROR(IF(C1270="","",INDEX(직원명부!$B$5:$B$24,MATCH(C1270,직원명부!$A$5:$A$24,0))),"사번 확인")</f>
        <v/>
      </c>
      <c r="E1270" s="34" t="n"/>
      <c r="F1270" s="34" t="n"/>
      <c r="G1270" s="28" t="n"/>
      <c r="H1270" s="33">
        <f>IF(OR(E1270="",F1270=""),"",ROUND(MOD(F1270-E1270,1)*24-N(G1270),2))</f>
        <v/>
      </c>
      <c r="I1270" s="33">
        <f>IF(H1270="","",ROUND(MAX(0,H1270-8),2))</f>
        <v/>
      </c>
      <c r="J1270" s="33">
        <f>IF(OR(E1270="",F1270=""),"",ROUND(IF(MOD(F1270,1)&gt;=TIME(22,0,0),(MOD(F1270,1)-TIME(22,0,0))*24,IF(MOD(F1270,1)&lt;TIME(6,0,0),(MOD(F1270,1)+1-TIME(22,0,0))*24,0)),2))</f>
        <v/>
      </c>
      <c r="K1270" s="33">
        <f>IF(H1270="","",ROUND(IF(L1270="휴일근로",MIN(H1270,8)*1.5+MAX(0,H1270-8)*2,I1270*1.5)+N(J1270)*0.5,2))</f>
        <v/>
      </c>
      <c r="L1270" s="18" t="n"/>
      <c r="M1270" s="18" t="n"/>
      <c r="N1270" s="22" t="n"/>
    </row>
    <row r="1271">
      <c r="A1271" s="19" t="n"/>
      <c r="B1271" s="25">
        <f>IF(A1271="","",CHOOSE(WEEKDAY(A1271,2),"월","화","수","목","금","토","일"))</f>
        <v/>
      </c>
      <c r="C1271" s="18" t="n"/>
      <c r="D1271" s="25">
        <f>IFERROR(IF(C1271="","",INDEX(직원명부!$B$5:$B$24,MATCH(C1271,직원명부!$A$5:$A$24,0))),"사번 확인")</f>
        <v/>
      </c>
      <c r="E1271" s="34" t="n"/>
      <c r="F1271" s="34" t="n"/>
      <c r="G1271" s="28" t="n"/>
      <c r="H1271" s="33">
        <f>IF(OR(E1271="",F1271=""),"",ROUND(MOD(F1271-E1271,1)*24-N(G1271),2))</f>
        <v/>
      </c>
      <c r="I1271" s="33">
        <f>IF(H1271="","",ROUND(MAX(0,H1271-8),2))</f>
        <v/>
      </c>
      <c r="J1271" s="33">
        <f>IF(OR(E1271="",F1271=""),"",ROUND(IF(MOD(F1271,1)&gt;=TIME(22,0,0),(MOD(F1271,1)-TIME(22,0,0))*24,IF(MOD(F1271,1)&lt;TIME(6,0,0),(MOD(F1271,1)+1-TIME(22,0,0))*24,0)),2))</f>
        <v/>
      </c>
      <c r="K1271" s="33">
        <f>IF(H1271="","",ROUND(IF(L1271="휴일근로",MIN(H1271,8)*1.5+MAX(0,H1271-8)*2,I1271*1.5)+N(J1271)*0.5,2))</f>
        <v/>
      </c>
      <c r="L1271" s="18" t="n"/>
      <c r="M1271" s="18" t="n"/>
      <c r="N1271" s="22" t="n"/>
    </row>
    <row r="1272">
      <c r="A1272" s="19" t="n"/>
      <c r="B1272" s="25">
        <f>IF(A1272="","",CHOOSE(WEEKDAY(A1272,2),"월","화","수","목","금","토","일"))</f>
        <v/>
      </c>
      <c r="C1272" s="18" t="n"/>
      <c r="D1272" s="25">
        <f>IFERROR(IF(C1272="","",INDEX(직원명부!$B$5:$B$24,MATCH(C1272,직원명부!$A$5:$A$24,0))),"사번 확인")</f>
        <v/>
      </c>
      <c r="E1272" s="34" t="n"/>
      <c r="F1272" s="34" t="n"/>
      <c r="G1272" s="28" t="n"/>
      <c r="H1272" s="33">
        <f>IF(OR(E1272="",F1272=""),"",ROUND(MOD(F1272-E1272,1)*24-N(G1272),2))</f>
        <v/>
      </c>
      <c r="I1272" s="33">
        <f>IF(H1272="","",ROUND(MAX(0,H1272-8),2))</f>
        <v/>
      </c>
      <c r="J1272" s="33">
        <f>IF(OR(E1272="",F1272=""),"",ROUND(IF(MOD(F1272,1)&gt;=TIME(22,0,0),(MOD(F1272,1)-TIME(22,0,0))*24,IF(MOD(F1272,1)&lt;TIME(6,0,0),(MOD(F1272,1)+1-TIME(22,0,0))*24,0)),2))</f>
        <v/>
      </c>
      <c r="K1272" s="33">
        <f>IF(H1272="","",ROUND(IF(L1272="휴일근로",MIN(H1272,8)*1.5+MAX(0,H1272-8)*2,I1272*1.5)+N(J1272)*0.5,2))</f>
        <v/>
      </c>
      <c r="L1272" s="18" t="n"/>
      <c r="M1272" s="18" t="n"/>
      <c r="N1272" s="22" t="n"/>
    </row>
    <row r="1273">
      <c r="A1273" s="19" t="n"/>
      <c r="B1273" s="25">
        <f>IF(A1273="","",CHOOSE(WEEKDAY(A1273,2),"월","화","수","목","금","토","일"))</f>
        <v/>
      </c>
      <c r="C1273" s="18" t="n"/>
      <c r="D1273" s="25">
        <f>IFERROR(IF(C1273="","",INDEX(직원명부!$B$5:$B$24,MATCH(C1273,직원명부!$A$5:$A$24,0))),"사번 확인")</f>
        <v/>
      </c>
      <c r="E1273" s="34" t="n"/>
      <c r="F1273" s="34" t="n"/>
      <c r="G1273" s="28" t="n"/>
      <c r="H1273" s="33">
        <f>IF(OR(E1273="",F1273=""),"",ROUND(MOD(F1273-E1273,1)*24-N(G1273),2))</f>
        <v/>
      </c>
      <c r="I1273" s="33">
        <f>IF(H1273="","",ROUND(MAX(0,H1273-8),2))</f>
        <v/>
      </c>
      <c r="J1273" s="33">
        <f>IF(OR(E1273="",F1273=""),"",ROUND(IF(MOD(F1273,1)&gt;=TIME(22,0,0),(MOD(F1273,1)-TIME(22,0,0))*24,IF(MOD(F1273,1)&lt;TIME(6,0,0),(MOD(F1273,1)+1-TIME(22,0,0))*24,0)),2))</f>
        <v/>
      </c>
      <c r="K1273" s="33">
        <f>IF(H1273="","",ROUND(IF(L1273="휴일근로",MIN(H1273,8)*1.5+MAX(0,H1273-8)*2,I1273*1.5)+N(J1273)*0.5,2))</f>
        <v/>
      </c>
      <c r="L1273" s="18" t="n"/>
      <c r="M1273" s="18" t="n"/>
      <c r="N1273" s="22" t="n"/>
    </row>
    <row r="1274">
      <c r="A1274" s="19" t="n"/>
      <c r="B1274" s="25">
        <f>IF(A1274="","",CHOOSE(WEEKDAY(A1274,2),"월","화","수","목","금","토","일"))</f>
        <v/>
      </c>
      <c r="C1274" s="18" t="n"/>
      <c r="D1274" s="25">
        <f>IFERROR(IF(C1274="","",INDEX(직원명부!$B$5:$B$24,MATCH(C1274,직원명부!$A$5:$A$24,0))),"사번 확인")</f>
        <v/>
      </c>
      <c r="E1274" s="34" t="n"/>
      <c r="F1274" s="34" t="n"/>
      <c r="G1274" s="28" t="n"/>
      <c r="H1274" s="33">
        <f>IF(OR(E1274="",F1274=""),"",ROUND(MOD(F1274-E1274,1)*24-N(G1274),2))</f>
        <v/>
      </c>
      <c r="I1274" s="33">
        <f>IF(H1274="","",ROUND(MAX(0,H1274-8),2))</f>
        <v/>
      </c>
      <c r="J1274" s="33">
        <f>IF(OR(E1274="",F1274=""),"",ROUND(IF(MOD(F1274,1)&gt;=TIME(22,0,0),(MOD(F1274,1)-TIME(22,0,0))*24,IF(MOD(F1274,1)&lt;TIME(6,0,0),(MOD(F1274,1)+1-TIME(22,0,0))*24,0)),2))</f>
        <v/>
      </c>
      <c r="K1274" s="33">
        <f>IF(H1274="","",ROUND(IF(L1274="휴일근로",MIN(H1274,8)*1.5+MAX(0,H1274-8)*2,I1274*1.5)+N(J1274)*0.5,2))</f>
        <v/>
      </c>
      <c r="L1274" s="18" t="n"/>
      <c r="M1274" s="18" t="n"/>
      <c r="N1274" s="22" t="n"/>
    </row>
    <row r="1275">
      <c r="A1275" s="19" t="n"/>
      <c r="B1275" s="25">
        <f>IF(A1275="","",CHOOSE(WEEKDAY(A1275,2),"월","화","수","목","금","토","일"))</f>
        <v/>
      </c>
      <c r="C1275" s="18" t="n"/>
      <c r="D1275" s="25">
        <f>IFERROR(IF(C1275="","",INDEX(직원명부!$B$5:$B$24,MATCH(C1275,직원명부!$A$5:$A$24,0))),"사번 확인")</f>
        <v/>
      </c>
      <c r="E1275" s="34" t="n"/>
      <c r="F1275" s="34" t="n"/>
      <c r="G1275" s="28" t="n"/>
      <c r="H1275" s="33">
        <f>IF(OR(E1275="",F1275=""),"",ROUND(MOD(F1275-E1275,1)*24-N(G1275),2))</f>
        <v/>
      </c>
      <c r="I1275" s="33">
        <f>IF(H1275="","",ROUND(MAX(0,H1275-8),2))</f>
        <v/>
      </c>
      <c r="J1275" s="33">
        <f>IF(OR(E1275="",F1275=""),"",ROUND(IF(MOD(F1275,1)&gt;=TIME(22,0,0),(MOD(F1275,1)-TIME(22,0,0))*24,IF(MOD(F1275,1)&lt;TIME(6,0,0),(MOD(F1275,1)+1-TIME(22,0,0))*24,0)),2))</f>
        <v/>
      </c>
      <c r="K1275" s="33">
        <f>IF(H1275="","",ROUND(IF(L1275="휴일근로",MIN(H1275,8)*1.5+MAX(0,H1275-8)*2,I1275*1.5)+N(J1275)*0.5,2))</f>
        <v/>
      </c>
      <c r="L1275" s="18" t="n"/>
      <c r="M1275" s="18" t="n"/>
      <c r="N1275" s="22" t="n"/>
    </row>
    <row r="1276">
      <c r="A1276" s="19" t="n"/>
      <c r="B1276" s="25">
        <f>IF(A1276="","",CHOOSE(WEEKDAY(A1276,2),"월","화","수","목","금","토","일"))</f>
        <v/>
      </c>
      <c r="C1276" s="18" t="n"/>
      <c r="D1276" s="25">
        <f>IFERROR(IF(C1276="","",INDEX(직원명부!$B$5:$B$24,MATCH(C1276,직원명부!$A$5:$A$24,0))),"사번 확인")</f>
        <v/>
      </c>
      <c r="E1276" s="34" t="n"/>
      <c r="F1276" s="34" t="n"/>
      <c r="G1276" s="28" t="n"/>
      <c r="H1276" s="33">
        <f>IF(OR(E1276="",F1276=""),"",ROUND(MOD(F1276-E1276,1)*24-N(G1276),2))</f>
        <v/>
      </c>
      <c r="I1276" s="33">
        <f>IF(H1276="","",ROUND(MAX(0,H1276-8),2))</f>
        <v/>
      </c>
      <c r="J1276" s="33">
        <f>IF(OR(E1276="",F1276=""),"",ROUND(IF(MOD(F1276,1)&gt;=TIME(22,0,0),(MOD(F1276,1)-TIME(22,0,0))*24,IF(MOD(F1276,1)&lt;TIME(6,0,0),(MOD(F1276,1)+1-TIME(22,0,0))*24,0)),2))</f>
        <v/>
      </c>
      <c r="K1276" s="33">
        <f>IF(H1276="","",ROUND(IF(L1276="휴일근로",MIN(H1276,8)*1.5+MAX(0,H1276-8)*2,I1276*1.5)+N(J1276)*0.5,2))</f>
        <v/>
      </c>
      <c r="L1276" s="18" t="n"/>
      <c r="M1276" s="18" t="n"/>
      <c r="N1276" s="22" t="n"/>
    </row>
    <row r="1277">
      <c r="A1277" s="19" t="n"/>
      <c r="B1277" s="25">
        <f>IF(A1277="","",CHOOSE(WEEKDAY(A1277,2),"월","화","수","목","금","토","일"))</f>
        <v/>
      </c>
      <c r="C1277" s="18" t="n"/>
      <c r="D1277" s="25">
        <f>IFERROR(IF(C1277="","",INDEX(직원명부!$B$5:$B$24,MATCH(C1277,직원명부!$A$5:$A$24,0))),"사번 확인")</f>
        <v/>
      </c>
      <c r="E1277" s="34" t="n"/>
      <c r="F1277" s="34" t="n"/>
      <c r="G1277" s="28" t="n"/>
      <c r="H1277" s="33">
        <f>IF(OR(E1277="",F1277=""),"",ROUND(MOD(F1277-E1277,1)*24-N(G1277),2))</f>
        <v/>
      </c>
      <c r="I1277" s="33">
        <f>IF(H1277="","",ROUND(MAX(0,H1277-8),2))</f>
        <v/>
      </c>
      <c r="J1277" s="33">
        <f>IF(OR(E1277="",F1277=""),"",ROUND(IF(MOD(F1277,1)&gt;=TIME(22,0,0),(MOD(F1277,1)-TIME(22,0,0))*24,IF(MOD(F1277,1)&lt;TIME(6,0,0),(MOD(F1277,1)+1-TIME(22,0,0))*24,0)),2))</f>
        <v/>
      </c>
      <c r="K1277" s="33">
        <f>IF(H1277="","",ROUND(IF(L1277="휴일근로",MIN(H1277,8)*1.5+MAX(0,H1277-8)*2,I1277*1.5)+N(J1277)*0.5,2))</f>
        <v/>
      </c>
      <c r="L1277" s="18" t="n"/>
      <c r="M1277" s="18" t="n"/>
      <c r="N1277" s="22" t="n"/>
    </row>
    <row r="1278">
      <c r="A1278" s="19" t="n"/>
      <c r="B1278" s="25">
        <f>IF(A1278="","",CHOOSE(WEEKDAY(A1278,2),"월","화","수","목","금","토","일"))</f>
        <v/>
      </c>
      <c r="C1278" s="18" t="n"/>
      <c r="D1278" s="25">
        <f>IFERROR(IF(C1278="","",INDEX(직원명부!$B$5:$B$24,MATCH(C1278,직원명부!$A$5:$A$24,0))),"사번 확인")</f>
        <v/>
      </c>
      <c r="E1278" s="34" t="n"/>
      <c r="F1278" s="34" t="n"/>
      <c r="G1278" s="28" t="n"/>
      <c r="H1278" s="33">
        <f>IF(OR(E1278="",F1278=""),"",ROUND(MOD(F1278-E1278,1)*24-N(G1278),2))</f>
        <v/>
      </c>
      <c r="I1278" s="33">
        <f>IF(H1278="","",ROUND(MAX(0,H1278-8),2))</f>
        <v/>
      </c>
      <c r="J1278" s="33">
        <f>IF(OR(E1278="",F1278=""),"",ROUND(IF(MOD(F1278,1)&gt;=TIME(22,0,0),(MOD(F1278,1)-TIME(22,0,0))*24,IF(MOD(F1278,1)&lt;TIME(6,0,0),(MOD(F1278,1)+1-TIME(22,0,0))*24,0)),2))</f>
        <v/>
      </c>
      <c r="K1278" s="33">
        <f>IF(H1278="","",ROUND(IF(L1278="휴일근로",MIN(H1278,8)*1.5+MAX(0,H1278-8)*2,I1278*1.5)+N(J1278)*0.5,2))</f>
        <v/>
      </c>
      <c r="L1278" s="18" t="n"/>
      <c r="M1278" s="18" t="n"/>
      <c r="N1278" s="22" t="n"/>
    </row>
    <row r="1279">
      <c r="A1279" s="19" t="n"/>
      <c r="B1279" s="25">
        <f>IF(A1279="","",CHOOSE(WEEKDAY(A1279,2),"월","화","수","목","금","토","일"))</f>
        <v/>
      </c>
      <c r="C1279" s="18" t="n"/>
      <c r="D1279" s="25">
        <f>IFERROR(IF(C1279="","",INDEX(직원명부!$B$5:$B$24,MATCH(C1279,직원명부!$A$5:$A$24,0))),"사번 확인")</f>
        <v/>
      </c>
      <c r="E1279" s="34" t="n"/>
      <c r="F1279" s="34" t="n"/>
      <c r="G1279" s="28" t="n"/>
      <c r="H1279" s="33">
        <f>IF(OR(E1279="",F1279=""),"",ROUND(MOD(F1279-E1279,1)*24-N(G1279),2))</f>
        <v/>
      </c>
      <c r="I1279" s="33">
        <f>IF(H1279="","",ROUND(MAX(0,H1279-8),2))</f>
        <v/>
      </c>
      <c r="J1279" s="33">
        <f>IF(OR(E1279="",F1279=""),"",ROUND(IF(MOD(F1279,1)&gt;=TIME(22,0,0),(MOD(F1279,1)-TIME(22,0,0))*24,IF(MOD(F1279,1)&lt;TIME(6,0,0),(MOD(F1279,1)+1-TIME(22,0,0))*24,0)),2))</f>
        <v/>
      </c>
      <c r="K1279" s="33">
        <f>IF(H1279="","",ROUND(IF(L1279="휴일근로",MIN(H1279,8)*1.5+MAX(0,H1279-8)*2,I1279*1.5)+N(J1279)*0.5,2))</f>
        <v/>
      </c>
      <c r="L1279" s="18" t="n"/>
      <c r="M1279" s="18" t="n"/>
      <c r="N1279" s="22" t="n"/>
    </row>
    <row r="1280">
      <c r="A1280" s="19" t="n"/>
      <c r="B1280" s="25">
        <f>IF(A1280="","",CHOOSE(WEEKDAY(A1280,2),"월","화","수","목","금","토","일"))</f>
        <v/>
      </c>
      <c r="C1280" s="18" t="n"/>
      <c r="D1280" s="25">
        <f>IFERROR(IF(C1280="","",INDEX(직원명부!$B$5:$B$24,MATCH(C1280,직원명부!$A$5:$A$24,0))),"사번 확인")</f>
        <v/>
      </c>
      <c r="E1280" s="34" t="n"/>
      <c r="F1280" s="34" t="n"/>
      <c r="G1280" s="28" t="n"/>
      <c r="H1280" s="33">
        <f>IF(OR(E1280="",F1280=""),"",ROUND(MOD(F1280-E1280,1)*24-N(G1280),2))</f>
        <v/>
      </c>
      <c r="I1280" s="33">
        <f>IF(H1280="","",ROUND(MAX(0,H1280-8),2))</f>
        <v/>
      </c>
      <c r="J1280" s="33">
        <f>IF(OR(E1280="",F1280=""),"",ROUND(IF(MOD(F1280,1)&gt;=TIME(22,0,0),(MOD(F1280,1)-TIME(22,0,0))*24,IF(MOD(F1280,1)&lt;TIME(6,0,0),(MOD(F1280,1)+1-TIME(22,0,0))*24,0)),2))</f>
        <v/>
      </c>
      <c r="K1280" s="33">
        <f>IF(H1280="","",ROUND(IF(L1280="휴일근로",MIN(H1280,8)*1.5+MAX(0,H1280-8)*2,I1280*1.5)+N(J1280)*0.5,2))</f>
        <v/>
      </c>
      <c r="L1280" s="18" t="n"/>
      <c r="M1280" s="18" t="n"/>
      <c r="N1280" s="22" t="n"/>
    </row>
    <row r="1281">
      <c r="A1281" s="19" t="n"/>
      <c r="B1281" s="25">
        <f>IF(A1281="","",CHOOSE(WEEKDAY(A1281,2),"월","화","수","목","금","토","일"))</f>
        <v/>
      </c>
      <c r="C1281" s="18" t="n"/>
      <c r="D1281" s="25">
        <f>IFERROR(IF(C1281="","",INDEX(직원명부!$B$5:$B$24,MATCH(C1281,직원명부!$A$5:$A$24,0))),"사번 확인")</f>
        <v/>
      </c>
      <c r="E1281" s="34" t="n"/>
      <c r="F1281" s="34" t="n"/>
      <c r="G1281" s="28" t="n"/>
      <c r="H1281" s="33">
        <f>IF(OR(E1281="",F1281=""),"",ROUND(MOD(F1281-E1281,1)*24-N(G1281),2))</f>
        <v/>
      </c>
      <c r="I1281" s="33">
        <f>IF(H1281="","",ROUND(MAX(0,H1281-8),2))</f>
        <v/>
      </c>
      <c r="J1281" s="33">
        <f>IF(OR(E1281="",F1281=""),"",ROUND(IF(MOD(F1281,1)&gt;=TIME(22,0,0),(MOD(F1281,1)-TIME(22,0,0))*24,IF(MOD(F1281,1)&lt;TIME(6,0,0),(MOD(F1281,1)+1-TIME(22,0,0))*24,0)),2))</f>
        <v/>
      </c>
      <c r="K1281" s="33">
        <f>IF(H1281="","",ROUND(IF(L1281="휴일근로",MIN(H1281,8)*1.5+MAX(0,H1281-8)*2,I1281*1.5)+N(J1281)*0.5,2))</f>
        <v/>
      </c>
      <c r="L1281" s="18" t="n"/>
      <c r="M1281" s="18" t="n"/>
      <c r="N1281" s="22" t="n"/>
    </row>
    <row r="1282">
      <c r="A1282" s="19" t="n"/>
      <c r="B1282" s="25">
        <f>IF(A1282="","",CHOOSE(WEEKDAY(A1282,2),"월","화","수","목","금","토","일"))</f>
        <v/>
      </c>
      <c r="C1282" s="18" t="n"/>
      <c r="D1282" s="25">
        <f>IFERROR(IF(C1282="","",INDEX(직원명부!$B$5:$B$24,MATCH(C1282,직원명부!$A$5:$A$24,0))),"사번 확인")</f>
        <v/>
      </c>
      <c r="E1282" s="34" t="n"/>
      <c r="F1282" s="34" t="n"/>
      <c r="G1282" s="28" t="n"/>
      <c r="H1282" s="33">
        <f>IF(OR(E1282="",F1282=""),"",ROUND(MOD(F1282-E1282,1)*24-N(G1282),2))</f>
        <v/>
      </c>
      <c r="I1282" s="33">
        <f>IF(H1282="","",ROUND(MAX(0,H1282-8),2))</f>
        <v/>
      </c>
      <c r="J1282" s="33">
        <f>IF(OR(E1282="",F1282=""),"",ROUND(IF(MOD(F1282,1)&gt;=TIME(22,0,0),(MOD(F1282,1)-TIME(22,0,0))*24,IF(MOD(F1282,1)&lt;TIME(6,0,0),(MOD(F1282,1)+1-TIME(22,0,0))*24,0)),2))</f>
        <v/>
      </c>
      <c r="K1282" s="33">
        <f>IF(H1282="","",ROUND(IF(L1282="휴일근로",MIN(H1282,8)*1.5+MAX(0,H1282-8)*2,I1282*1.5)+N(J1282)*0.5,2))</f>
        <v/>
      </c>
      <c r="L1282" s="18" t="n"/>
      <c r="M1282" s="18" t="n"/>
      <c r="N1282" s="22" t="n"/>
    </row>
    <row r="1283">
      <c r="A1283" s="19" t="n"/>
      <c r="B1283" s="25">
        <f>IF(A1283="","",CHOOSE(WEEKDAY(A1283,2),"월","화","수","목","금","토","일"))</f>
        <v/>
      </c>
      <c r="C1283" s="18" t="n"/>
      <c r="D1283" s="25">
        <f>IFERROR(IF(C1283="","",INDEX(직원명부!$B$5:$B$24,MATCH(C1283,직원명부!$A$5:$A$24,0))),"사번 확인")</f>
        <v/>
      </c>
      <c r="E1283" s="34" t="n"/>
      <c r="F1283" s="34" t="n"/>
      <c r="G1283" s="28" t="n"/>
      <c r="H1283" s="33">
        <f>IF(OR(E1283="",F1283=""),"",ROUND(MOD(F1283-E1283,1)*24-N(G1283),2))</f>
        <v/>
      </c>
      <c r="I1283" s="33">
        <f>IF(H1283="","",ROUND(MAX(0,H1283-8),2))</f>
        <v/>
      </c>
      <c r="J1283" s="33">
        <f>IF(OR(E1283="",F1283=""),"",ROUND(IF(MOD(F1283,1)&gt;=TIME(22,0,0),(MOD(F1283,1)-TIME(22,0,0))*24,IF(MOD(F1283,1)&lt;TIME(6,0,0),(MOD(F1283,1)+1-TIME(22,0,0))*24,0)),2))</f>
        <v/>
      </c>
      <c r="K1283" s="33">
        <f>IF(H1283="","",ROUND(IF(L1283="휴일근로",MIN(H1283,8)*1.5+MAX(0,H1283-8)*2,I1283*1.5)+N(J1283)*0.5,2))</f>
        <v/>
      </c>
      <c r="L1283" s="18" t="n"/>
      <c r="M1283" s="18" t="n"/>
      <c r="N1283" s="22" t="n"/>
    </row>
    <row r="1284">
      <c r="A1284" s="19" t="n"/>
      <c r="B1284" s="25">
        <f>IF(A1284="","",CHOOSE(WEEKDAY(A1284,2),"월","화","수","목","금","토","일"))</f>
        <v/>
      </c>
      <c r="C1284" s="18" t="n"/>
      <c r="D1284" s="25">
        <f>IFERROR(IF(C1284="","",INDEX(직원명부!$B$5:$B$24,MATCH(C1284,직원명부!$A$5:$A$24,0))),"사번 확인")</f>
        <v/>
      </c>
      <c r="E1284" s="34" t="n"/>
      <c r="F1284" s="34" t="n"/>
      <c r="G1284" s="28" t="n"/>
      <c r="H1284" s="33">
        <f>IF(OR(E1284="",F1284=""),"",ROUND(MOD(F1284-E1284,1)*24-N(G1284),2))</f>
        <v/>
      </c>
      <c r="I1284" s="33">
        <f>IF(H1284="","",ROUND(MAX(0,H1284-8),2))</f>
        <v/>
      </c>
      <c r="J1284" s="33">
        <f>IF(OR(E1284="",F1284=""),"",ROUND(IF(MOD(F1284,1)&gt;=TIME(22,0,0),(MOD(F1284,1)-TIME(22,0,0))*24,IF(MOD(F1284,1)&lt;TIME(6,0,0),(MOD(F1284,1)+1-TIME(22,0,0))*24,0)),2))</f>
        <v/>
      </c>
      <c r="K1284" s="33">
        <f>IF(H1284="","",ROUND(IF(L1284="휴일근로",MIN(H1284,8)*1.5+MAX(0,H1284-8)*2,I1284*1.5)+N(J1284)*0.5,2))</f>
        <v/>
      </c>
      <c r="L1284" s="18" t="n"/>
      <c r="M1284" s="18" t="n"/>
      <c r="N1284" s="22" t="n"/>
    </row>
    <row r="1285">
      <c r="A1285" s="19" t="n"/>
      <c r="B1285" s="25">
        <f>IF(A1285="","",CHOOSE(WEEKDAY(A1285,2),"월","화","수","목","금","토","일"))</f>
        <v/>
      </c>
      <c r="C1285" s="18" t="n"/>
      <c r="D1285" s="25">
        <f>IFERROR(IF(C1285="","",INDEX(직원명부!$B$5:$B$24,MATCH(C1285,직원명부!$A$5:$A$24,0))),"사번 확인")</f>
        <v/>
      </c>
      <c r="E1285" s="34" t="n"/>
      <c r="F1285" s="34" t="n"/>
      <c r="G1285" s="28" t="n"/>
      <c r="H1285" s="33">
        <f>IF(OR(E1285="",F1285=""),"",ROUND(MOD(F1285-E1285,1)*24-N(G1285),2))</f>
        <v/>
      </c>
      <c r="I1285" s="33">
        <f>IF(H1285="","",ROUND(MAX(0,H1285-8),2))</f>
        <v/>
      </c>
      <c r="J1285" s="33">
        <f>IF(OR(E1285="",F1285=""),"",ROUND(IF(MOD(F1285,1)&gt;=TIME(22,0,0),(MOD(F1285,1)-TIME(22,0,0))*24,IF(MOD(F1285,1)&lt;TIME(6,0,0),(MOD(F1285,1)+1-TIME(22,0,0))*24,0)),2))</f>
        <v/>
      </c>
      <c r="K1285" s="33">
        <f>IF(H1285="","",ROUND(IF(L1285="휴일근로",MIN(H1285,8)*1.5+MAX(0,H1285-8)*2,I1285*1.5)+N(J1285)*0.5,2))</f>
        <v/>
      </c>
      <c r="L1285" s="18" t="n"/>
      <c r="M1285" s="18" t="n"/>
      <c r="N1285" s="22" t="n"/>
    </row>
    <row r="1286">
      <c r="A1286" s="19" t="n"/>
      <c r="B1286" s="25">
        <f>IF(A1286="","",CHOOSE(WEEKDAY(A1286,2),"월","화","수","목","금","토","일"))</f>
        <v/>
      </c>
      <c r="C1286" s="18" t="n"/>
      <c r="D1286" s="25">
        <f>IFERROR(IF(C1286="","",INDEX(직원명부!$B$5:$B$24,MATCH(C1286,직원명부!$A$5:$A$24,0))),"사번 확인")</f>
        <v/>
      </c>
      <c r="E1286" s="34" t="n"/>
      <c r="F1286" s="34" t="n"/>
      <c r="G1286" s="28" t="n"/>
      <c r="H1286" s="33">
        <f>IF(OR(E1286="",F1286=""),"",ROUND(MOD(F1286-E1286,1)*24-N(G1286),2))</f>
        <v/>
      </c>
      <c r="I1286" s="33">
        <f>IF(H1286="","",ROUND(MAX(0,H1286-8),2))</f>
        <v/>
      </c>
      <c r="J1286" s="33">
        <f>IF(OR(E1286="",F1286=""),"",ROUND(IF(MOD(F1286,1)&gt;=TIME(22,0,0),(MOD(F1286,1)-TIME(22,0,0))*24,IF(MOD(F1286,1)&lt;TIME(6,0,0),(MOD(F1286,1)+1-TIME(22,0,0))*24,0)),2))</f>
        <v/>
      </c>
      <c r="K1286" s="33">
        <f>IF(H1286="","",ROUND(IF(L1286="휴일근로",MIN(H1286,8)*1.5+MAX(0,H1286-8)*2,I1286*1.5)+N(J1286)*0.5,2))</f>
        <v/>
      </c>
      <c r="L1286" s="18" t="n"/>
      <c r="M1286" s="18" t="n"/>
      <c r="N1286" s="22" t="n"/>
    </row>
    <row r="1287">
      <c r="A1287" s="19" t="n"/>
      <c r="B1287" s="25">
        <f>IF(A1287="","",CHOOSE(WEEKDAY(A1287,2),"월","화","수","목","금","토","일"))</f>
        <v/>
      </c>
      <c r="C1287" s="18" t="n"/>
      <c r="D1287" s="25">
        <f>IFERROR(IF(C1287="","",INDEX(직원명부!$B$5:$B$24,MATCH(C1287,직원명부!$A$5:$A$24,0))),"사번 확인")</f>
        <v/>
      </c>
      <c r="E1287" s="34" t="n"/>
      <c r="F1287" s="34" t="n"/>
      <c r="G1287" s="28" t="n"/>
      <c r="H1287" s="33">
        <f>IF(OR(E1287="",F1287=""),"",ROUND(MOD(F1287-E1287,1)*24-N(G1287),2))</f>
        <v/>
      </c>
      <c r="I1287" s="33">
        <f>IF(H1287="","",ROUND(MAX(0,H1287-8),2))</f>
        <v/>
      </c>
      <c r="J1287" s="33">
        <f>IF(OR(E1287="",F1287=""),"",ROUND(IF(MOD(F1287,1)&gt;=TIME(22,0,0),(MOD(F1287,1)-TIME(22,0,0))*24,IF(MOD(F1287,1)&lt;TIME(6,0,0),(MOD(F1287,1)+1-TIME(22,0,0))*24,0)),2))</f>
        <v/>
      </c>
      <c r="K1287" s="33">
        <f>IF(H1287="","",ROUND(IF(L1287="휴일근로",MIN(H1287,8)*1.5+MAX(0,H1287-8)*2,I1287*1.5)+N(J1287)*0.5,2))</f>
        <v/>
      </c>
      <c r="L1287" s="18" t="n"/>
      <c r="M1287" s="18" t="n"/>
      <c r="N1287" s="22" t="n"/>
    </row>
    <row r="1288">
      <c r="A1288" s="19" t="n"/>
      <c r="B1288" s="25">
        <f>IF(A1288="","",CHOOSE(WEEKDAY(A1288,2),"월","화","수","목","금","토","일"))</f>
        <v/>
      </c>
      <c r="C1288" s="18" t="n"/>
      <c r="D1288" s="25">
        <f>IFERROR(IF(C1288="","",INDEX(직원명부!$B$5:$B$24,MATCH(C1288,직원명부!$A$5:$A$24,0))),"사번 확인")</f>
        <v/>
      </c>
      <c r="E1288" s="34" t="n"/>
      <c r="F1288" s="34" t="n"/>
      <c r="G1288" s="28" t="n"/>
      <c r="H1288" s="33">
        <f>IF(OR(E1288="",F1288=""),"",ROUND(MOD(F1288-E1288,1)*24-N(G1288),2))</f>
        <v/>
      </c>
      <c r="I1288" s="33">
        <f>IF(H1288="","",ROUND(MAX(0,H1288-8),2))</f>
        <v/>
      </c>
      <c r="J1288" s="33">
        <f>IF(OR(E1288="",F1288=""),"",ROUND(IF(MOD(F1288,1)&gt;=TIME(22,0,0),(MOD(F1288,1)-TIME(22,0,0))*24,IF(MOD(F1288,1)&lt;TIME(6,0,0),(MOD(F1288,1)+1-TIME(22,0,0))*24,0)),2))</f>
        <v/>
      </c>
      <c r="K1288" s="33">
        <f>IF(H1288="","",ROUND(IF(L1288="휴일근로",MIN(H1288,8)*1.5+MAX(0,H1288-8)*2,I1288*1.5)+N(J1288)*0.5,2))</f>
        <v/>
      </c>
      <c r="L1288" s="18" t="n"/>
      <c r="M1288" s="18" t="n"/>
      <c r="N1288" s="22" t="n"/>
    </row>
    <row r="1289">
      <c r="A1289" s="19" t="n"/>
      <c r="B1289" s="25">
        <f>IF(A1289="","",CHOOSE(WEEKDAY(A1289,2),"월","화","수","목","금","토","일"))</f>
        <v/>
      </c>
      <c r="C1289" s="18" t="n"/>
      <c r="D1289" s="25">
        <f>IFERROR(IF(C1289="","",INDEX(직원명부!$B$5:$B$24,MATCH(C1289,직원명부!$A$5:$A$24,0))),"사번 확인")</f>
        <v/>
      </c>
      <c r="E1289" s="34" t="n"/>
      <c r="F1289" s="34" t="n"/>
      <c r="G1289" s="28" t="n"/>
      <c r="H1289" s="33">
        <f>IF(OR(E1289="",F1289=""),"",ROUND(MOD(F1289-E1289,1)*24-N(G1289),2))</f>
        <v/>
      </c>
      <c r="I1289" s="33">
        <f>IF(H1289="","",ROUND(MAX(0,H1289-8),2))</f>
        <v/>
      </c>
      <c r="J1289" s="33">
        <f>IF(OR(E1289="",F1289=""),"",ROUND(IF(MOD(F1289,1)&gt;=TIME(22,0,0),(MOD(F1289,1)-TIME(22,0,0))*24,IF(MOD(F1289,1)&lt;TIME(6,0,0),(MOD(F1289,1)+1-TIME(22,0,0))*24,0)),2))</f>
        <v/>
      </c>
      <c r="K1289" s="33">
        <f>IF(H1289="","",ROUND(IF(L1289="휴일근로",MIN(H1289,8)*1.5+MAX(0,H1289-8)*2,I1289*1.5)+N(J1289)*0.5,2))</f>
        <v/>
      </c>
      <c r="L1289" s="18" t="n"/>
      <c r="M1289" s="18" t="n"/>
      <c r="N1289" s="22" t="n"/>
    </row>
    <row r="1290">
      <c r="A1290" s="19" t="n"/>
      <c r="B1290" s="25">
        <f>IF(A1290="","",CHOOSE(WEEKDAY(A1290,2),"월","화","수","목","금","토","일"))</f>
        <v/>
      </c>
      <c r="C1290" s="18" t="n"/>
      <c r="D1290" s="25">
        <f>IFERROR(IF(C1290="","",INDEX(직원명부!$B$5:$B$24,MATCH(C1290,직원명부!$A$5:$A$24,0))),"사번 확인")</f>
        <v/>
      </c>
      <c r="E1290" s="34" t="n"/>
      <c r="F1290" s="34" t="n"/>
      <c r="G1290" s="28" t="n"/>
      <c r="H1290" s="33">
        <f>IF(OR(E1290="",F1290=""),"",ROUND(MOD(F1290-E1290,1)*24-N(G1290),2))</f>
        <v/>
      </c>
      <c r="I1290" s="33">
        <f>IF(H1290="","",ROUND(MAX(0,H1290-8),2))</f>
        <v/>
      </c>
      <c r="J1290" s="33">
        <f>IF(OR(E1290="",F1290=""),"",ROUND(IF(MOD(F1290,1)&gt;=TIME(22,0,0),(MOD(F1290,1)-TIME(22,0,0))*24,IF(MOD(F1290,1)&lt;TIME(6,0,0),(MOD(F1290,1)+1-TIME(22,0,0))*24,0)),2))</f>
        <v/>
      </c>
      <c r="K1290" s="33">
        <f>IF(H1290="","",ROUND(IF(L1290="휴일근로",MIN(H1290,8)*1.5+MAX(0,H1290-8)*2,I1290*1.5)+N(J1290)*0.5,2))</f>
        <v/>
      </c>
      <c r="L1290" s="18" t="n"/>
      <c r="M1290" s="18" t="n"/>
      <c r="N1290" s="22" t="n"/>
    </row>
    <row r="1291">
      <c r="A1291" s="19" t="n"/>
      <c r="B1291" s="25">
        <f>IF(A1291="","",CHOOSE(WEEKDAY(A1291,2),"월","화","수","목","금","토","일"))</f>
        <v/>
      </c>
      <c r="C1291" s="18" t="n"/>
      <c r="D1291" s="25">
        <f>IFERROR(IF(C1291="","",INDEX(직원명부!$B$5:$B$24,MATCH(C1291,직원명부!$A$5:$A$24,0))),"사번 확인")</f>
        <v/>
      </c>
      <c r="E1291" s="34" t="n"/>
      <c r="F1291" s="34" t="n"/>
      <c r="G1291" s="28" t="n"/>
      <c r="H1291" s="33">
        <f>IF(OR(E1291="",F1291=""),"",ROUND(MOD(F1291-E1291,1)*24-N(G1291),2))</f>
        <v/>
      </c>
      <c r="I1291" s="33">
        <f>IF(H1291="","",ROUND(MAX(0,H1291-8),2))</f>
        <v/>
      </c>
      <c r="J1291" s="33">
        <f>IF(OR(E1291="",F1291=""),"",ROUND(IF(MOD(F1291,1)&gt;=TIME(22,0,0),(MOD(F1291,1)-TIME(22,0,0))*24,IF(MOD(F1291,1)&lt;TIME(6,0,0),(MOD(F1291,1)+1-TIME(22,0,0))*24,0)),2))</f>
        <v/>
      </c>
      <c r="K1291" s="33">
        <f>IF(H1291="","",ROUND(IF(L1291="휴일근로",MIN(H1291,8)*1.5+MAX(0,H1291-8)*2,I1291*1.5)+N(J1291)*0.5,2))</f>
        <v/>
      </c>
      <c r="L1291" s="18" t="n"/>
      <c r="M1291" s="18" t="n"/>
      <c r="N1291" s="22" t="n"/>
    </row>
    <row r="1292">
      <c r="A1292" s="19" t="n"/>
      <c r="B1292" s="25">
        <f>IF(A1292="","",CHOOSE(WEEKDAY(A1292,2),"월","화","수","목","금","토","일"))</f>
        <v/>
      </c>
      <c r="C1292" s="18" t="n"/>
      <c r="D1292" s="25">
        <f>IFERROR(IF(C1292="","",INDEX(직원명부!$B$5:$B$24,MATCH(C1292,직원명부!$A$5:$A$24,0))),"사번 확인")</f>
        <v/>
      </c>
      <c r="E1292" s="34" t="n"/>
      <c r="F1292" s="34" t="n"/>
      <c r="G1292" s="28" t="n"/>
      <c r="H1292" s="33">
        <f>IF(OR(E1292="",F1292=""),"",ROUND(MOD(F1292-E1292,1)*24-N(G1292),2))</f>
        <v/>
      </c>
      <c r="I1292" s="33">
        <f>IF(H1292="","",ROUND(MAX(0,H1292-8),2))</f>
        <v/>
      </c>
      <c r="J1292" s="33">
        <f>IF(OR(E1292="",F1292=""),"",ROUND(IF(MOD(F1292,1)&gt;=TIME(22,0,0),(MOD(F1292,1)-TIME(22,0,0))*24,IF(MOD(F1292,1)&lt;TIME(6,0,0),(MOD(F1292,1)+1-TIME(22,0,0))*24,0)),2))</f>
        <v/>
      </c>
      <c r="K1292" s="33">
        <f>IF(H1292="","",ROUND(IF(L1292="휴일근로",MIN(H1292,8)*1.5+MAX(0,H1292-8)*2,I1292*1.5)+N(J1292)*0.5,2))</f>
        <v/>
      </c>
      <c r="L1292" s="18" t="n"/>
      <c r="M1292" s="18" t="n"/>
      <c r="N1292" s="22" t="n"/>
    </row>
    <row r="1293">
      <c r="A1293" s="19" t="n"/>
      <c r="B1293" s="25">
        <f>IF(A1293="","",CHOOSE(WEEKDAY(A1293,2),"월","화","수","목","금","토","일"))</f>
        <v/>
      </c>
      <c r="C1293" s="18" t="n"/>
      <c r="D1293" s="25">
        <f>IFERROR(IF(C1293="","",INDEX(직원명부!$B$5:$B$24,MATCH(C1293,직원명부!$A$5:$A$24,0))),"사번 확인")</f>
        <v/>
      </c>
      <c r="E1293" s="34" t="n"/>
      <c r="F1293" s="34" t="n"/>
      <c r="G1293" s="28" t="n"/>
      <c r="H1293" s="33">
        <f>IF(OR(E1293="",F1293=""),"",ROUND(MOD(F1293-E1293,1)*24-N(G1293),2))</f>
        <v/>
      </c>
      <c r="I1293" s="33">
        <f>IF(H1293="","",ROUND(MAX(0,H1293-8),2))</f>
        <v/>
      </c>
      <c r="J1293" s="33">
        <f>IF(OR(E1293="",F1293=""),"",ROUND(IF(MOD(F1293,1)&gt;=TIME(22,0,0),(MOD(F1293,1)-TIME(22,0,0))*24,IF(MOD(F1293,1)&lt;TIME(6,0,0),(MOD(F1293,1)+1-TIME(22,0,0))*24,0)),2))</f>
        <v/>
      </c>
      <c r="K1293" s="33">
        <f>IF(H1293="","",ROUND(IF(L1293="휴일근로",MIN(H1293,8)*1.5+MAX(0,H1293-8)*2,I1293*1.5)+N(J1293)*0.5,2))</f>
        <v/>
      </c>
      <c r="L1293" s="18" t="n"/>
      <c r="M1293" s="18" t="n"/>
      <c r="N1293" s="22" t="n"/>
    </row>
    <row r="1294">
      <c r="A1294" s="19" t="n"/>
      <c r="B1294" s="25">
        <f>IF(A1294="","",CHOOSE(WEEKDAY(A1294,2),"월","화","수","목","금","토","일"))</f>
        <v/>
      </c>
      <c r="C1294" s="18" t="n"/>
      <c r="D1294" s="25">
        <f>IFERROR(IF(C1294="","",INDEX(직원명부!$B$5:$B$24,MATCH(C1294,직원명부!$A$5:$A$24,0))),"사번 확인")</f>
        <v/>
      </c>
      <c r="E1294" s="34" t="n"/>
      <c r="F1294" s="34" t="n"/>
      <c r="G1294" s="28" t="n"/>
      <c r="H1294" s="33">
        <f>IF(OR(E1294="",F1294=""),"",ROUND(MOD(F1294-E1294,1)*24-N(G1294),2))</f>
        <v/>
      </c>
      <c r="I1294" s="33">
        <f>IF(H1294="","",ROUND(MAX(0,H1294-8),2))</f>
        <v/>
      </c>
      <c r="J1294" s="33">
        <f>IF(OR(E1294="",F1294=""),"",ROUND(IF(MOD(F1294,1)&gt;=TIME(22,0,0),(MOD(F1294,1)-TIME(22,0,0))*24,IF(MOD(F1294,1)&lt;TIME(6,0,0),(MOD(F1294,1)+1-TIME(22,0,0))*24,0)),2))</f>
        <v/>
      </c>
      <c r="K1294" s="33">
        <f>IF(H1294="","",ROUND(IF(L1294="휴일근로",MIN(H1294,8)*1.5+MAX(0,H1294-8)*2,I1294*1.5)+N(J1294)*0.5,2))</f>
        <v/>
      </c>
      <c r="L1294" s="18" t="n"/>
      <c r="M1294" s="18" t="n"/>
      <c r="N1294" s="22" t="n"/>
    </row>
    <row r="1295">
      <c r="A1295" s="19" t="n"/>
      <c r="B1295" s="25">
        <f>IF(A1295="","",CHOOSE(WEEKDAY(A1295,2),"월","화","수","목","금","토","일"))</f>
        <v/>
      </c>
      <c r="C1295" s="18" t="n"/>
      <c r="D1295" s="25">
        <f>IFERROR(IF(C1295="","",INDEX(직원명부!$B$5:$B$24,MATCH(C1295,직원명부!$A$5:$A$24,0))),"사번 확인")</f>
        <v/>
      </c>
      <c r="E1295" s="34" t="n"/>
      <c r="F1295" s="34" t="n"/>
      <c r="G1295" s="28" t="n"/>
      <c r="H1295" s="33">
        <f>IF(OR(E1295="",F1295=""),"",ROUND(MOD(F1295-E1295,1)*24-N(G1295),2))</f>
        <v/>
      </c>
      <c r="I1295" s="33">
        <f>IF(H1295="","",ROUND(MAX(0,H1295-8),2))</f>
        <v/>
      </c>
      <c r="J1295" s="33">
        <f>IF(OR(E1295="",F1295=""),"",ROUND(IF(MOD(F1295,1)&gt;=TIME(22,0,0),(MOD(F1295,1)-TIME(22,0,0))*24,IF(MOD(F1295,1)&lt;TIME(6,0,0),(MOD(F1295,1)+1-TIME(22,0,0))*24,0)),2))</f>
        <v/>
      </c>
      <c r="K1295" s="33">
        <f>IF(H1295="","",ROUND(IF(L1295="휴일근로",MIN(H1295,8)*1.5+MAX(0,H1295-8)*2,I1295*1.5)+N(J1295)*0.5,2))</f>
        <v/>
      </c>
      <c r="L1295" s="18" t="n"/>
      <c r="M1295" s="18" t="n"/>
      <c r="N1295" s="22" t="n"/>
    </row>
    <row r="1296">
      <c r="A1296" s="19" t="n"/>
      <c r="B1296" s="25">
        <f>IF(A1296="","",CHOOSE(WEEKDAY(A1296,2),"월","화","수","목","금","토","일"))</f>
        <v/>
      </c>
      <c r="C1296" s="18" t="n"/>
      <c r="D1296" s="25">
        <f>IFERROR(IF(C1296="","",INDEX(직원명부!$B$5:$B$24,MATCH(C1296,직원명부!$A$5:$A$24,0))),"사번 확인")</f>
        <v/>
      </c>
      <c r="E1296" s="34" t="n"/>
      <c r="F1296" s="34" t="n"/>
      <c r="G1296" s="28" t="n"/>
      <c r="H1296" s="33">
        <f>IF(OR(E1296="",F1296=""),"",ROUND(MOD(F1296-E1296,1)*24-N(G1296),2))</f>
        <v/>
      </c>
      <c r="I1296" s="33">
        <f>IF(H1296="","",ROUND(MAX(0,H1296-8),2))</f>
        <v/>
      </c>
      <c r="J1296" s="33">
        <f>IF(OR(E1296="",F1296=""),"",ROUND(IF(MOD(F1296,1)&gt;=TIME(22,0,0),(MOD(F1296,1)-TIME(22,0,0))*24,IF(MOD(F1296,1)&lt;TIME(6,0,0),(MOD(F1296,1)+1-TIME(22,0,0))*24,0)),2))</f>
        <v/>
      </c>
      <c r="K1296" s="33">
        <f>IF(H1296="","",ROUND(IF(L1296="휴일근로",MIN(H1296,8)*1.5+MAX(0,H1296-8)*2,I1296*1.5)+N(J1296)*0.5,2))</f>
        <v/>
      </c>
      <c r="L1296" s="18" t="n"/>
      <c r="M1296" s="18" t="n"/>
      <c r="N1296" s="22" t="n"/>
    </row>
    <row r="1297">
      <c r="A1297" s="19" t="n"/>
      <c r="B1297" s="25">
        <f>IF(A1297="","",CHOOSE(WEEKDAY(A1297,2),"월","화","수","목","금","토","일"))</f>
        <v/>
      </c>
      <c r="C1297" s="18" t="n"/>
      <c r="D1297" s="25">
        <f>IFERROR(IF(C1297="","",INDEX(직원명부!$B$5:$B$24,MATCH(C1297,직원명부!$A$5:$A$24,0))),"사번 확인")</f>
        <v/>
      </c>
      <c r="E1297" s="34" t="n"/>
      <c r="F1297" s="34" t="n"/>
      <c r="G1297" s="28" t="n"/>
      <c r="H1297" s="33">
        <f>IF(OR(E1297="",F1297=""),"",ROUND(MOD(F1297-E1297,1)*24-N(G1297),2))</f>
        <v/>
      </c>
      <c r="I1297" s="33">
        <f>IF(H1297="","",ROUND(MAX(0,H1297-8),2))</f>
        <v/>
      </c>
      <c r="J1297" s="33">
        <f>IF(OR(E1297="",F1297=""),"",ROUND(IF(MOD(F1297,1)&gt;=TIME(22,0,0),(MOD(F1297,1)-TIME(22,0,0))*24,IF(MOD(F1297,1)&lt;TIME(6,0,0),(MOD(F1297,1)+1-TIME(22,0,0))*24,0)),2))</f>
        <v/>
      </c>
      <c r="K1297" s="33">
        <f>IF(H1297="","",ROUND(IF(L1297="휴일근로",MIN(H1297,8)*1.5+MAX(0,H1297-8)*2,I1297*1.5)+N(J1297)*0.5,2))</f>
        <v/>
      </c>
      <c r="L1297" s="18" t="n"/>
      <c r="M1297" s="18" t="n"/>
      <c r="N1297" s="22" t="n"/>
    </row>
    <row r="1298">
      <c r="A1298" s="19" t="n"/>
      <c r="B1298" s="25">
        <f>IF(A1298="","",CHOOSE(WEEKDAY(A1298,2),"월","화","수","목","금","토","일"))</f>
        <v/>
      </c>
      <c r="C1298" s="18" t="n"/>
      <c r="D1298" s="25">
        <f>IFERROR(IF(C1298="","",INDEX(직원명부!$B$5:$B$24,MATCH(C1298,직원명부!$A$5:$A$24,0))),"사번 확인")</f>
        <v/>
      </c>
      <c r="E1298" s="34" t="n"/>
      <c r="F1298" s="34" t="n"/>
      <c r="G1298" s="28" t="n"/>
      <c r="H1298" s="33">
        <f>IF(OR(E1298="",F1298=""),"",ROUND(MOD(F1298-E1298,1)*24-N(G1298),2))</f>
        <v/>
      </c>
      <c r="I1298" s="33">
        <f>IF(H1298="","",ROUND(MAX(0,H1298-8),2))</f>
        <v/>
      </c>
      <c r="J1298" s="33">
        <f>IF(OR(E1298="",F1298=""),"",ROUND(IF(MOD(F1298,1)&gt;=TIME(22,0,0),(MOD(F1298,1)-TIME(22,0,0))*24,IF(MOD(F1298,1)&lt;TIME(6,0,0),(MOD(F1298,1)+1-TIME(22,0,0))*24,0)),2))</f>
        <v/>
      </c>
      <c r="K1298" s="33">
        <f>IF(H1298="","",ROUND(IF(L1298="휴일근로",MIN(H1298,8)*1.5+MAX(0,H1298-8)*2,I1298*1.5)+N(J1298)*0.5,2))</f>
        <v/>
      </c>
      <c r="L1298" s="18" t="n"/>
      <c r="M1298" s="18" t="n"/>
      <c r="N1298" s="22" t="n"/>
    </row>
    <row r="1299">
      <c r="A1299" s="19" t="n"/>
      <c r="B1299" s="25">
        <f>IF(A1299="","",CHOOSE(WEEKDAY(A1299,2),"월","화","수","목","금","토","일"))</f>
        <v/>
      </c>
      <c r="C1299" s="18" t="n"/>
      <c r="D1299" s="25">
        <f>IFERROR(IF(C1299="","",INDEX(직원명부!$B$5:$B$24,MATCH(C1299,직원명부!$A$5:$A$24,0))),"사번 확인")</f>
        <v/>
      </c>
      <c r="E1299" s="34" t="n"/>
      <c r="F1299" s="34" t="n"/>
      <c r="G1299" s="28" t="n"/>
      <c r="H1299" s="33">
        <f>IF(OR(E1299="",F1299=""),"",ROUND(MOD(F1299-E1299,1)*24-N(G1299),2))</f>
        <v/>
      </c>
      <c r="I1299" s="33">
        <f>IF(H1299="","",ROUND(MAX(0,H1299-8),2))</f>
        <v/>
      </c>
      <c r="J1299" s="33">
        <f>IF(OR(E1299="",F1299=""),"",ROUND(IF(MOD(F1299,1)&gt;=TIME(22,0,0),(MOD(F1299,1)-TIME(22,0,0))*24,IF(MOD(F1299,1)&lt;TIME(6,0,0),(MOD(F1299,1)+1-TIME(22,0,0))*24,0)),2))</f>
        <v/>
      </c>
      <c r="K1299" s="33">
        <f>IF(H1299="","",ROUND(IF(L1299="휴일근로",MIN(H1299,8)*1.5+MAX(0,H1299-8)*2,I1299*1.5)+N(J1299)*0.5,2))</f>
        <v/>
      </c>
      <c r="L1299" s="18" t="n"/>
      <c r="M1299" s="18" t="n"/>
      <c r="N1299" s="22" t="n"/>
    </row>
    <row r="1300">
      <c r="A1300" s="19" t="n"/>
      <c r="B1300" s="25">
        <f>IF(A1300="","",CHOOSE(WEEKDAY(A1300,2),"월","화","수","목","금","토","일"))</f>
        <v/>
      </c>
      <c r="C1300" s="18" t="n"/>
      <c r="D1300" s="25">
        <f>IFERROR(IF(C1300="","",INDEX(직원명부!$B$5:$B$24,MATCH(C1300,직원명부!$A$5:$A$24,0))),"사번 확인")</f>
        <v/>
      </c>
      <c r="E1300" s="34" t="n"/>
      <c r="F1300" s="34" t="n"/>
      <c r="G1300" s="28" t="n"/>
      <c r="H1300" s="33">
        <f>IF(OR(E1300="",F1300=""),"",ROUND(MOD(F1300-E1300,1)*24-N(G1300),2))</f>
        <v/>
      </c>
      <c r="I1300" s="33">
        <f>IF(H1300="","",ROUND(MAX(0,H1300-8),2))</f>
        <v/>
      </c>
      <c r="J1300" s="33">
        <f>IF(OR(E1300="",F1300=""),"",ROUND(IF(MOD(F1300,1)&gt;=TIME(22,0,0),(MOD(F1300,1)-TIME(22,0,0))*24,IF(MOD(F1300,1)&lt;TIME(6,0,0),(MOD(F1300,1)+1-TIME(22,0,0))*24,0)),2))</f>
        <v/>
      </c>
      <c r="K1300" s="33">
        <f>IF(H1300="","",ROUND(IF(L1300="휴일근로",MIN(H1300,8)*1.5+MAX(0,H1300-8)*2,I1300*1.5)+N(J1300)*0.5,2))</f>
        <v/>
      </c>
      <c r="L1300" s="18" t="n"/>
      <c r="M1300" s="18" t="n"/>
      <c r="N1300" s="22" t="n"/>
    </row>
    <row r="1301">
      <c r="A1301" s="19" t="n"/>
      <c r="B1301" s="25">
        <f>IF(A1301="","",CHOOSE(WEEKDAY(A1301,2),"월","화","수","목","금","토","일"))</f>
        <v/>
      </c>
      <c r="C1301" s="18" t="n"/>
      <c r="D1301" s="25">
        <f>IFERROR(IF(C1301="","",INDEX(직원명부!$B$5:$B$24,MATCH(C1301,직원명부!$A$5:$A$24,0))),"사번 확인")</f>
        <v/>
      </c>
      <c r="E1301" s="34" t="n"/>
      <c r="F1301" s="34" t="n"/>
      <c r="G1301" s="28" t="n"/>
      <c r="H1301" s="33">
        <f>IF(OR(E1301="",F1301=""),"",ROUND(MOD(F1301-E1301,1)*24-N(G1301),2))</f>
        <v/>
      </c>
      <c r="I1301" s="33">
        <f>IF(H1301="","",ROUND(MAX(0,H1301-8),2))</f>
        <v/>
      </c>
      <c r="J1301" s="33">
        <f>IF(OR(E1301="",F1301=""),"",ROUND(IF(MOD(F1301,1)&gt;=TIME(22,0,0),(MOD(F1301,1)-TIME(22,0,0))*24,IF(MOD(F1301,1)&lt;TIME(6,0,0),(MOD(F1301,1)+1-TIME(22,0,0))*24,0)),2))</f>
        <v/>
      </c>
      <c r="K1301" s="33">
        <f>IF(H1301="","",ROUND(IF(L1301="휴일근로",MIN(H1301,8)*1.5+MAX(0,H1301-8)*2,I1301*1.5)+N(J1301)*0.5,2))</f>
        <v/>
      </c>
      <c r="L1301" s="18" t="n"/>
      <c r="M1301" s="18" t="n"/>
      <c r="N1301" s="22" t="n"/>
    </row>
    <row r="1302">
      <c r="A1302" s="19" t="n"/>
      <c r="B1302" s="25">
        <f>IF(A1302="","",CHOOSE(WEEKDAY(A1302,2),"월","화","수","목","금","토","일"))</f>
        <v/>
      </c>
      <c r="C1302" s="18" t="n"/>
      <c r="D1302" s="25">
        <f>IFERROR(IF(C1302="","",INDEX(직원명부!$B$5:$B$24,MATCH(C1302,직원명부!$A$5:$A$24,0))),"사번 확인")</f>
        <v/>
      </c>
      <c r="E1302" s="34" t="n"/>
      <c r="F1302" s="34" t="n"/>
      <c r="G1302" s="28" t="n"/>
      <c r="H1302" s="33">
        <f>IF(OR(E1302="",F1302=""),"",ROUND(MOD(F1302-E1302,1)*24-N(G1302),2))</f>
        <v/>
      </c>
      <c r="I1302" s="33">
        <f>IF(H1302="","",ROUND(MAX(0,H1302-8),2))</f>
        <v/>
      </c>
      <c r="J1302" s="33">
        <f>IF(OR(E1302="",F1302=""),"",ROUND(IF(MOD(F1302,1)&gt;=TIME(22,0,0),(MOD(F1302,1)-TIME(22,0,0))*24,IF(MOD(F1302,1)&lt;TIME(6,0,0),(MOD(F1302,1)+1-TIME(22,0,0))*24,0)),2))</f>
        <v/>
      </c>
      <c r="K1302" s="33">
        <f>IF(H1302="","",ROUND(IF(L1302="휴일근로",MIN(H1302,8)*1.5+MAX(0,H1302-8)*2,I1302*1.5)+N(J1302)*0.5,2))</f>
        <v/>
      </c>
      <c r="L1302" s="18" t="n"/>
      <c r="M1302" s="18" t="n"/>
      <c r="N1302" s="22" t="n"/>
    </row>
    <row r="1303">
      <c r="A1303" s="19" t="n"/>
      <c r="B1303" s="25">
        <f>IF(A1303="","",CHOOSE(WEEKDAY(A1303,2),"월","화","수","목","금","토","일"))</f>
        <v/>
      </c>
      <c r="C1303" s="18" t="n"/>
      <c r="D1303" s="25">
        <f>IFERROR(IF(C1303="","",INDEX(직원명부!$B$5:$B$24,MATCH(C1303,직원명부!$A$5:$A$24,0))),"사번 확인")</f>
        <v/>
      </c>
      <c r="E1303" s="34" t="n"/>
      <c r="F1303" s="34" t="n"/>
      <c r="G1303" s="28" t="n"/>
      <c r="H1303" s="33">
        <f>IF(OR(E1303="",F1303=""),"",ROUND(MOD(F1303-E1303,1)*24-N(G1303),2))</f>
        <v/>
      </c>
      <c r="I1303" s="33">
        <f>IF(H1303="","",ROUND(MAX(0,H1303-8),2))</f>
        <v/>
      </c>
      <c r="J1303" s="33">
        <f>IF(OR(E1303="",F1303=""),"",ROUND(IF(MOD(F1303,1)&gt;=TIME(22,0,0),(MOD(F1303,1)-TIME(22,0,0))*24,IF(MOD(F1303,1)&lt;TIME(6,0,0),(MOD(F1303,1)+1-TIME(22,0,0))*24,0)),2))</f>
        <v/>
      </c>
      <c r="K1303" s="33">
        <f>IF(H1303="","",ROUND(IF(L1303="휴일근로",MIN(H1303,8)*1.5+MAX(0,H1303-8)*2,I1303*1.5)+N(J1303)*0.5,2))</f>
        <v/>
      </c>
      <c r="L1303" s="18" t="n"/>
      <c r="M1303" s="18" t="n"/>
      <c r="N1303" s="22" t="n"/>
    </row>
    <row r="1304">
      <c r="A1304" s="19" t="n"/>
      <c r="B1304" s="25">
        <f>IF(A1304="","",CHOOSE(WEEKDAY(A1304,2),"월","화","수","목","금","토","일"))</f>
        <v/>
      </c>
      <c r="C1304" s="18" t="n"/>
      <c r="D1304" s="25">
        <f>IFERROR(IF(C1304="","",INDEX(직원명부!$B$5:$B$24,MATCH(C1304,직원명부!$A$5:$A$24,0))),"사번 확인")</f>
        <v/>
      </c>
      <c r="E1304" s="34" t="n"/>
      <c r="F1304" s="34" t="n"/>
      <c r="G1304" s="28" t="n"/>
      <c r="H1304" s="33">
        <f>IF(OR(E1304="",F1304=""),"",ROUND(MOD(F1304-E1304,1)*24-N(G1304),2))</f>
        <v/>
      </c>
      <c r="I1304" s="33">
        <f>IF(H1304="","",ROUND(MAX(0,H1304-8),2))</f>
        <v/>
      </c>
      <c r="J1304" s="33">
        <f>IF(OR(E1304="",F1304=""),"",ROUND(IF(MOD(F1304,1)&gt;=TIME(22,0,0),(MOD(F1304,1)-TIME(22,0,0))*24,IF(MOD(F1304,1)&lt;TIME(6,0,0),(MOD(F1304,1)+1-TIME(22,0,0))*24,0)),2))</f>
        <v/>
      </c>
      <c r="K1304" s="33">
        <f>IF(H1304="","",ROUND(IF(L1304="휴일근로",MIN(H1304,8)*1.5+MAX(0,H1304-8)*2,I1304*1.5)+N(J1304)*0.5,2))</f>
        <v/>
      </c>
      <c r="L1304" s="18" t="n"/>
      <c r="M1304" s="18" t="n"/>
      <c r="N1304" s="22" t="n"/>
    </row>
    <row r="1305">
      <c r="A1305" s="19" t="n"/>
      <c r="B1305" s="25">
        <f>IF(A1305="","",CHOOSE(WEEKDAY(A1305,2),"월","화","수","목","금","토","일"))</f>
        <v/>
      </c>
      <c r="C1305" s="18" t="n"/>
      <c r="D1305" s="25">
        <f>IFERROR(IF(C1305="","",INDEX(직원명부!$B$5:$B$24,MATCH(C1305,직원명부!$A$5:$A$24,0))),"사번 확인")</f>
        <v/>
      </c>
      <c r="E1305" s="34" t="n"/>
      <c r="F1305" s="34" t="n"/>
      <c r="G1305" s="28" t="n"/>
      <c r="H1305" s="33">
        <f>IF(OR(E1305="",F1305=""),"",ROUND(MOD(F1305-E1305,1)*24-N(G1305),2))</f>
        <v/>
      </c>
      <c r="I1305" s="33">
        <f>IF(H1305="","",ROUND(MAX(0,H1305-8),2))</f>
        <v/>
      </c>
      <c r="J1305" s="33">
        <f>IF(OR(E1305="",F1305=""),"",ROUND(IF(MOD(F1305,1)&gt;=TIME(22,0,0),(MOD(F1305,1)-TIME(22,0,0))*24,IF(MOD(F1305,1)&lt;TIME(6,0,0),(MOD(F1305,1)+1-TIME(22,0,0))*24,0)),2))</f>
        <v/>
      </c>
      <c r="K1305" s="33">
        <f>IF(H1305="","",ROUND(IF(L1305="휴일근로",MIN(H1305,8)*1.5+MAX(0,H1305-8)*2,I1305*1.5)+N(J1305)*0.5,2))</f>
        <v/>
      </c>
      <c r="L1305" s="18" t="n"/>
      <c r="M1305" s="18" t="n"/>
      <c r="N1305" s="22" t="n"/>
    </row>
    <row r="1306">
      <c r="A1306" s="19" t="n"/>
      <c r="B1306" s="25">
        <f>IF(A1306="","",CHOOSE(WEEKDAY(A1306,2),"월","화","수","목","금","토","일"))</f>
        <v/>
      </c>
      <c r="C1306" s="18" t="n"/>
      <c r="D1306" s="25">
        <f>IFERROR(IF(C1306="","",INDEX(직원명부!$B$5:$B$24,MATCH(C1306,직원명부!$A$5:$A$24,0))),"사번 확인")</f>
        <v/>
      </c>
      <c r="E1306" s="34" t="n"/>
      <c r="F1306" s="34" t="n"/>
      <c r="G1306" s="28" t="n"/>
      <c r="H1306" s="33">
        <f>IF(OR(E1306="",F1306=""),"",ROUND(MOD(F1306-E1306,1)*24-N(G1306),2))</f>
        <v/>
      </c>
      <c r="I1306" s="33">
        <f>IF(H1306="","",ROUND(MAX(0,H1306-8),2))</f>
        <v/>
      </c>
      <c r="J1306" s="33">
        <f>IF(OR(E1306="",F1306=""),"",ROUND(IF(MOD(F1306,1)&gt;=TIME(22,0,0),(MOD(F1306,1)-TIME(22,0,0))*24,IF(MOD(F1306,1)&lt;TIME(6,0,0),(MOD(F1306,1)+1-TIME(22,0,0))*24,0)),2))</f>
        <v/>
      </c>
      <c r="K1306" s="33">
        <f>IF(H1306="","",ROUND(IF(L1306="휴일근로",MIN(H1306,8)*1.5+MAX(0,H1306-8)*2,I1306*1.5)+N(J1306)*0.5,2))</f>
        <v/>
      </c>
      <c r="L1306" s="18" t="n"/>
      <c r="M1306" s="18" t="n"/>
      <c r="N1306" s="22" t="n"/>
    </row>
    <row r="1307">
      <c r="A1307" s="19" t="n"/>
      <c r="B1307" s="25">
        <f>IF(A1307="","",CHOOSE(WEEKDAY(A1307,2),"월","화","수","목","금","토","일"))</f>
        <v/>
      </c>
      <c r="C1307" s="18" t="n"/>
      <c r="D1307" s="25">
        <f>IFERROR(IF(C1307="","",INDEX(직원명부!$B$5:$B$24,MATCH(C1307,직원명부!$A$5:$A$24,0))),"사번 확인")</f>
        <v/>
      </c>
      <c r="E1307" s="34" t="n"/>
      <c r="F1307" s="34" t="n"/>
      <c r="G1307" s="28" t="n"/>
      <c r="H1307" s="33">
        <f>IF(OR(E1307="",F1307=""),"",ROUND(MOD(F1307-E1307,1)*24-N(G1307),2))</f>
        <v/>
      </c>
      <c r="I1307" s="33">
        <f>IF(H1307="","",ROUND(MAX(0,H1307-8),2))</f>
        <v/>
      </c>
      <c r="J1307" s="33">
        <f>IF(OR(E1307="",F1307=""),"",ROUND(IF(MOD(F1307,1)&gt;=TIME(22,0,0),(MOD(F1307,1)-TIME(22,0,0))*24,IF(MOD(F1307,1)&lt;TIME(6,0,0),(MOD(F1307,1)+1-TIME(22,0,0))*24,0)),2))</f>
        <v/>
      </c>
      <c r="K1307" s="33">
        <f>IF(H1307="","",ROUND(IF(L1307="휴일근로",MIN(H1307,8)*1.5+MAX(0,H1307-8)*2,I1307*1.5)+N(J1307)*0.5,2))</f>
        <v/>
      </c>
      <c r="L1307" s="18" t="n"/>
      <c r="M1307" s="18" t="n"/>
      <c r="N1307" s="22" t="n"/>
    </row>
    <row r="1308">
      <c r="A1308" s="19" t="n"/>
      <c r="B1308" s="25">
        <f>IF(A1308="","",CHOOSE(WEEKDAY(A1308,2),"월","화","수","목","금","토","일"))</f>
        <v/>
      </c>
      <c r="C1308" s="18" t="n"/>
      <c r="D1308" s="25">
        <f>IFERROR(IF(C1308="","",INDEX(직원명부!$B$5:$B$24,MATCH(C1308,직원명부!$A$5:$A$24,0))),"사번 확인")</f>
        <v/>
      </c>
      <c r="E1308" s="34" t="n"/>
      <c r="F1308" s="34" t="n"/>
      <c r="G1308" s="28" t="n"/>
      <c r="H1308" s="33">
        <f>IF(OR(E1308="",F1308=""),"",ROUND(MOD(F1308-E1308,1)*24-N(G1308),2))</f>
        <v/>
      </c>
      <c r="I1308" s="33">
        <f>IF(H1308="","",ROUND(MAX(0,H1308-8),2))</f>
        <v/>
      </c>
      <c r="J1308" s="33">
        <f>IF(OR(E1308="",F1308=""),"",ROUND(IF(MOD(F1308,1)&gt;=TIME(22,0,0),(MOD(F1308,1)-TIME(22,0,0))*24,IF(MOD(F1308,1)&lt;TIME(6,0,0),(MOD(F1308,1)+1-TIME(22,0,0))*24,0)),2))</f>
        <v/>
      </c>
      <c r="K1308" s="33">
        <f>IF(H1308="","",ROUND(IF(L1308="휴일근로",MIN(H1308,8)*1.5+MAX(0,H1308-8)*2,I1308*1.5)+N(J1308)*0.5,2))</f>
        <v/>
      </c>
      <c r="L1308" s="18" t="n"/>
      <c r="M1308" s="18" t="n"/>
      <c r="N1308" s="22" t="n"/>
    </row>
    <row r="1309">
      <c r="A1309" s="19" t="n"/>
      <c r="B1309" s="25">
        <f>IF(A1309="","",CHOOSE(WEEKDAY(A1309,2),"월","화","수","목","금","토","일"))</f>
        <v/>
      </c>
      <c r="C1309" s="18" t="n"/>
      <c r="D1309" s="25">
        <f>IFERROR(IF(C1309="","",INDEX(직원명부!$B$5:$B$24,MATCH(C1309,직원명부!$A$5:$A$24,0))),"사번 확인")</f>
        <v/>
      </c>
      <c r="E1309" s="34" t="n"/>
      <c r="F1309" s="34" t="n"/>
      <c r="G1309" s="28" t="n"/>
      <c r="H1309" s="33">
        <f>IF(OR(E1309="",F1309=""),"",ROUND(MOD(F1309-E1309,1)*24-N(G1309),2))</f>
        <v/>
      </c>
      <c r="I1309" s="33">
        <f>IF(H1309="","",ROUND(MAX(0,H1309-8),2))</f>
        <v/>
      </c>
      <c r="J1309" s="33">
        <f>IF(OR(E1309="",F1309=""),"",ROUND(IF(MOD(F1309,1)&gt;=TIME(22,0,0),(MOD(F1309,1)-TIME(22,0,0))*24,IF(MOD(F1309,1)&lt;TIME(6,0,0),(MOD(F1309,1)+1-TIME(22,0,0))*24,0)),2))</f>
        <v/>
      </c>
      <c r="K1309" s="33">
        <f>IF(H1309="","",ROUND(IF(L1309="휴일근로",MIN(H1309,8)*1.5+MAX(0,H1309-8)*2,I1309*1.5)+N(J1309)*0.5,2))</f>
        <v/>
      </c>
      <c r="L1309" s="18" t="n"/>
      <c r="M1309" s="18" t="n"/>
      <c r="N1309" s="22" t="n"/>
    </row>
    <row r="1310">
      <c r="A1310" s="19" t="n"/>
      <c r="B1310" s="25">
        <f>IF(A1310="","",CHOOSE(WEEKDAY(A1310,2),"월","화","수","목","금","토","일"))</f>
        <v/>
      </c>
      <c r="C1310" s="18" t="n"/>
      <c r="D1310" s="25">
        <f>IFERROR(IF(C1310="","",INDEX(직원명부!$B$5:$B$24,MATCH(C1310,직원명부!$A$5:$A$24,0))),"사번 확인")</f>
        <v/>
      </c>
      <c r="E1310" s="34" t="n"/>
      <c r="F1310" s="34" t="n"/>
      <c r="G1310" s="28" t="n"/>
      <c r="H1310" s="33">
        <f>IF(OR(E1310="",F1310=""),"",ROUND(MOD(F1310-E1310,1)*24-N(G1310),2))</f>
        <v/>
      </c>
      <c r="I1310" s="33">
        <f>IF(H1310="","",ROUND(MAX(0,H1310-8),2))</f>
        <v/>
      </c>
      <c r="J1310" s="33">
        <f>IF(OR(E1310="",F1310=""),"",ROUND(IF(MOD(F1310,1)&gt;=TIME(22,0,0),(MOD(F1310,1)-TIME(22,0,0))*24,IF(MOD(F1310,1)&lt;TIME(6,0,0),(MOD(F1310,1)+1-TIME(22,0,0))*24,0)),2))</f>
        <v/>
      </c>
      <c r="K1310" s="33">
        <f>IF(H1310="","",ROUND(IF(L1310="휴일근로",MIN(H1310,8)*1.5+MAX(0,H1310-8)*2,I1310*1.5)+N(J1310)*0.5,2))</f>
        <v/>
      </c>
      <c r="L1310" s="18" t="n"/>
      <c r="M1310" s="18" t="n"/>
      <c r="N1310" s="22" t="n"/>
    </row>
    <row r="1311">
      <c r="A1311" s="19" t="n"/>
      <c r="B1311" s="25">
        <f>IF(A1311="","",CHOOSE(WEEKDAY(A1311,2),"월","화","수","목","금","토","일"))</f>
        <v/>
      </c>
      <c r="C1311" s="18" t="n"/>
      <c r="D1311" s="25">
        <f>IFERROR(IF(C1311="","",INDEX(직원명부!$B$5:$B$24,MATCH(C1311,직원명부!$A$5:$A$24,0))),"사번 확인")</f>
        <v/>
      </c>
      <c r="E1311" s="34" t="n"/>
      <c r="F1311" s="34" t="n"/>
      <c r="G1311" s="28" t="n"/>
      <c r="H1311" s="33">
        <f>IF(OR(E1311="",F1311=""),"",ROUND(MOD(F1311-E1311,1)*24-N(G1311),2))</f>
        <v/>
      </c>
      <c r="I1311" s="33">
        <f>IF(H1311="","",ROUND(MAX(0,H1311-8),2))</f>
        <v/>
      </c>
      <c r="J1311" s="33">
        <f>IF(OR(E1311="",F1311=""),"",ROUND(IF(MOD(F1311,1)&gt;=TIME(22,0,0),(MOD(F1311,1)-TIME(22,0,0))*24,IF(MOD(F1311,1)&lt;TIME(6,0,0),(MOD(F1311,1)+1-TIME(22,0,0))*24,0)),2))</f>
        <v/>
      </c>
      <c r="K1311" s="33">
        <f>IF(H1311="","",ROUND(IF(L1311="휴일근로",MIN(H1311,8)*1.5+MAX(0,H1311-8)*2,I1311*1.5)+N(J1311)*0.5,2))</f>
        <v/>
      </c>
      <c r="L1311" s="18" t="n"/>
      <c r="M1311" s="18" t="n"/>
      <c r="N1311" s="22" t="n"/>
    </row>
    <row r="1312">
      <c r="A1312" s="19" t="n"/>
      <c r="B1312" s="25">
        <f>IF(A1312="","",CHOOSE(WEEKDAY(A1312,2),"월","화","수","목","금","토","일"))</f>
        <v/>
      </c>
      <c r="C1312" s="18" t="n"/>
      <c r="D1312" s="25">
        <f>IFERROR(IF(C1312="","",INDEX(직원명부!$B$5:$B$24,MATCH(C1312,직원명부!$A$5:$A$24,0))),"사번 확인")</f>
        <v/>
      </c>
      <c r="E1312" s="34" t="n"/>
      <c r="F1312" s="34" t="n"/>
      <c r="G1312" s="28" t="n"/>
      <c r="H1312" s="33">
        <f>IF(OR(E1312="",F1312=""),"",ROUND(MOD(F1312-E1312,1)*24-N(G1312),2))</f>
        <v/>
      </c>
      <c r="I1312" s="33">
        <f>IF(H1312="","",ROUND(MAX(0,H1312-8),2))</f>
        <v/>
      </c>
      <c r="J1312" s="33">
        <f>IF(OR(E1312="",F1312=""),"",ROUND(IF(MOD(F1312,1)&gt;=TIME(22,0,0),(MOD(F1312,1)-TIME(22,0,0))*24,IF(MOD(F1312,1)&lt;TIME(6,0,0),(MOD(F1312,1)+1-TIME(22,0,0))*24,0)),2))</f>
        <v/>
      </c>
      <c r="K1312" s="33">
        <f>IF(H1312="","",ROUND(IF(L1312="휴일근로",MIN(H1312,8)*1.5+MAX(0,H1312-8)*2,I1312*1.5)+N(J1312)*0.5,2))</f>
        <v/>
      </c>
      <c r="L1312" s="18" t="n"/>
      <c r="M1312" s="18" t="n"/>
      <c r="N1312" s="22" t="n"/>
    </row>
    <row r="1313">
      <c r="A1313" s="19" t="n"/>
      <c r="B1313" s="25">
        <f>IF(A1313="","",CHOOSE(WEEKDAY(A1313,2),"월","화","수","목","금","토","일"))</f>
        <v/>
      </c>
      <c r="C1313" s="18" t="n"/>
      <c r="D1313" s="25">
        <f>IFERROR(IF(C1313="","",INDEX(직원명부!$B$5:$B$24,MATCH(C1313,직원명부!$A$5:$A$24,0))),"사번 확인")</f>
        <v/>
      </c>
      <c r="E1313" s="34" t="n"/>
      <c r="F1313" s="34" t="n"/>
      <c r="G1313" s="28" t="n"/>
      <c r="H1313" s="33">
        <f>IF(OR(E1313="",F1313=""),"",ROUND(MOD(F1313-E1313,1)*24-N(G1313),2))</f>
        <v/>
      </c>
      <c r="I1313" s="33">
        <f>IF(H1313="","",ROUND(MAX(0,H1313-8),2))</f>
        <v/>
      </c>
      <c r="J1313" s="33">
        <f>IF(OR(E1313="",F1313=""),"",ROUND(IF(MOD(F1313,1)&gt;=TIME(22,0,0),(MOD(F1313,1)-TIME(22,0,0))*24,IF(MOD(F1313,1)&lt;TIME(6,0,0),(MOD(F1313,1)+1-TIME(22,0,0))*24,0)),2))</f>
        <v/>
      </c>
      <c r="K1313" s="33">
        <f>IF(H1313="","",ROUND(IF(L1313="휴일근로",MIN(H1313,8)*1.5+MAX(0,H1313-8)*2,I1313*1.5)+N(J1313)*0.5,2))</f>
        <v/>
      </c>
      <c r="L1313" s="18" t="n"/>
      <c r="M1313" s="18" t="n"/>
      <c r="N1313" s="22" t="n"/>
    </row>
    <row r="1314">
      <c r="A1314" s="19" t="n"/>
      <c r="B1314" s="25">
        <f>IF(A1314="","",CHOOSE(WEEKDAY(A1314,2),"월","화","수","목","금","토","일"))</f>
        <v/>
      </c>
      <c r="C1314" s="18" t="n"/>
      <c r="D1314" s="25">
        <f>IFERROR(IF(C1314="","",INDEX(직원명부!$B$5:$B$24,MATCH(C1314,직원명부!$A$5:$A$24,0))),"사번 확인")</f>
        <v/>
      </c>
      <c r="E1314" s="34" t="n"/>
      <c r="F1314" s="34" t="n"/>
      <c r="G1314" s="28" t="n"/>
      <c r="H1314" s="33">
        <f>IF(OR(E1314="",F1314=""),"",ROUND(MOD(F1314-E1314,1)*24-N(G1314),2))</f>
        <v/>
      </c>
      <c r="I1314" s="33">
        <f>IF(H1314="","",ROUND(MAX(0,H1314-8),2))</f>
        <v/>
      </c>
      <c r="J1314" s="33">
        <f>IF(OR(E1314="",F1314=""),"",ROUND(IF(MOD(F1314,1)&gt;=TIME(22,0,0),(MOD(F1314,1)-TIME(22,0,0))*24,IF(MOD(F1314,1)&lt;TIME(6,0,0),(MOD(F1314,1)+1-TIME(22,0,0))*24,0)),2))</f>
        <v/>
      </c>
      <c r="K1314" s="33">
        <f>IF(H1314="","",ROUND(IF(L1314="휴일근로",MIN(H1314,8)*1.5+MAX(0,H1314-8)*2,I1314*1.5)+N(J1314)*0.5,2))</f>
        <v/>
      </c>
      <c r="L1314" s="18" t="n"/>
      <c r="M1314" s="18" t="n"/>
      <c r="N1314" s="22" t="n"/>
    </row>
    <row r="1315">
      <c r="A1315" s="19" t="n"/>
      <c r="B1315" s="25">
        <f>IF(A1315="","",CHOOSE(WEEKDAY(A1315,2),"월","화","수","목","금","토","일"))</f>
        <v/>
      </c>
      <c r="C1315" s="18" t="n"/>
      <c r="D1315" s="25">
        <f>IFERROR(IF(C1315="","",INDEX(직원명부!$B$5:$B$24,MATCH(C1315,직원명부!$A$5:$A$24,0))),"사번 확인")</f>
        <v/>
      </c>
      <c r="E1315" s="34" t="n"/>
      <c r="F1315" s="34" t="n"/>
      <c r="G1315" s="28" t="n"/>
      <c r="H1315" s="33">
        <f>IF(OR(E1315="",F1315=""),"",ROUND(MOD(F1315-E1315,1)*24-N(G1315),2))</f>
        <v/>
      </c>
      <c r="I1315" s="33">
        <f>IF(H1315="","",ROUND(MAX(0,H1315-8),2))</f>
        <v/>
      </c>
      <c r="J1315" s="33">
        <f>IF(OR(E1315="",F1315=""),"",ROUND(IF(MOD(F1315,1)&gt;=TIME(22,0,0),(MOD(F1315,1)-TIME(22,0,0))*24,IF(MOD(F1315,1)&lt;TIME(6,0,0),(MOD(F1315,1)+1-TIME(22,0,0))*24,0)),2))</f>
        <v/>
      </c>
      <c r="K1315" s="33">
        <f>IF(H1315="","",ROUND(IF(L1315="휴일근로",MIN(H1315,8)*1.5+MAX(0,H1315-8)*2,I1315*1.5)+N(J1315)*0.5,2))</f>
        <v/>
      </c>
      <c r="L1315" s="18" t="n"/>
      <c r="M1315" s="18" t="n"/>
      <c r="N1315" s="22" t="n"/>
    </row>
    <row r="1316">
      <c r="A1316" s="19" t="n"/>
      <c r="B1316" s="25">
        <f>IF(A1316="","",CHOOSE(WEEKDAY(A1316,2),"월","화","수","목","금","토","일"))</f>
        <v/>
      </c>
      <c r="C1316" s="18" t="n"/>
      <c r="D1316" s="25">
        <f>IFERROR(IF(C1316="","",INDEX(직원명부!$B$5:$B$24,MATCH(C1316,직원명부!$A$5:$A$24,0))),"사번 확인")</f>
        <v/>
      </c>
      <c r="E1316" s="34" t="n"/>
      <c r="F1316" s="34" t="n"/>
      <c r="G1316" s="28" t="n"/>
      <c r="H1316" s="33">
        <f>IF(OR(E1316="",F1316=""),"",ROUND(MOD(F1316-E1316,1)*24-N(G1316),2))</f>
        <v/>
      </c>
      <c r="I1316" s="33">
        <f>IF(H1316="","",ROUND(MAX(0,H1316-8),2))</f>
        <v/>
      </c>
      <c r="J1316" s="33">
        <f>IF(OR(E1316="",F1316=""),"",ROUND(IF(MOD(F1316,1)&gt;=TIME(22,0,0),(MOD(F1316,1)-TIME(22,0,0))*24,IF(MOD(F1316,1)&lt;TIME(6,0,0),(MOD(F1316,1)+1-TIME(22,0,0))*24,0)),2))</f>
        <v/>
      </c>
      <c r="K1316" s="33">
        <f>IF(H1316="","",ROUND(IF(L1316="휴일근로",MIN(H1316,8)*1.5+MAX(0,H1316-8)*2,I1316*1.5)+N(J1316)*0.5,2))</f>
        <v/>
      </c>
      <c r="L1316" s="18" t="n"/>
      <c r="M1316" s="18" t="n"/>
      <c r="N1316" s="22" t="n"/>
    </row>
    <row r="1317">
      <c r="A1317" s="19" t="n"/>
      <c r="B1317" s="25">
        <f>IF(A1317="","",CHOOSE(WEEKDAY(A1317,2),"월","화","수","목","금","토","일"))</f>
        <v/>
      </c>
      <c r="C1317" s="18" t="n"/>
      <c r="D1317" s="25">
        <f>IFERROR(IF(C1317="","",INDEX(직원명부!$B$5:$B$24,MATCH(C1317,직원명부!$A$5:$A$24,0))),"사번 확인")</f>
        <v/>
      </c>
      <c r="E1317" s="34" t="n"/>
      <c r="F1317" s="34" t="n"/>
      <c r="G1317" s="28" t="n"/>
      <c r="H1317" s="33">
        <f>IF(OR(E1317="",F1317=""),"",ROUND(MOD(F1317-E1317,1)*24-N(G1317),2))</f>
        <v/>
      </c>
      <c r="I1317" s="33">
        <f>IF(H1317="","",ROUND(MAX(0,H1317-8),2))</f>
        <v/>
      </c>
      <c r="J1317" s="33">
        <f>IF(OR(E1317="",F1317=""),"",ROUND(IF(MOD(F1317,1)&gt;=TIME(22,0,0),(MOD(F1317,1)-TIME(22,0,0))*24,IF(MOD(F1317,1)&lt;TIME(6,0,0),(MOD(F1317,1)+1-TIME(22,0,0))*24,0)),2))</f>
        <v/>
      </c>
      <c r="K1317" s="33">
        <f>IF(H1317="","",ROUND(IF(L1317="휴일근로",MIN(H1317,8)*1.5+MAX(0,H1317-8)*2,I1317*1.5)+N(J1317)*0.5,2))</f>
        <v/>
      </c>
      <c r="L1317" s="18" t="n"/>
      <c r="M1317" s="18" t="n"/>
      <c r="N1317" s="22" t="n"/>
    </row>
    <row r="1318">
      <c r="A1318" s="19" t="n"/>
      <c r="B1318" s="25">
        <f>IF(A1318="","",CHOOSE(WEEKDAY(A1318,2),"월","화","수","목","금","토","일"))</f>
        <v/>
      </c>
      <c r="C1318" s="18" t="n"/>
      <c r="D1318" s="25">
        <f>IFERROR(IF(C1318="","",INDEX(직원명부!$B$5:$B$24,MATCH(C1318,직원명부!$A$5:$A$24,0))),"사번 확인")</f>
        <v/>
      </c>
      <c r="E1318" s="34" t="n"/>
      <c r="F1318" s="34" t="n"/>
      <c r="G1318" s="28" t="n"/>
      <c r="H1318" s="33">
        <f>IF(OR(E1318="",F1318=""),"",ROUND(MOD(F1318-E1318,1)*24-N(G1318),2))</f>
        <v/>
      </c>
      <c r="I1318" s="33">
        <f>IF(H1318="","",ROUND(MAX(0,H1318-8),2))</f>
        <v/>
      </c>
      <c r="J1318" s="33">
        <f>IF(OR(E1318="",F1318=""),"",ROUND(IF(MOD(F1318,1)&gt;=TIME(22,0,0),(MOD(F1318,1)-TIME(22,0,0))*24,IF(MOD(F1318,1)&lt;TIME(6,0,0),(MOD(F1318,1)+1-TIME(22,0,0))*24,0)),2))</f>
        <v/>
      </c>
      <c r="K1318" s="33">
        <f>IF(H1318="","",ROUND(IF(L1318="휴일근로",MIN(H1318,8)*1.5+MAX(0,H1318-8)*2,I1318*1.5)+N(J1318)*0.5,2))</f>
        <v/>
      </c>
      <c r="L1318" s="18" t="n"/>
      <c r="M1318" s="18" t="n"/>
      <c r="N1318" s="22" t="n"/>
    </row>
    <row r="1319">
      <c r="A1319" s="19" t="n"/>
      <c r="B1319" s="25">
        <f>IF(A1319="","",CHOOSE(WEEKDAY(A1319,2),"월","화","수","목","금","토","일"))</f>
        <v/>
      </c>
      <c r="C1319" s="18" t="n"/>
      <c r="D1319" s="25">
        <f>IFERROR(IF(C1319="","",INDEX(직원명부!$B$5:$B$24,MATCH(C1319,직원명부!$A$5:$A$24,0))),"사번 확인")</f>
        <v/>
      </c>
      <c r="E1319" s="34" t="n"/>
      <c r="F1319" s="34" t="n"/>
      <c r="G1319" s="28" t="n"/>
      <c r="H1319" s="33">
        <f>IF(OR(E1319="",F1319=""),"",ROUND(MOD(F1319-E1319,1)*24-N(G1319),2))</f>
        <v/>
      </c>
      <c r="I1319" s="33">
        <f>IF(H1319="","",ROUND(MAX(0,H1319-8),2))</f>
        <v/>
      </c>
      <c r="J1319" s="33">
        <f>IF(OR(E1319="",F1319=""),"",ROUND(IF(MOD(F1319,1)&gt;=TIME(22,0,0),(MOD(F1319,1)-TIME(22,0,0))*24,IF(MOD(F1319,1)&lt;TIME(6,0,0),(MOD(F1319,1)+1-TIME(22,0,0))*24,0)),2))</f>
        <v/>
      </c>
      <c r="K1319" s="33">
        <f>IF(H1319="","",ROUND(IF(L1319="휴일근로",MIN(H1319,8)*1.5+MAX(0,H1319-8)*2,I1319*1.5)+N(J1319)*0.5,2))</f>
        <v/>
      </c>
      <c r="L1319" s="18" t="n"/>
      <c r="M1319" s="18" t="n"/>
      <c r="N1319" s="22" t="n"/>
    </row>
    <row r="1320">
      <c r="A1320" s="19" t="n"/>
      <c r="B1320" s="25">
        <f>IF(A1320="","",CHOOSE(WEEKDAY(A1320,2),"월","화","수","목","금","토","일"))</f>
        <v/>
      </c>
      <c r="C1320" s="18" t="n"/>
      <c r="D1320" s="25">
        <f>IFERROR(IF(C1320="","",INDEX(직원명부!$B$5:$B$24,MATCH(C1320,직원명부!$A$5:$A$24,0))),"사번 확인")</f>
        <v/>
      </c>
      <c r="E1320" s="34" t="n"/>
      <c r="F1320" s="34" t="n"/>
      <c r="G1320" s="28" t="n"/>
      <c r="H1320" s="33">
        <f>IF(OR(E1320="",F1320=""),"",ROUND(MOD(F1320-E1320,1)*24-N(G1320),2))</f>
        <v/>
      </c>
      <c r="I1320" s="33">
        <f>IF(H1320="","",ROUND(MAX(0,H1320-8),2))</f>
        <v/>
      </c>
      <c r="J1320" s="33">
        <f>IF(OR(E1320="",F1320=""),"",ROUND(IF(MOD(F1320,1)&gt;=TIME(22,0,0),(MOD(F1320,1)-TIME(22,0,0))*24,IF(MOD(F1320,1)&lt;TIME(6,0,0),(MOD(F1320,1)+1-TIME(22,0,0))*24,0)),2))</f>
        <v/>
      </c>
      <c r="K1320" s="33">
        <f>IF(H1320="","",ROUND(IF(L1320="휴일근로",MIN(H1320,8)*1.5+MAX(0,H1320-8)*2,I1320*1.5)+N(J1320)*0.5,2))</f>
        <v/>
      </c>
      <c r="L1320" s="18" t="n"/>
      <c r="M1320" s="18" t="n"/>
      <c r="N1320" s="22" t="n"/>
    </row>
    <row r="1321">
      <c r="A1321" s="19" t="n"/>
      <c r="B1321" s="25">
        <f>IF(A1321="","",CHOOSE(WEEKDAY(A1321,2),"월","화","수","목","금","토","일"))</f>
        <v/>
      </c>
      <c r="C1321" s="18" t="n"/>
      <c r="D1321" s="25">
        <f>IFERROR(IF(C1321="","",INDEX(직원명부!$B$5:$B$24,MATCH(C1321,직원명부!$A$5:$A$24,0))),"사번 확인")</f>
        <v/>
      </c>
      <c r="E1321" s="34" t="n"/>
      <c r="F1321" s="34" t="n"/>
      <c r="G1321" s="28" t="n"/>
      <c r="H1321" s="33">
        <f>IF(OR(E1321="",F1321=""),"",ROUND(MOD(F1321-E1321,1)*24-N(G1321),2))</f>
        <v/>
      </c>
      <c r="I1321" s="33">
        <f>IF(H1321="","",ROUND(MAX(0,H1321-8),2))</f>
        <v/>
      </c>
      <c r="J1321" s="33">
        <f>IF(OR(E1321="",F1321=""),"",ROUND(IF(MOD(F1321,1)&gt;=TIME(22,0,0),(MOD(F1321,1)-TIME(22,0,0))*24,IF(MOD(F1321,1)&lt;TIME(6,0,0),(MOD(F1321,1)+1-TIME(22,0,0))*24,0)),2))</f>
        <v/>
      </c>
      <c r="K1321" s="33">
        <f>IF(H1321="","",ROUND(IF(L1321="휴일근로",MIN(H1321,8)*1.5+MAX(0,H1321-8)*2,I1321*1.5)+N(J1321)*0.5,2))</f>
        <v/>
      </c>
      <c r="L1321" s="18" t="n"/>
      <c r="M1321" s="18" t="n"/>
      <c r="N1321" s="22" t="n"/>
    </row>
    <row r="1322">
      <c r="A1322" s="19" t="n"/>
      <c r="B1322" s="25">
        <f>IF(A1322="","",CHOOSE(WEEKDAY(A1322,2),"월","화","수","목","금","토","일"))</f>
        <v/>
      </c>
      <c r="C1322" s="18" t="n"/>
      <c r="D1322" s="25">
        <f>IFERROR(IF(C1322="","",INDEX(직원명부!$B$5:$B$24,MATCH(C1322,직원명부!$A$5:$A$24,0))),"사번 확인")</f>
        <v/>
      </c>
      <c r="E1322" s="34" t="n"/>
      <c r="F1322" s="34" t="n"/>
      <c r="G1322" s="28" t="n"/>
      <c r="H1322" s="33">
        <f>IF(OR(E1322="",F1322=""),"",ROUND(MOD(F1322-E1322,1)*24-N(G1322),2))</f>
        <v/>
      </c>
      <c r="I1322" s="33">
        <f>IF(H1322="","",ROUND(MAX(0,H1322-8),2))</f>
        <v/>
      </c>
      <c r="J1322" s="33">
        <f>IF(OR(E1322="",F1322=""),"",ROUND(IF(MOD(F1322,1)&gt;=TIME(22,0,0),(MOD(F1322,1)-TIME(22,0,0))*24,IF(MOD(F1322,1)&lt;TIME(6,0,0),(MOD(F1322,1)+1-TIME(22,0,0))*24,0)),2))</f>
        <v/>
      </c>
      <c r="K1322" s="33">
        <f>IF(H1322="","",ROUND(IF(L1322="휴일근로",MIN(H1322,8)*1.5+MAX(0,H1322-8)*2,I1322*1.5)+N(J1322)*0.5,2))</f>
        <v/>
      </c>
      <c r="L1322" s="18" t="n"/>
      <c r="M1322" s="18" t="n"/>
      <c r="N1322" s="22" t="n"/>
    </row>
    <row r="1323">
      <c r="A1323" s="19" t="n"/>
      <c r="B1323" s="25">
        <f>IF(A1323="","",CHOOSE(WEEKDAY(A1323,2),"월","화","수","목","금","토","일"))</f>
        <v/>
      </c>
      <c r="C1323" s="18" t="n"/>
      <c r="D1323" s="25">
        <f>IFERROR(IF(C1323="","",INDEX(직원명부!$B$5:$B$24,MATCH(C1323,직원명부!$A$5:$A$24,0))),"사번 확인")</f>
        <v/>
      </c>
      <c r="E1323" s="34" t="n"/>
      <c r="F1323" s="34" t="n"/>
      <c r="G1323" s="28" t="n"/>
      <c r="H1323" s="33">
        <f>IF(OR(E1323="",F1323=""),"",ROUND(MOD(F1323-E1323,1)*24-N(G1323),2))</f>
        <v/>
      </c>
      <c r="I1323" s="33">
        <f>IF(H1323="","",ROUND(MAX(0,H1323-8),2))</f>
        <v/>
      </c>
      <c r="J1323" s="33">
        <f>IF(OR(E1323="",F1323=""),"",ROUND(IF(MOD(F1323,1)&gt;=TIME(22,0,0),(MOD(F1323,1)-TIME(22,0,0))*24,IF(MOD(F1323,1)&lt;TIME(6,0,0),(MOD(F1323,1)+1-TIME(22,0,0))*24,0)),2))</f>
        <v/>
      </c>
      <c r="K1323" s="33">
        <f>IF(H1323="","",ROUND(IF(L1323="휴일근로",MIN(H1323,8)*1.5+MAX(0,H1323-8)*2,I1323*1.5)+N(J1323)*0.5,2))</f>
        <v/>
      </c>
      <c r="L1323" s="18" t="n"/>
      <c r="M1323" s="18" t="n"/>
      <c r="N1323" s="22" t="n"/>
    </row>
    <row r="1324">
      <c r="A1324" s="19" t="n"/>
      <c r="B1324" s="25">
        <f>IF(A1324="","",CHOOSE(WEEKDAY(A1324,2),"월","화","수","목","금","토","일"))</f>
        <v/>
      </c>
      <c r="C1324" s="18" t="n"/>
      <c r="D1324" s="25">
        <f>IFERROR(IF(C1324="","",INDEX(직원명부!$B$5:$B$24,MATCH(C1324,직원명부!$A$5:$A$24,0))),"사번 확인")</f>
        <v/>
      </c>
      <c r="E1324" s="34" t="n"/>
      <c r="F1324" s="34" t="n"/>
      <c r="G1324" s="28" t="n"/>
      <c r="H1324" s="33">
        <f>IF(OR(E1324="",F1324=""),"",ROUND(MOD(F1324-E1324,1)*24-N(G1324),2))</f>
        <v/>
      </c>
      <c r="I1324" s="33">
        <f>IF(H1324="","",ROUND(MAX(0,H1324-8),2))</f>
        <v/>
      </c>
      <c r="J1324" s="33">
        <f>IF(OR(E1324="",F1324=""),"",ROUND(IF(MOD(F1324,1)&gt;=TIME(22,0,0),(MOD(F1324,1)-TIME(22,0,0))*24,IF(MOD(F1324,1)&lt;TIME(6,0,0),(MOD(F1324,1)+1-TIME(22,0,0))*24,0)),2))</f>
        <v/>
      </c>
      <c r="K1324" s="33">
        <f>IF(H1324="","",ROUND(IF(L1324="휴일근로",MIN(H1324,8)*1.5+MAX(0,H1324-8)*2,I1324*1.5)+N(J1324)*0.5,2))</f>
        <v/>
      </c>
      <c r="L1324" s="18" t="n"/>
      <c r="M1324" s="18" t="n"/>
      <c r="N1324" s="22" t="n"/>
    </row>
    <row r="1325">
      <c r="A1325" s="19" t="n"/>
      <c r="B1325" s="25">
        <f>IF(A1325="","",CHOOSE(WEEKDAY(A1325,2),"월","화","수","목","금","토","일"))</f>
        <v/>
      </c>
      <c r="C1325" s="18" t="n"/>
      <c r="D1325" s="25">
        <f>IFERROR(IF(C1325="","",INDEX(직원명부!$B$5:$B$24,MATCH(C1325,직원명부!$A$5:$A$24,0))),"사번 확인")</f>
        <v/>
      </c>
      <c r="E1325" s="34" t="n"/>
      <c r="F1325" s="34" t="n"/>
      <c r="G1325" s="28" t="n"/>
      <c r="H1325" s="33">
        <f>IF(OR(E1325="",F1325=""),"",ROUND(MOD(F1325-E1325,1)*24-N(G1325),2))</f>
        <v/>
      </c>
      <c r="I1325" s="33">
        <f>IF(H1325="","",ROUND(MAX(0,H1325-8),2))</f>
        <v/>
      </c>
      <c r="J1325" s="33">
        <f>IF(OR(E1325="",F1325=""),"",ROUND(IF(MOD(F1325,1)&gt;=TIME(22,0,0),(MOD(F1325,1)-TIME(22,0,0))*24,IF(MOD(F1325,1)&lt;TIME(6,0,0),(MOD(F1325,1)+1-TIME(22,0,0))*24,0)),2))</f>
        <v/>
      </c>
      <c r="K1325" s="33">
        <f>IF(H1325="","",ROUND(IF(L1325="휴일근로",MIN(H1325,8)*1.5+MAX(0,H1325-8)*2,I1325*1.5)+N(J1325)*0.5,2))</f>
        <v/>
      </c>
      <c r="L1325" s="18" t="n"/>
      <c r="M1325" s="18" t="n"/>
      <c r="N1325" s="22" t="n"/>
    </row>
    <row r="1326">
      <c r="A1326" s="19" t="n"/>
      <c r="B1326" s="25">
        <f>IF(A1326="","",CHOOSE(WEEKDAY(A1326,2),"월","화","수","목","금","토","일"))</f>
        <v/>
      </c>
      <c r="C1326" s="18" t="n"/>
      <c r="D1326" s="25">
        <f>IFERROR(IF(C1326="","",INDEX(직원명부!$B$5:$B$24,MATCH(C1326,직원명부!$A$5:$A$24,0))),"사번 확인")</f>
        <v/>
      </c>
      <c r="E1326" s="34" t="n"/>
      <c r="F1326" s="34" t="n"/>
      <c r="G1326" s="28" t="n"/>
      <c r="H1326" s="33">
        <f>IF(OR(E1326="",F1326=""),"",ROUND(MOD(F1326-E1326,1)*24-N(G1326),2))</f>
        <v/>
      </c>
      <c r="I1326" s="33">
        <f>IF(H1326="","",ROUND(MAX(0,H1326-8),2))</f>
        <v/>
      </c>
      <c r="J1326" s="33">
        <f>IF(OR(E1326="",F1326=""),"",ROUND(IF(MOD(F1326,1)&gt;=TIME(22,0,0),(MOD(F1326,1)-TIME(22,0,0))*24,IF(MOD(F1326,1)&lt;TIME(6,0,0),(MOD(F1326,1)+1-TIME(22,0,0))*24,0)),2))</f>
        <v/>
      </c>
      <c r="K1326" s="33">
        <f>IF(H1326="","",ROUND(IF(L1326="휴일근로",MIN(H1326,8)*1.5+MAX(0,H1326-8)*2,I1326*1.5)+N(J1326)*0.5,2))</f>
        <v/>
      </c>
      <c r="L1326" s="18" t="n"/>
      <c r="M1326" s="18" t="n"/>
      <c r="N1326" s="22" t="n"/>
    </row>
    <row r="1327">
      <c r="A1327" s="19" t="n"/>
      <c r="B1327" s="25">
        <f>IF(A1327="","",CHOOSE(WEEKDAY(A1327,2),"월","화","수","목","금","토","일"))</f>
        <v/>
      </c>
      <c r="C1327" s="18" t="n"/>
      <c r="D1327" s="25">
        <f>IFERROR(IF(C1327="","",INDEX(직원명부!$B$5:$B$24,MATCH(C1327,직원명부!$A$5:$A$24,0))),"사번 확인")</f>
        <v/>
      </c>
      <c r="E1327" s="34" t="n"/>
      <c r="F1327" s="34" t="n"/>
      <c r="G1327" s="28" t="n"/>
      <c r="H1327" s="33">
        <f>IF(OR(E1327="",F1327=""),"",ROUND(MOD(F1327-E1327,1)*24-N(G1327),2))</f>
        <v/>
      </c>
      <c r="I1327" s="33">
        <f>IF(H1327="","",ROUND(MAX(0,H1327-8),2))</f>
        <v/>
      </c>
      <c r="J1327" s="33">
        <f>IF(OR(E1327="",F1327=""),"",ROUND(IF(MOD(F1327,1)&gt;=TIME(22,0,0),(MOD(F1327,1)-TIME(22,0,0))*24,IF(MOD(F1327,1)&lt;TIME(6,0,0),(MOD(F1327,1)+1-TIME(22,0,0))*24,0)),2))</f>
        <v/>
      </c>
      <c r="K1327" s="33">
        <f>IF(H1327="","",ROUND(IF(L1327="휴일근로",MIN(H1327,8)*1.5+MAX(0,H1327-8)*2,I1327*1.5)+N(J1327)*0.5,2))</f>
        <v/>
      </c>
      <c r="L1327" s="18" t="n"/>
      <c r="M1327" s="18" t="n"/>
      <c r="N1327" s="22" t="n"/>
    </row>
    <row r="1328">
      <c r="A1328" s="19" t="n"/>
      <c r="B1328" s="25">
        <f>IF(A1328="","",CHOOSE(WEEKDAY(A1328,2),"월","화","수","목","금","토","일"))</f>
        <v/>
      </c>
      <c r="C1328" s="18" t="n"/>
      <c r="D1328" s="25">
        <f>IFERROR(IF(C1328="","",INDEX(직원명부!$B$5:$B$24,MATCH(C1328,직원명부!$A$5:$A$24,0))),"사번 확인")</f>
        <v/>
      </c>
      <c r="E1328" s="34" t="n"/>
      <c r="F1328" s="34" t="n"/>
      <c r="G1328" s="28" t="n"/>
      <c r="H1328" s="33">
        <f>IF(OR(E1328="",F1328=""),"",ROUND(MOD(F1328-E1328,1)*24-N(G1328),2))</f>
        <v/>
      </c>
      <c r="I1328" s="33">
        <f>IF(H1328="","",ROUND(MAX(0,H1328-8),2))</f>
        <v/>
      </c>
      <c r="J1328" s="33">
        <f>IF(OR(E1328="",F1328=""),"",ROUND(IF(MOD(F1328,1)&gt;=TIME(22,0,0),(MOD(F1328,1)-TIME(22,0,0))*24,IF(MOD(F1328,1)&lt;TIME(6,0,0),(MOD(F1328,1)+1-TIME(22,0,0))*24,0)),2))</f>
        <v/>
      </c>
      <c r="K1328" s="33">
        <f>IF(H1328="","",ROUND(IF(L1328="휴일근로",MIN(H1328,8)*1.5+MAX(0,H1328-8)*2,I1328*1.5)+N(J1328)*0.5,2))</f>
        <v/>
      </c>
      <c r="L1328" s="18" t="n"/>
      <c r="M1328" s="18" t="n"/>
      <c r="N1328" s="22" t="n"/>
    </row>
    <row r="1329">
      <c r="A1329" s="19" t="n"/>
      <c r="B1329" s="25">
        <f>IF(A1329="","",CHOOSE(WEEKDAY(A1329,2),"월","화","수","목","금","토","일"))</f>
        <v/>
      </c>
      <c r="C1329" s="18" t="n"/>
      <c r="D1329" s="25">
        <f>IFERROR(IF(C1329="","",INDEX(직원명부!$B$5:$B$24,MATCH(C1329,직원명부!$A$5:$A$24,0))),"사번 확인")</f>
        <v/>
      </c>
      <c r="E1329" s="34" t="n"/>
      <c r="F1329" s="34" t="n"/>
      <c r="G1329" s="28" t="n"/>
      <c r="H1329" s="33">
        <f>IF(OR(E1329="",F1329=""),"",ROUND(MOD(F1329-E1329,1)*24-N(G1329),2))</f>
        <v/>
      </c>
      <c r="I1329" s="33">
        <f>IF(H1329="","",ROUND(MAX(0,H1329-8),2))</f>
        <v/>
      </c>
      <c r="J1329" s="33">
        <f>IF(OR(E1329="",F1329=""),"",ROUND(IF(MOD(F1329,1)&gt;=TIME(22,0,0),(MOD(F1329,1)-TIME(22,0,0))*24,IF(MOD(F1329,1)&lt;TIME(6,0,0),(MOD(F1329,1)+1-TIME(22,0,0))*24,0)),2))</f>
        <v/>
      </c>
      <c r="K1329" s="33">
        <f>IF(H1329="","",ROUND(IF(L1329="휴일근로",MIN(H1329,8)*1.5+MAX(0,H1329-8)*2,I1329*1.5)+N(J1329)*0.5,2))</f>
        <v/>
      </c>
      <c r="L1329" s="18" t="n"/>
      <c r="M1329" s="18" t="n"/>
      <c r="N1329" s="22" t="n"/>
    </row>
    <row r="1330">
      <c r="A1330" s="19" t="n"/>
      <c r="B1330" s="25">
        <f>IF(A1330="","",CHOOSE(WEEKDAY(A1330,2),"월","화","수","목","금","토","일"))</f>
        <v/>
      </c>
      <c r="C1330" s="18" t="n"/>
      <c r="D1330" s="25">
        <f>IFERROR(IF(C1330="","",INDEX(직원명부!$B$5:$B$24,MATCH(C1330,직원명부!$A$5:$A$24,0))),"사번 확인")</f>
        <v/>
      </c>
      <c r="E1330" s="34" t="n"/>
      <c r="F1330" s="34" t="n"/>
      <c r="G1330" s="28" t="n"/>
      <c r="H1330" s="33">
        <f>IF(OR(E1330="",F1330=""),"",ROUND(MOD(F1330-E1330,1)*24-N(G1330),2))</f>
        <v/>
      </c>
      <c r="I1330" s="33">
        <f>IF(H1330="","",ROUND(MAX(0,H1330-8),2))</f>
        <v/>
      </c>
      <c r="J1330" s="33">
        <f>IF(OR(E1330="",F1330=""),"",ROUND(IF(MOD(F1330,1)&gt;=TIME(22,0,0),(MOD(F1330,1)-TIME(22,0,0))*24,IF(MOD(F1330,1)&lt;TIME(6,0,0),(MOD(F1330,1)+1-TIME(22,0,0))*24,0)),2))</f>
        <v/>
      </c>
      <c r="K1330" s="33">
        <f>IF(H1330="","",ROUND(IF(L1330="휴일근로",MIN(H1330,8)*1.5+MAX(0,H1330-8)*2,I1330*1.5)+N(J1330)*0.5,2))</f>
        <v/>
      </c>
      <c r="L1330" s="18" t="n"/>
      <c r="M1330" s="18" t="n"/>
      <c r="N1330" s="22" t="n"/>
    </row>
    <row r="1331">
      <c r="A1331" s="19" t="n"/>
      <c r="B1331" s="25">
        <f>IF(A1331="","",CHOOSE(WEEKDAY(A1331,2),"월","화","수","목","금","토","일"))</f>
        <v/>
      </c>
      <c r="C1331" s="18" t="n"/>
      <c r="D1331" s="25">
        <f>IFERROR(IF(C1331="","",INDEX(직원명부!$B$5:$B$24,MATCH(C1331,직원명부!$A$5:$A$24,0))),"사번 확인")</f>
        <v/>
      </c>
      <c r="E1331" s="34" t="n"/>
      <c r="F1331" s="34" t="n"/>
      <c r="G1331" s="28" t="n"/>
      <c r="H1331" s="33">
        <f>IF(OR(E1331="",F1331=""),"",ROUND(MOD(F1331-E1331,1)*24-N(G1331),2))</f>
        <v/>
      </c>
      <c r="I1331" s="33">
        <f>IF(H1331="","",ROUND(MAX(0,H1331-8),2))</f>
        <v/>
      </c>
      <c r="J1331" s="33">
        <f>IF(OR(E1331="",F1331=""),"",ROUND(IF(MOD(F1331,1)&gt;=TIME(22,0,0),(MOD(F1331,1)-TIME(22,0,0))*24,IF(MOD(F1331,1)&lt;TIME(6,0,0),(MOD(F1331,1)+1-TIME(22,0,0))*24,0)),2))</f>
        <v/>
      </c>
      <c r="K1331" s="33">
        <f>IF(H1331="","",ROUND(IF(L1331="휴일근로",MIN(H1331,8)*1.5+MAX(0,H1331-8)*2,I1331*1.5)+N(J1331)*0.5,2))</f>
        <v/>
      </c>
      <c r="L1331" s="18" t="n"/>
      <c r="M1331" s="18" t="n"/>
      <c r="N1331" s="22" t="n"/>
    </row>
    <row r="1332">
      <c r="A1332" s="19" t="n"/>
      <c r="B1332" s="25">
        <f>IF(A1332="","",CHOOSE(WEEKDAY(A1332,2),"월","화","수","목","금","토","일"))</f>
        <v/>
      </c>
      <c r="C1332" s="18" t="n"/>
      <c r="D1332" s="25">
        <f>IFERROR(IF(C1332="","",INDEX(직원명부!$B$5:$B$24,MATCH(C1332,직원명부!$A$5:$A$24,0))),"사번 확인")</f>
        <v/>
      </c>
      <c r="E1332" s="34" t="n"/>
      <c r="F1332" s="34" t="n"/>
      <c r="G1332" s="28" t="n"/>
      <c r="H1332" s="33">
        <f>IF(OR(E1332="",F1332=""),"",ROUND(MOD(F1332-E1332,1)*24-N(G1332),2))</f>
        <v/>
      </c>
      <c r="I1332" s="33">
        <f>IF(H1332="","",ROUND(MAX(0,H1332-8),2))</f>
        <v/>
      </c>
      <c r="J1332" s="33">
        <f>IF(OR(E1332="",F1332=""),"",ROUND(IF(MOD(F1332,1)&gt;=TIME(22,0,0),(MOD(F1332,1)-TIME(22,0,0))*24,IF(MOD(F1332,1)&lt;TIME(6,0,0),(MOD(F1332,1)+1-TIME(22,0,0))*24,0)),2))</f>
        <v/>
      </c>
      <c r="K1332" s="33">
        <f>IF(H1332="","",ROUND(IF(L1332="휴일근로",MIN(H1332,8)*1.5+MAX(0,H1332-8)*2,I1332*1.5)+N(J1332)*0.5,2))</f>
        <v/>
      </c>
      <c r="L1332" s="18" t="n"/>
      <c r="M1332" s="18" t="n"/>
      <c r="N1332" s="22" t="n"/>
    </row>
    <row r="1333">
      <c r="A1333" s="19" t="n"/>
      <c r="B1333" s="25">
        <f>IF(A1333="","",CHOOSE(WEEKDAY(A1333,2),"월","화","수","목","금","토","일"))</f>
        <v/>
      </c>
      <c r="C1333" s="18" t="n"/>
      <c r="D1333" s="25">
        <f>IFERROR(IF(C1333="","",INDEX(직원명부!$B$5:$B$24,MATCH(C1333,직원명부!$A$5:$A$24,0))),"사번 확인")</f>
        <v/>
      </c>
      <c r="E1333" s="34" t="n"/>
      <c r="F1333" s="34" t="n"/>
      <c r="G1333" s="28" t="n"/>
      <c r="H1333" s="33">
        <f>IF(OR(E1333="",F1333=""),"",ROUND(MOD(F1333-E1333,1)*24-N(G1333),2))</f>
        <v/>
      </c>
      <c r="I1333" s="33">
        <f>IF(H1333="","",ROUND(MAX(0,H1333-8),2))</f>
        <v/>
      </c>
      <c r="J1333" s="33">
        <f>IF(OR(E1333="",F1333=""),"",ROUND(IF(MOD(F1333,1)&gt;=TIME(22,0,0),(MOD(F1333,1)-TIME(22,0,0))*24,IF(MOD(F1333,1)&lt;TIME(6,0,0),(MOD(F1333,1)+1-TIME(22,0,0))*24,0)),2))</f>
        <v/>
      </c>
      <c r="K1333" s="33">
        <f>IF(H1333="","",ROUND(IF(L1333="휴일근로",MIN(H1333,8)*1.5+MAX(0,H1333-8)*2,I1333*1.5)+N(J1333)*0.5,2))</f>
        <v/>
      </c>
      <c r="L1333" s="18" t="n"/>
      <c r="M1333" s="18" t="n"/>
      <c r="N1333" s="22" t="n"/>
    </row>
    <row r="1334">
      <c r="A1334" s="19" t="n"/>
      <c r="B1334" s="25">
        <f>IF(A1334="","",CHOOSE(WEEKDAY(A1334,2),"월","화","수","목","금","토","일"))</f>
        <v/>
      </c>
      <c r="C1334" s="18" t="n"/>
      <c r="D1334" s="25">
        <f>IFERROR(IF(C1334="","",INDEX(직원명부!$B$5:$B$24,MATCH(C1334,직원명부!$A$5:$A$24,0))),"사번 확인")</f>
        <v/>
      </c>
      <c r="E1334" s="34" t="n"/>
      <c r="F1334" s="34" t="n"/>
      <c r="G1334" s="28" t="n"/>
      <c r="H1334" s="33">
        <f>IF(OR(E1334="",F1334=""),"",ROUND(MOD(F1334-E1334,1)*24-N(G1334),2))</f>
        <v/>
      </c>
      <c r="I1334" s="33">
        <f>IF(H1334="","",ROUND(MAX(0,H1334-8),2))</f>
        <v/>
      </c>
      <c r="J1334" s="33">
        <f>IF(OR(E1334="",F1334=""),"",ROUND(IF(MOD(F1334,1)&gt;=TIME(22,0,0),(MOD(F1334,1)-TIME(22,0,0))*24,IF(MOD(F1334,1)&lt;TIME(6,0,0),(MOD(F1334,1)+1-TIME(22,0,0))*24,0)),2))</f>
        <v/>
      </c>
      <c r="K1334" s="33">
        <f>IF(H1334="","",ROUND(IF(L1334="휴일근로",MIN(H1334,8)*1.5+MAX(0,H1334-8)*2,I1334*1.5)+N(J1334)*0.5,2))</f>
        <v/>
      </c>
      <c r="L1334" s="18" t="n"/>
      <c r="M1334" s="18" t="n"/>
      <c r="N1334" s="22" t="n"/>
    </row>
    <row r="1335">
      <c r="A1335" s="19" t="n"/>
      <c r="B1335" s="25">
        <f>IF(A1335="","",CHOOSE(WEEKDAY(A1335,2),"월","화","수","목","금","토","일"))</f>
        <v/>
      </c>
      <c r="C1335" s="18" t="n"/>
      <c r="D1335" s="25">
        <f>IFERROR(IF(C1335="","",INDEX(직원명부!$B$5:$B$24,MATCH(C1335,직원명부!$A$5:$A$24,0))),"사번 확인")</f>
        <v/>
      </c>
      <c r="E1335" s="34" t="n"/>
      <c r="F1335" s="34" t="n"/>
      <c r="G1335" s="28" t="n"/>
      <c r="H1335" s="33">
        <f>IF(OR(E1335="",F1335=""),"",ROUND(MOD(F1335-E1335,1)*24-N(G1335),2))</f>
        <v/>
      </c>
      <c r="I1335" s="33">
        <f>IF(H1335="","",ROUND(MAX(0,H1335-8),2))</f>
        <v/>
      </c>
      <c r="J1335" s="33">
        <f>IF(OR(E1335="",F1335=""),"",ROUND(IF(MOD(F1335,1)&gt;=TIME(22,0,0),(MOD(F1335,1)-TIME(22,0,0))*24,IF(MOD(F1335,1)&lt;TIME(6,0,0),(MOD(F1335,1)+1-TIME(22,0,0))*24,0)),2))</f>
        <v/>
      </c>
      <c r="K1335" s="33">
        <f>IF(H1335="","",ROUND(IF(L1335="휴일근로",MIN(H1335,8)*1.5+MAX(0,H1335-8)*2,I1335*1.5)+N(J1335)*0.5,2))</f>
        <v/>
      </c>
      <c r="L1335" s="18" t="n"/>
      <c r="M1335" s="18" t="n"/>
      <c r="N1335" s="22" t="n"/>
    </row>
    <row r="1336">
      <c r="A1336" s="19" t="n"/>
      <c r="B1336" s="25">
        <f>IF(A1336="","",CHOOSE(WEEKDAY(A1336,2),"월","화","수","목","금","토","일"))</f>
        <v/>
      </c>
      <c r="C1336" s="18" t="n"/>
      <c r="D1336" s="25">
        <f>IFERROR(IF(C1336="","",INDEX(직원명부!$B$5:$B$24,MATCH(C1336,직원명부!$A$5:$A$24,0))),"사번 확인")</f>
        <v/>
      </c>
      <c r="E1336" s="34" t="n"/>
      <c r="F1336" s="34" t="n"/>
      <c r="G1336" s="28" t="n"/>
      <c r="H1336" s="33">
        <f>IF(OR(E1336="",F1336=""),"",ROUND(MOD(F1336-E1336,1)*24-N(G1336),2))</f>
        <v/>
      </c>
      <c r="I1336" s="33">
        <f>IF(H1336="","",ROUND(MAX(0,H1336-8),2))</f>
        <v/>
      </c>
      <c r="J1336" s="33">
        <f>IF(OR(E1336="",F1336=""),"",ROUND(IF(MOD(F1336,1)&gt;=TIME(22,0,0),(MOD(F1336,1)-TIME(22,0,0))*24,IF(MOD(F1336,1)&lt;TIME(6,0,0),(MOD(F1336,1)+1-TIME(22,0,0))*24,0)),2))</f>
        <v/>
      </c>
      <c r="K1336" s="33">
        <f>IF(H1336="","",ROUND(IF(L1336="휴일근로",MIN(H1336,8)*1.5+MAX(0,H1336-8)*2,I1336*1.5)+N(J1336)*0.5,2))</f>
        <v/>
      </c>
      <c r="L1336" s="18" t="n"/>
      <c r="M1336" s="18" t="n"/>
      <c r="N1336" s="22" t="n"/>
    </row>
    <row r="1337">
      <c r="A1337" s="19" t="n"/>
      <c r="B1337" s="25">
        <f>IF(A1337="","",CHOOSE(WEEKDAY(A1337,2),"월","화","수","목","금","토","일"))</f>
        <v/>
      </c>
      <c r="C1337" s="18" t="n"/>
      <c r="D1337" s="25">
        <f>IFERROR(IF(C1337="","",INDEX(직원명부!$B$5:$B$24,MATCH(C1337,직원명부!$A$5:$A$24,0))),"사번 확인")</f>
        <v/>
      </c>
      <c r="E1337" s="34" t="n"/>
      <c r="F1337" s="34" t="n"/>
      <c r="G1337" s="28" t="n"/>
      <c r="H1337" s="33">
        <f>IF(OR(E1337="",F1337=""),"",ROUND(MOD(F1337-E1337,1)*24-N(G1337),2))</f>
        <v/>
      </c>
      <c r="I1337" s="33">
        <f>IF(H1337="","",ROUND(MAX(0,H1337-8),2))</f>
        <v/>
      </c>
      <c r="J1337" s="33">
        <f>IF(OR(E1337="",F1337=""),"",ROUND(IF(MOD(F1337,1)&gt;=TIME(22,0,0),(MOD(F1337,1)-TIME(22,0,0))*24,IF(MOD(F1337,1)&lt;TIME(6,0,0),(MOD(F1337,1)+1-TIME(22,0,0))*24,0)),2))</f>
        <v/>
      </c>
      <c r="K1337" s="33">
        <f>IF(H1337="","",ROUND(IF(L1337="휴일근로",MIN(H1337,8)*1.5+MAX(0,H1337-8)*2,I1337*1.5)+N(J1337)*0.5,2))</f>
        <v/>
      </c>
      <c r="L1337" s="18" t="n"/>
      <c r="M1337" s="18" t="n"/>
      <c r="N1337" s="22" t="n"/>
    </row>
    <row r="1338">
      <c r="A1338" s="19" t="n"/>
      <c r="B1338" s="25">
        <f>IF(A1338="","",CHOOSE(WEEKDAY(A1338,2),"월","화","수","목","금","토","일"))</f>
        <v/>
      </c>
      <c r="C1338" s="18" t="n"/>
      <c r="D1338" s="25">
        <f>IFERROR(IF(C1338="","",INDEX(직원명부!$B$5:$B$24,MATCH(C1338,직원명부!$A$5:$A$24,0))),"사번 확인")</f>
        <v/>
      </c>
      <c r="E1338" s="34" t="n"/>
      <c r="F1338" s="34" t="n"/>
      <c r="G1338" s="28" t="n"/>
      <c r="H1338" s="33">
        <f>IF(OR(E1338="",F1338=""),"",ROUND(MOD(F1338-E1338,1)*24-N(G1338),2))</f>
        <v/>
      </c>
      <c r="I1338" s="33">
        <f>IF(H1338="","",ROUND(MAX(0,H1338-8),2))</f>
        <v/>
      </c>
      <c r="J1338" s="33">
        <f>IF(OR(E1338="",F1338=""),"",ROUND(IF(MOD(F1338,1)&gt;=TIME(22,0,0),(MOD(F1338,1)-TIME(22,0,0))*24,IF(MOD(F1338,1)&lt;TIME(6,0,0),(MOD(F1338,1)+1-TIME(22,0,0))*24,0)),2))</f>
        <v/>
      </c>
      <c r="K1338" s="33">
        <f>IF(H1338="","",ROUND(IF(L1338="휴일근로",MIN(H1338,8)*1.5+MAX(0,H1338-8)*2,I1338*1.5)+N(J1338)*0.5,2))</f>
        <v/>
      </c>
      <c r="L1338" s="18" t="n"/>
      <c r="M1338" s="18" t="n"/>
      <c r="N1338" s="22" t="n"/>
    </row>
    <row r="1339">
      <c r="A1339" s="19" t="n"/>
      <c r="B1339" s="25">
        <f>IF(A1339="","",CHOOSE(WEEKDAY(A1339,2),"월","화","수","목","금","토","일"))</f>
        <v/>
      </c>
      <c r="C1339" s="18" t="n"/>
      <c r="D1339" s="25">
        <f>IFERROR(IF(C1339="","",INDEX(직원명부!$B$5:$B$24,MATCH(C1339,직원명부!$A$5:$A$24,0))),"사번 확인")</f>
        <v/>
      </c>
      <c r="E1339" s="34" t="n"/>
      <c r="F1339" s="34" t="n"/>
      <c r="G1339" s="28" t="n"/>
      <c r="H1339" s="33">
        <f>IF(OR(E1339="",F1339=""),"",ROUND(MOD(F1339-E1339,1)*24-N(G1339),2))</f>
        <v/>
      </c>
      <c r="I1339" s="33">
        <f>IF(H1339="","",ROUND(MAX(0,H1339-8),2))</f>
        <v/>
      </c>
      <c r="J1339" s="33">
        <f>IF(OR(E1339="",F1339=""),"",ROUND(IF(MOD(F1339,1)&gt;=TIME(22,0,0),(MOD(F1339,1)-TIME(22,0,0))*24,IF(MOD(F1339,1)&lt;TIME(6,0,0),(MOD(F1339,1)+1-TIME(22,0,0))*24,0)),2))</f>
        <v/>
      </c>
      <c r="K1339" s="33">
        <f>IF(H1339="","",ROUND(IF(L1339="휴일근로",MIN(H1339,8)*1.5+MAX(0,H1339-8)*2,I1339*1.5)+N(J1339)*0.5,2))</f>
        <v/>
      </c>
      <c r="L1339" s="18" t="n"/>
      <c r="M1339" s="18" t="n"/>
      <c r="N1339" s="22" t="n"/>
    </row>
    <row r="1340">
      <c r="A1340" s="19" t="n"/>
      <c r="B1340" s="25">
        <f>IF(A1340="","",CHOOSE(WEEKDAY(A1340,2),"월","화","수","목","금","토","일"))</f>
        <v/>
      </c>
      <c r="C1340" s="18" t="n"/>
      <c r="D1340" s="25">
        <f>IFERROR(IF(C1340="","",INDEX(직원명부!$B$5:$B$24,MATCH(C1340,직원명부!$A$5:$A$24,0))),"사번 확인")</f>
        <v/>
      </c>
      <c r="E1340" s="34" t="n"/>
      <c r="F1340" s="34" t="n"/>
      <c r="G1340" s="28" t="n"/>
      <c r="H1340" s="33">
        <f>IF(OR(E1340="",F1340=""),"",ROUND(MOD(F1340-E1340,1)*24-N(G1340),2))</f>
        <v/>
      </c>
      <c r="I1340" s="33">
        <f>IF(H1340="","",ROUND(MAX(0,H1340-8),2))</f>
        <v/>
      </c>
      <c r="J1340" s="33">
        <f>IF(OR(E1340="",F1340=""),"",ROUND(IF(MOD(F1340,1)&gt;=TIME(22,0,0),(MOD(F1340,1)-TIME(22,0,0))*24,IF(MOD(F1340,1)&lt;TIME(6,0,0),(MOD(F1340,1)+1-TIME(22,0,0))*24,0)),2))</f>
        <v/>
      </c>
      <c r="K1340" s="33">
        <f>IF(H1340="","",ROUND(IF(L1340="휴일근로",MIN(H1340,8)*1.5+MAX(0,H1340-8)*2,I1340*1.5)+N(J1340)*0.5,2))</f>
        <v/>
      </c>
      <c r="L1340" s="18" t="n"/>
      <c r="M1340" s="18" t="n"/>
      <c r="N1340" s="22" t="n"/>
    </row>
    <row r="1341">
      <c r="A1341" s="19" t="n"/>
      <c r="B1341" s="25">
        <f>IF(A1341="","",CHOOSE(WEEKDAY(A1341,2),"월","화","수","목","금","토","일"))</f>
        <v/>
      </c>
      <c r="C1341" s="18" t="n"/>
      <c r="D1341" s="25">
        <f>IFERROR(IF(C1341="","",INDEX(직원명부!$B$5:$B$24,MATCH(C1341,직원명부!$A$5:$A$24,0))),"사번 확인")</f>
        <v/>
      </c>
      <c r="E1341" s="34" t="n"/>
      <c r="F1341" s="34" t="n"/>
      <c r="G1341" s="28" t="n"/>
      <c r="H1341" s="33">
        <f>IF(OR(E1341="",F1341=""),"",ROUND(MOD(F1341-E1341,1)*24-N(G1341),2))</f>
        <v/>
      </c>
      <c r="I1341" s="33">
        <f>IF(H1341="","",ROUND(MAX(0,H1341-8),2))</f>
        <v/>
      </c>
      <c r="J1341" s="33">
        <f>IF(OR(E1341="",F1341=""),"",ROUND(IF(MOD(F1341,1)&gt;=TIME(22,0,0),(MOD(F1341,1)-TIME(22,0,0))*24,IF(MOD(F1341,1)&lt;TIME(6,0,0),(MOD(F1341,1)+1-TIME(22,0,0))*24,0)),2))</f>
        <v/>
      </c>
      <c r="K1341" s="33">
        <f>IF(H1341="","",ROUND(IF(L1341="휴일근로",MIN(H1341,8)*1.5+MAX(0,H1341-8)*2,I1341*1.5)+N(J1341)*0.5,2))</f>
        <v/>
      </c>
      <c r="L1341" s="18" t="n"/>
      <c r="M1341" s="18" t="n"/>
      <c r="N1341" s="22" t="n"/>
    </row>
    <row r="1342">
      <c r="A1342" s="19" t="n"/>
      <c r="B1342" s="25">
        <f>IF(A1342="","",CHOOSE(WEEKDAY(A1342,2),"월","화","수","목","금","토","일"))</f>
        <v/>
      </c>
      <c r="C1342" s="18" t="n"/>
      <c r="D1342" s="25">
        <f>IFERROR(IF(C1342="","",INDEX(직원명부!$B$5:$B$24,MATCH(C1342,직원명부!$A$5:$A$24,0))),"사번 확인")</f>
        <v/>
      </c>
      <c r="E1342" s="34" t="n"/>
      <c r="F1342" s="34" t="n"/>
      <c r="G1342" s="28" t="n"/>
      <c r="H1342" s="33">
        <f>IF(OR(E1342="",F1342=""),"",ROUND(MOD(F1342-E1342,1)*24-N(G1342),2))</f>
        <v/>
      </c>
      <c r="I1342" s="33">
        <f>IF(H1342="","",ROUND(MAX(0,H1342-8),2))</f>
        <v/>
      </c>
      <c r="J1342" s="33">
        <f>IF(OR(E1342="",F1342=""),"",ROUND(IF(MOD(F1342,1)&gt;=TIME(22,0,0),(MOD(F1342,1)-TIME(22,0,0))*24,IF(MOD(F1342,1)&lt;TIME(6,0,0),(MOD(F1342,1)+1-TIME(22,0,0))*24,0)),2))</f>
        <v/>
      </c>
      <c r="K1342" s="33">
        <f>IF(H1342="","",ROUND(IF(L1342="휴일근로",MIN(H1342,8)*1.5+MAX(0,H1342-8)*2,I1342*1.5)+N(J1342)*0.5,2))</f>
        <v/>
      </c>
      <c r="L1342" s="18" t="n"/>
      <c r="M1342" s="18" t="n"/>
      <c r="N1342" s="22" t="n"/>
    </row>
    <row r="1343">
      <c r="A1343" s="19" t="n"/>
      <c r="B1343" s="25">
        <f>IF(A1343="","",CHOOSE(WEEKDAY(A1343,2),"월","화","수","목","금","토","일"))</f>
        <v/>
      </c>
      <c r="C1343" s="18" t="n"/>
      <c r="D1343" s="25">
        <f>IFERROR(IF(C1343="","",INDEX(직원명부!$B$5:$B$24,MATCH(C1343,직원명부!$A$5:$A$24,0))),"사번 확인")</f>
        <v/>
      </c>
      <c r="E1343" s="34" t="n"/>
      <c r="F1343" s="34" t="n"/>
      <c r="G1343" s="28" t="n"/>
      <c r="H1343" s="33">
        <f>IF(OR(E1343="",F1343=""),"",ROUND(MOD(F1343-E1343,1)*24-N(G1343),2))</f>
        <v/>
      </c>
      <c r="I1343" s="33">
        <f>IF(H1343="","",ROUND(MAX(0,H1343-8),2))</f>
        <v/>
      </c>
      <c r="J1343" s="33">
        <f>IF(OR(E1343="",F1343=""),"",ROUND(IF(MOD(F1343,1)&gt;=TIME(22,0,0),(MOD(F1343,1)-TIME(22,0,0))*24,IF(MOD(F1343,1)&lt;TIME(6,0,0),(MOD(F1343,1)+1-TIME(22,0,0))*24,0)),2))</f>
        <v/>
      </c>
      <c r="K1343" s="33">
        <f>IF(H1343="","",ROUND(IF(L1343="휴일근로",MIN(H1343,8)*1.5+MAX(0,H1343-8)*2,I1343*1.5)+N(J1343)*0.5,2))</f>
        <v/>
      </c>
      <c r="L1343" s="18" t="n"/>
      <c r="M1343" s="18" t="n"/>
      <c r="N1343" s="22" t="n"/>
    </row>
    <row r="1344">
      <c r="A1344" s="19" t="n"/>
      <c r="B1344" s="25">
        <f>IF(A1344="","",CHOOSE(WEEKDAY(A1344,2),"월","화","수","목","금","토","일"))</f>
        <v/>
      </c>
      <c r="C1344" s="18" t="n"/>
      <c r="D1344" s="25">
        <f>IFERROR(IF(C1344="","",INDEX(직원명부!$B$5:$B$24,MATCH(C1344,직원명부!$A$5:$A$24,0))),"사번 확인")</f>
        <v/>
      </c>
      <c r="E1344" s="34" t="n"/>
      <c r="F1344" s="34" t="n"/>
      <c r="G1344" s="28" t="n"/>
      <c r="H1344" s="33">
        <f>IF(OR(E1344="",F1344=""),"",ROUND(MOD(F1344-E1344,1)*24-N(G1344),2))</f>
        <v/>
      </c>
      <c r="I1344" s="33">
        <f>IF(H1344="","",ROUND(MAX(0,H1344-8),2))</f>
        <v/>
      </c>
      <c r="J1344" s="33">
        <f>IF(OR(E1344="",F1344=""),"",ROUND(IF(MOD(F1344,1)&gt;=TIME(22,0,0),(MOD(F1344,1)-TIME(22,0,0))*24,IF(MOD(F1344,1)&lt;TIME(6,0,0),(MOD(F1344,1)+1-TIME(22,0,0))*24,0)),2))</f>
        <v/>
      </c>
      <c r="K1344" s="33">
        <f>IF(H1344="","",ROUND(IF(L1344="휴일근로",MIN(H1344,8)*1.5+MAX(0,H1344-8)*2,I1344*1.5)+N(J1344)*0.5,2))</f>
        <v/>
      </c>
      <c r="L1344" s="18" t="n"/>
      <c r="M1344" s="18" t="n"/>
      <c r="N1344" s="22" t="n"/>
    </row>
    <row r="1345">
      <c r="A1345" s="19" t="n"/>
      <c r="B1345" s="25">
        <f>IF(A1345="","",CHOOSE(WEEKDAY(A1345,2),"월","화","수","목","금","토","일"))</f>
        <v/>
      </c>
      <c r="C1345" s="18" t="n"/>
      <c r="D1345" s="25">
        <f>IFERROR(IF(C1345="","",INDEX(직원명부!$B$5:$B$24,MATCH(C1345,직원명부!$A$5:$A$24,0))),"사번 확인")</f>
        <v/>
      </c>
      <c r="E1345" s="34" t="n"/>
      <c r="F1345" s="34" t="n"/>
      <c r="G1345" s="28" t="n"/>
      <c r="H1345" s="33">
        <f>IF(OR(E1345="",F1345=""),"",ROUND(MOD(F1345-E1345,1)*24-N(G1345),2))</f>
        <v/>
      </c>
      <c r="I1345" s="33">
        <f>IF(H1345="","",ROUND(MAX(0,H1345-8),2))</f>
        <v/>
      </c>
      <c r="J1345" s="33">
        <f>IF(OR(E1345="",F1345=""),"",ROUND(IF(MOD(F1345,1)&gt;=TIME(22,0,0),(MOD(F1345,1)-TIME(22,0,0))*24,IF(MOD(F1345,1)&lt;TIME(6,0,0),(MOD(F1345,1)+1-TIME(22,0,0))*24,0)),2))</f>
        <v/>
      </c>
      <c r="K1345" s="33">
        <f>IF(H1345="","",ROUND(IF(L1345="휴일근로",MIN(H1345,8)*1.5+MAX(0,H1345-8)*2,I1345*1.5)+N(J1345)*0.5,2))</f>
        <v/>
      </c>
      <c r="L1345" s="18" t="n"/>
      <c r="M1345" s="18" t="n"/>
      <c r="N1345" s="22" t="n"/>
    </row>
    <row r="1346">
      <c r="A1346" s="19" t="n"/>
      <c r="B1346" s="25">
        <f>IF(A1346="","",CHOOSE(WEEKDAY(A1346,2),"월","화","수","목","금","토","일"))</f>
        <v/>
      </c>
      <c r="C1346" s="18" t="n"/>
      <c r="D1346" s="25">
        <f>IFERROR(IF(C1346="","",INDEX(직원명부!$B$5:$B$24,MATCH(C1346,직원명부!$A$5:$A$24,0))),"사번 확인")</f>
        <v/>
      </c>
      <c r="E1346" s="34" t="n"/>
      <c r="F1346" s="34" t="n"/>
      <c r="G1346" s="28" t="n"/>
      <c r="H1346" s="33">
        <f>IF(OR(E1346="",F1346=""),"",ROUND(MOD(F1346-E1346,1)*24-N(G1346),2))</f>
        <v/>
      </c>
      <c r="I1346" s="33">
        <f>IF(H1346="","",ROUND(MAX(0,H1346-8),2))</f>
        <v/>
      </c>
      <c r="J1346" s="33">
        <f>IF(OR(E1346="",F1346=""),"",ROUND(IF(MOD(F1346,1)&gt;=TIME(22,0,0),(MOD(F1346,1)-TIME(22,0,0))*24,IF(MOD(F1346,1)&lt;TIME(6,0,0),(MOD(F1346,1)+1-TIME(22,0,0))*24,0)),2))</f>
        <v/>
      </c>
      <c r="K1346" s="33">
        <f>IF(H1346="","",ROUND(IF(L1346="휴일근로",MIN(H1346,8)*1.5+MAX(0,H1346-8)*2,I1346*1.5)+N(J1346)*0.5,2))</f>
        <v/>
      </c>
      <c r="L1346" s="18" t="n"/>
      <c r="M1346" s="18" t="n"/>
      <c r="N1346" s="22" t="n"/>
    </row>
    <row r="1347">
      <c r="A1347" s="19" t="n"/>
      <c r="B1347" s="25">
        <f>IF(A1347="","",CHOOSE(WEEKDAY(A1347,2),"월","화","수","목","금","토","일"))</f>
        <v/>
      </c>
      <c r="C1347" s="18" t="n"/>
      <c r="D1347" s="25">
        <f>IFERROR(IF(C1347="","",INDEX(직원명부!$B$5:$B$24,MATCH(C1347,직원명부!$A$5:$A$24,0))),"사번 확인")</f>
        <v/>
      </c>
      <c r="E1347" s="34" t="n"/>
      <c r="F1347" s="34" t="n"/>
      <c r="G1347" s="28" t="n"/>
      <c r="H1347" s="33">
        <f>IF(OR(E1347="",F1347=""),"",ROUND(MOD(F1347-E1347,1)*24-N(G1347),2))</f>
        <v/>
      </c>
      <c r="I1347" s="33">
        <f>IF(H1347="","",ROUND(MAX(0,H1347-8),2))</f>
        <v/>
      </c>
      <c r="J1347" s="33">
        <f>IF(OR(E1347="",F1347=""),"",ROUND(IF(MOD(F1347,1)&gt;=TIME(22,0,0),(MOD(F1347,1)-TIME(22,0,0))*24,IF(MOD(F1347,1)&lt;TIME(6,0,0),(MOD(F1347,1)+1-TIME(22,0,0))*24,0)),2))</f>
        <v/>
      </c>
      <c r="K1347" s="33">
        <f>IF(H1347="","",ROUND(IF(L1347="휴일근로",MIN(H1347,8)*1.5+MAX(0,H1347-8)*2,I1347*1.5)+N(J1347)*0.5,2))</f>
        <v/>
      </c>
      <c r="L1347" s="18" t="n"/>
      <c r="M1347" s="18" t="n"/>
      <c r="N1347" s="22" t="n"/>
    </row>
    <row r="1348">
      <c r="A1348" s="19" t="n"/>
      <c r="B1348" s="25">
        <f>IF(A1348="","",CHOOSE(WEEKDAY(A1348,2),"월","화","수","목","금","토","일"))</f>
        <v/>
      </c>
      <c r="C1348" s="18" t="n"/>
      <c r="D1348" s="25">
        <f>IFERROR(IF(C1348="","",INDEX(직원명부!$B$5:$B$24,MATCH(C1348,직원명부!$A$5:$A$24,0))),"사번 확인")</f>
        <v/>
      </c>
      <c r="E1348" s="34" t="n"/>
      <c r="F1348" s="34" t="n"/>
      <c r="G1348" s="28" t="n"/>
      <c r="H1348" s="33">
        <f>IF(OR(E1348="",F1348=""),"",ROUND(MOD(F1348-E1348,1)*24-N(G1348),2))</f>
        <v/>
      </c>
      <c r="I1348" s="33">
        <f>IF(H1348="","",ROUND(MAX(0,H1348-8),2))</f>
        <v/>
      </c>
      <c r="J1348" s="33">
        <f>IF(OR(E1348="",F1348=""),"",ROUND(IF(MOD(F1348,1)&gt;=TIME(22,0,0),(MOD(F1348,1)-TIME(22,0,0))*24,IF(MOD(F1348,1)&lt;TIME(6,0,0),(MOD(F1348,1)+1-TIME(22,0,0))*24,0)),2))</f>
        <v/>
      </c>
      <c r="K1348" s="33">
        <f>IF(H1348="","",ROUND(IF(L1348="휴일근로",MIN(H1348,8)*1.5+MAX(0,H1348-8)*2,I1348*1.5)+N(J1348)*0.5,2))</f>
        <v/>
      </c>
      <c r="L1348" s="18" t="n"/>
      <c r="M1348" s="18" t="n"/>
      <c r="N1348" s="22" t="n"/>
    </row>
    <row r="1349">
      <c r="A1349" s="19" t="n"/>
      <c r="B1349" s="25">
        <f>IF(A1349="","",CHOOSE(WEEKDAY(A1349,2),"월","화","수","목","금","토","일"))</f>
        <v/>
      </c>
      <c r="C1349" s="18" t="n"/>
      <c r="D1349" s="25">
        <f>IFERROR(IF(C1349="","",INDEX(직원명부!$B$5:$B$24,MATCH(C1349,직원명부!$A$5:$A$24,0))),"사번 확인")</f>
        <v/>
      </c>
      <c r="E1349" s="34" t="n"/>
      <c r="F1349" s="34" t="n"/>
      <c r="G1349" s="28" t="n"/>
      <c r="H1349" s="33">
        <f>IF(OR(E1349="",F1349=""),"",ROUND(MOD(F1349-E1349,1)*24-N(G1349),2))</f>
        <v/>
      </c>
      <c r="I1349" s="33">
        <f>IF(H1349="","",ROUND(MAX(0,H1349-8),2))</f>
        <v/>
      </c>
      <c r="J1349" s="33">
        <f>IF(OR(E1349="",F1349=""),"",ROUND(IF(MOD(F1349,1)&gt;=TIME(22,0,0),(MOD(F1349,1)-TIME(22,0,0))*24,IF(MOD(F1349,1)&lt;TIME(6,0,0),(MOD(F1349,1)+1-TIME(22,0,0))*24,0)),2))</f>
        <v/>
      </c>
      <c r="K1349" s="33">
        <f>IF(H1349="","",ROUND(IF(L1349="휴일근로",MIN(H1349,8)*1.5+MAX(0,H1349-8)*2,I1349*1.5)+N(J1349)*0.5,2))</f>
        <v/>
      </c>
      <c r="L1349" s="18" t="n"/>
      <c r="M1349" s="18" t="n"/>
      <c r="N1349" s="22" t="n"/>
    </row>
    <row r="1350">
      <c r="A1350" s="19" t="n"/>
      <c r="B1350" s="25">
        <f>IF(A1350="","",CHOOSE(WEEKDAY(A1350,2),"월","화","수","목","금","토","일"))</f>
        <v/>
      </c>
      <c r="C1350" s="18" t="n"/>
      <c r="D1350" s="25">
        <f>IFERROR(IF(C1350="","",INDEX(직원명부!$B$5:$B$24,MATCH(C1350,직원명부!$A$5:$A$24,0))),"사번 확인")</f>
        <v/>
      </c>
      <c r="E1350" s="34" t="n"/>
      <c r="F1350" s="34" t="n"/>
      <c r="G1350" s="28" t="n"/>
      <c r="H1350" s="33">
        <f>IF(OR(E1350="",F1350=""),"",ROUND(MOD(F1350-E1350,1)*24-N(G1350),2))</f>
        <v/>
      </c>
      <c r="I1350" s="33">
        <f>IF(H1350="","",ROUND(MAX(0,H1350-8),2))</f>
        <v/>
      </c>
      <c r="J1350" s="33">
        <f>IF(OR(E1350="",F1350=""),"",ROUND(IF(MOD(F1350,1)&gt;=TIME(22,0,0),(MOD(F1350,1)-TIME(22,0,0))*24,IF(MOD(F1350,1)&lt;TIME(6,0,0),(MOD(F1350,1)+1-TIME(22,0,0))*24,0)),2))</f>
        <v/>
      </c>
      <c r="K1350" s="33">
        <f>IF(H1350="","",ROUND(IF(L1350="휴일근로",MIN(H1350,8)*1.5+MAX(0,H1350-8)*2,I1350*1.5)+N(J1350)*0.5,2))</f>
        <v/>
      </c>
      <c r="L1350" s="18" t="n"/>
      <c r="M1350" s="18" t="n"/>
      <c r="N1350" s="22" t="n"/>
    </row>
    <row r="1351">
      <c r="A1351" s="19" t="n"/>
      <c r="B1351" s="25">
        <f>IF(A1351="","",CHOOSE(WEEKDAY(A1351,2),"월","화","수","목","금","토","일"))</f>
        <v/>
      </c>
      <c r="C1351" s="18" t="n"/>
      <c r="D1351" s="25">
        <f>IFERROR(IF(C1351="","",INDEX(직원명부!$B$5:$B$24,MATCH(C1351,직원명부!$A$5:$A$24,0))),"사번 확인")</f>
        <v/>
      </c>
      <c r="E1351" s="34" t="n"/>
      <c r="F1351" s="34" t="n"/>
      <c r="G1351" s="28" t="n"/>
      <c r="H1351" s="33">
        <f>IF(OR(E1351="",F1351=""),"",ROUND(MOD(F1351-E1351,1)*24-N(G1351),2))</f>
        <v/>
      </c>
      <c r="I1351" s="33">
        <f>IF(H1351="","",ROUND(MAX(0,H1351-8),2))</f>
        <v/>
      </c>
      <c r="J1351" s="33">
        <f>IF(OR(E1351="",F1351=""),"",ROUND(IF(MOD(F1351,1)&gt;=TIME(22,0,0),(MOD(F1351,1)-TIME(22,0,0))*24,IF(MOD(F1351,1)&lt;TIME(6,0,0),(MOD(F1351,1)+1-TIME(22,0,0))*24,0)),2))</f>
        <v/>
      </c>
      <c r="K1351" s="33">
        <f>IF(H1351="","",ROUND(IF(L1351="휴일근로",MIN(H1351,8)*1.5+MAX(0,H1351-8)*2,I1351*1.5)+N(J1351)*0.5,2))</f>
        <v/>
      </c>
      <c r="L1351" s="18" t="n"/>
      <c r="M1351" s="18" t="n"/>
      <c r="N1351" s="22" t="n"/>
    </row>
    <row r="1352">
      <c r="A1352" s="19" t="n"/>
      <c r="B1352" s="25">
        <f>IF(A1352="","",CHOOSE(WEEKDAY(A1352,2),"월","화","수","목","금","토","일"))</f>
        <v/>
      </c>
      <c r="C1352" s="18" t="n"/>
      <c r="D1352" s="25">
        <f>IFERROR(IF(C1352="","",INDEX(직원명부!$B$5:$B$24,MATCH(C1352,직원명부!$A$5:$A$24,0))),"사번 확인")</f>
        <v/>
      </c>
      <c r="E1352" s="34" t="n"/>
      <c r="F1352" s="34" t="n"/>
      <c r="G1352" s="28" t="n"/>
      <c r="H1352" s="33">
        <f>IF(OR(E1352="",F1352=""),"",ROUND(MOD(F1352-E1352,1)*24-N(G1352),2))</f>
        <v/>
      </c>
      <c r="I1352" s="33">
        <f>IF(H1352="","",ROUND(MAX(0,H1352-8),2))</f>
        <v/>
      </c>
      <c r="J1352" s="33">
        <f>IF(OR(E1352="",F1352=""),"",ROUND(IF(MOD(F1352,1)&gt;=TIME(22,0,0),(MOD(F1352,1)-TIME(22,0,0))*24,IF(MOD(F1352,1)&lt;TIME(6,0,0),(MOD(F1352,1)+1-TIME(22,0,0))*24,0)),2))</f>
        <v/>
      </c>
      <c r="K1352" s="33">
        <f>IF(H1352="","",ROUND(IF(L1352="휴일근로",MIN(H1352,8)*1.5+MAX(0,H1352-8)*2,I1352*1.5)+N(J1352)*0.5,2))</f>
        <v/>
      </c>
      <c r="L1352" s="18" t="n"/>
      <c r="M1352" s="18" t="n"/>
      <c r="N1352" s="22" t="n"/>
    </row>
    <row r="1353">
      <c r="A1353" s="19" t="n"/>
      <c r="B1353" s="25">
        <f>IF(A1353="","",CHOOSE(WEEKDAY(A1353,2),"월","화","수","목","금","토","일"))</f>
        <v/>
      </c>
      <c r="C1353" s="18" t="n"/>
      <c r="D1353" s="25">
        <f>IFERROR(IF(C1353="","",INDEX(직원명부!$B$5:$B$24,MATCH(C1353,직원명부!$A$5:$A$24,0))),"사번 확인")</f>
        <v/>
      </c>
      <c r="E1353" s="34" t="n"/>
      <c r="F1353" s="34" t="n"/>
      <c r="G1353" s="28" t="n"/>
      <c r="H1353" s="33">
        <f>IF(OR(E1353="",F1353=""),"",ROUND(MOD(F1353-E1353,1)*24-N(G1353),2))</f>
        <v/>
      </c>
      <c r="I1353" s="33">
        <f>IF(H1353="","",ROUND(MAX(0,H1353-8),2))</f>
        <v/>
      </c>
      <c r="J1353" s="33">
        <f>IF(OR(E1353="",F1353=""),"",ROUND(IF(MOD(F1353,1)&gt;=TIME(22,0,0),(MOD(F1353,1)-TIME(22,0,0))*24,IF(MOD(F1353,1)&lt;TIME(6,0,0),(MOD(F1353,1)+1-TIME(22,0,0))*24,0)),2))</f>
        <v/>
      </c>
      <c r="K1353" s="33">
        <f>IF(H1353="","",ROUND(IF(L1353="휴일근로",MIN(H1353,8)*1.5+MAX(0,H1353-8)*2,I1353*1.5)+N(J1353)*0.5,2))</f>
        <v/>
      </c>
      <c r="L1353" s="18" t="n"/>
      <c r="M1353" s="18" t="n"/>
      <c r="N1353" s="22" t="n"/>
    </row>
    <row r="1354">
      <c r="A1354" s="19" t="n"/>
      <c r="B1354" s="25">
        <f>IF(A1354="","",CHOOSE(WEEKDAY(A1354,2),"월","화","수","목","금","토","일"))</f>
        <v/>
      </c>
      <c r="C1354" s="18" t="n"/>
      <c r="D1354" s="25">
        <f>IFERROR(IF(C1354="","",INDEX(직원명부!$B$5:$B$24,MATCH(C1354,직원명부!$A$5:$A$24,0))),"사번 확인")</f>
        <v/>
      </c>
      <c r="E1354" s="34" t="n"/>
      <c r="F1354" s="34" t="n"/>
      <c r="G1354" s="28" t="n"/>
      <c r="H1354" s="33">
        <f>IF(OR(E1354="",F1354=""),"",ROUND(MOD(F1354-E1354,1)*24-N(G1354),2))</f>
        <v/>
      </c>
      <c r="I1354" s="33">
        <f>IF(H1354="","",ROUND(MAX(0,H1354-8),2))</f>
        <v/>
      </c>
      <c r="J1354" s="33">
        <f>IF(OR(E1354="",F1354=""),"",ROUND(IF(MOD(F1354,1)&gt;=TIME(22,0,0),(MOD(F1354,1)-TIME(22,0,0))*24,IF(MOD(F1354,1)&lt;TIME(6,0,0),(MOD(F1354,1)+1-TIME(22,0,0))*24,0)),2))</f>
        <v/>
      </c>
      <c r="K1354" s="33">
        <f>IF(H1354="","",ROUND(IF(L1354="휴일근로",MIN(H1354,8)*1.5+MAX(0,H1354-8)*2,I1354*1.5)+N(J1354)*0.5,2))</f>
        <v/>
      </c>
      <c r="L1354" s="18" t="n"/>
      <c r="M1354" s="18" t="n"/>
      <c r="N1354" s="22" t="n"/>
    </row>
    <row r="1355">
      <c r="A1355" s="19" t="n"/>
      <c r="B1355" s="25">
        <f>IF(A1355="","",CHOOSE(WEEKDAY(A1355,2),"월","화","수","목","금","토","일"))</f>
        <v/>
      </c>
      <c r="C1355" s="18" t="n"/>
      <c r="D1355" s="25">
        <f>IFERROR(IF(C1355="","",INDEX(직원명부!$B$5:$B$24,MATCH(C1355,직원명부!$A$5:$A$24,0))),"사번 확인")</f>
        <v/>
      </c>
      <c r="E1355" s="34" t="n"/>
      <c r="F1355" s="34" t="n"/>
      <c r="G1355" s="28" t="n"/>
      <c r="H1355" s="33">
        <f>IF(OR(E1355="",F1355=""),"",ROUND(MOD(F1355-E1355,1)*24-N(G1355),2))</f>
        <v/>
      </c>
      <c r="I1355" s="33">
        <f>IF(H1355="","",ROUND(MAX(0,H1355-8),2))</f>
        <v/>
      </c>
      <c r="J1355" s="33">
        <f>IF(OR(E1355="",F1355=""),"",ROUND(IF(MOD(F1355,1)&gt;=TIME(22,0,0),(MOD(F1355,1)-TIME(22,0,0))*24,IF(MOD(F1355,1)&lt;TIME(6,0,0),(MOD(F1355,1)+1-TIME(22,0,0))*24,0)),2))</f>
        <v/>
      </c>
      <c r="K1355" s="33">
        <f>IF(H1355="","",ROUND(IF(L1355="휴일근로",MIN(H1355,8)*1.5+MAX(0,H1355-8)*2,I1355*1.5)+N(J1355)*0.5,2))</f>
        <v/>
      </c>
      <c r="L1355" s="18" t="n"/>
      <c r="M1355" s="18" t="n"/>
      <c r="N1355" s="22" t="n"/>
    </row>
    <row r="1356">
      <c r="A1356" s="19" t="n"/>
      <c r="B1356" s="25">
        <f>IF(A1356="","",CHOOSE(WEEKDAY(A1356,2),"월","화","수","목","금","토","일"))</f>
        <v/>
      </c>
      <c r="C1356" s="18" t="n"/>
      <c r="D1356" s="25">
        <f>IFERROR(IF(C1356="","",INDEX(직원명부!$B$5:$B$24,MATCH(C1356,직원명부!$A$5:$A$24,0))),"사번 확인")</f>
        <v/>
      </c>
      <c r="E1356" s="34" t="n"/>
      <c r="F1356" s="34" t="n"/>
      <c r="G1356" s="28" t="n"/>
      <c r="H1356" s="33">
        <f>IF(OR(E1356="",F1356=""),"",ROUND(MOD(F1356-E1356,1)*24-N(G1356),2))</f>
        <v/>
      </c>
      <c r="I1356" s="33">
        <f>IF(H1356="","",ROUND(MAX(0,H1356-8),2))</f>
        <v/>
      </c>
      <c r="J1356" s="33">
        <f>IF(OR(E1356="",F1356=""),"",ROUND(IF(MOD(F1356,1)&gt;=TIME(22,0,0),(MOD(F1356,1)-TIME(22,0,0))*24,IF(MOD(F1356,1)&lt;TIME(6,0,0),(MOD(F1356,1)+1-TIME(22,0,0))*24,0)),2))</f>
        <v/>
      </c>
      <c r="K1356" s="33">
        <f>IF(H1356="","",ROUND(IF(L1356="휴일근로",MIN(H1356,8)*1.5+MAX(0,H1356-8)*2,I1356*1.5)+N(J1356)*0.5,2))</f>
        <v/>
      </c>
      <c r="L1356" s="18" t="n"/>
      <c r="M1356" s="18" t="n"/>
      <c r="N1356" s="22" t="n"/>
    </row>
    <row r="1357">
      <c r="A1357" s="19" t="n"/>
      <c r="B1357" s="25">
        <f>IF(A1357="","",CHOOSE(WEEKDAY(A1357,2),"월","화","수","목","금","토","일"))</f>
        <v/>
      </c>
      <c r="C1357" s="18" t="n"/>
      <c r="D1357" s="25">
        <f>IFERROR(IF(C1357="","",INDEX(직원명부!$B$5:$B$24,MATCH(C1357,직원명부!$A$5:$A$24,0))),"사번 확인")</f>
        <v/>
      </c>
      <c r="E1357" s="34" t="n"/>
      <c r="F1357" s="34" t="n"/>
      <c r="G1357" s="28" t="n"/>
      <c r="H1357" s="33">
        <f>IF(OR(E1357="",F1357=""),"",ROUND(MOD(F1357-E1357,1)*24-N(G1357),2))</f>
        <v/>
      </c>
      <c r="I1357" s="33">
        <f>IF(H1357="","",ROUND(MAX(0,H1357-8),2))</f>
        <v/>
      </c>
      <c r="J1357" s="33">
        <f>IF(OR(E1357="",F1357=""),"",ROUND(IF(MOD(F1357,1)&gt;=TIME(22,0,0),(MOD(F1357,1)-TIME(22,0,0))*24,IF(MOD(F1357,1)&lt;TIME(6,0,0),(MOD(F1357,1)+1-TIME(22,0,0))*24,0)),2))</f>
        <v/>
      </c>
      <c r="K1357" s="33">
        <f>IF(H1357="","",ROUND(IF(L1357="휴일근로",MIN(H1357,8)*1.5+MAX(0,H1357-8)*2,I1357*1.5)+N(J1357)*0.5,2))</f>
        <v/>
      </c>
      <c r="L1357" s="18" t="n"/>
      <c r="M1357" s="18" t="n"/>
      <c r="N1357" s="22" t="n"/>
    </row>
    <row r="1358">
      <c r="A1358" s="19" t="n"/>
      <c r="B1358" s="25">
        <f>IF(A1358="","",CHOOSE(WEEKDAY(A1358,2),"월","화","수","목","금","토","일"))</f>
        <v/>
      </c>
      <c r="C1358" s="18" t="n"/>
      <c r="D1358" s="25">
        <f>IFERROR(IF(C1358="","",INDEX(직원명부!$B$5:$B$24,MATCH(C1358,직원명부!$A$5:$A$24,0))),"사번 확인")</f>
        <v/>
      </c>
      <c r="E1358" s="34" t="n"/>
      <c r="F1358" s="34" t="n"/>
      <c r="G1358" s="28" t="n"/>
      <c r="H1358" s="33">
        <f>IF(OR(E1358="",F1358=""),"",ROUND(MOD(F1358-E1358,1)*24-N(G1358),2))</f>
        <v/>
      </c>
      <c r="I1358" s="33">
        <f>IF(H1358="","",ROUND(MAX(0,H1358-8),2))</f>
        <v/>
      </c>
      <c r="J1358" s="33">
        <f>IF(OR(E1358="",F1358=""),"",ROUND(IF(MOD(F1358,1)&gt;=TIME(22,0,0),(MOD(F1358,1)-TIME(22,0,0))*24,IF(MOD(F1358,1)&lt;TIME(6,0,0),(MOD(F1358,1)+1-TIME(22,0,0))*24,0)),2))</f>
        <v/>
      </c>
      <c r="K1358" s="33">
        <f>IF(H1358="","",ROUND(IF(L1358="휴일근로",MIN(H1358,8)*1.5+MAX(0,H1358-8)*2,I1358*1.5)+N(J1358)*0.5,2))</f>
        <v/>
      </c>
      <c r="L1358" s="18" t="n"/>
      <c r="M1358" s="18" t="n"/>
      <c r="N1358" s="22" t="n"/>
    </row>
    <row r="1359">
      <c r="A1359" s="19" t="n"/>
      <c r="B1359" s="25">
        <f>IF(A1359="","",CHOOSE(WEEKDAY(A1359,2),"월","화","수","목","금","토","일"))</f>
        <v/>
      </c>
      <c r="C1359" s="18" t="n"/>
      <c r="D1359" s="25">
        <f>IFERROR(IF(C1359="","",INDEX(직원명부!$B$5:$B$24,MATCH(C1359,직원명부!$A$5:$A$24,0))),"사번 확인")</f>
        <v/>
      </c>
      <c r="E1359" s="34" t="n"/>
      <c r="F1359" s="34" t="n"/>
      <c r="G1359" s="28" t="n"/>
      <c r="H1359" s="33">
        <f>IF(OR(E1359="",F1359=""),"",ROUND(MOD(F1359-E1359,1)*24-N(G1359),2))</f>
        <v/>
      </c>
      <c r="I1359" s="33">
        <f>IF(H1359="","",ROUND(MAX(0,H1359-8),2))</f>
        <v/>
      </c>
      <c r="J1359" s="33">
        <f>IF(OR(E1359="",F1359=""),"",ROUND(IF(MOD(F1359,1)&gt;=TIME(22,0,0),(MOD(F1359,1)-TIME(22,0,0))*24,IF(MOD(F1359,1)&lt;TIME(6,0,0),(MOD(F1359,1)+1-TIME(22,0,0))*24,0)),2))</f>
        <v/>
      </c>
      <c r="K1359" s="33">
        <f>IF(H1359="","",ROUND(IF(L1359="휴일근로",MIN(H1359,8)*1.5+MAX(0,H1359-8)*2,I1359*1.5)+N(J1359)*0.5,2))</f>
        <v/>
      </c>
      <c r="L1359" s="18" t="n"/>
      <c r="M1359" s="18" t="n"/>
      <c r="N1359" s="22" t="n"/>
    </row>
    <row r="1360">
      <c r="A1360" s="19" t="n"/>
      <c r="B1360" s="25">
        <f>IF(A1360="","",CHOOSE(WEEKDAY(A1360,2),"월","화","수","목","금","토","일"))</f>
        <v/>
      </c>
      <c r="C1360" s="18" t="n"/>
      <c r="D1360" s="25">
        <f>IFERROR(IF(C1360="","",INDEX(직원명부!$B$5:$B$24,MATCH(C1360,직원명부!$A$5:$A$24,0))),"사번 확인")</f>
        <v/>
      </c>
      <c r="E1360" s="34" t="n"/>
      <c r="F1360" s="34" t="n"/>
      <c r="G1360" s="28" t="n"/>
      <c r="H1360" s="33">
        <f>IF(OR(E1360="",F1360=""),"",ROUND(MOD(F1360-E1360,1)*24-N(G1360),2))</f>
        <v/>
      </c>
      <c r="I1360" s="33">
        <f>IF(H1360="","",ROUND(MAX(0,H1360-8),2))</f>
        <v/>
      </c>
      <c r="J1360" s="33">
        <f>IF(OR(E1360="",F1360=""),"",ROUND(IF(MOD(F1360,1)&gt;=TIME(22,0,0),(MOD(F1360,1)-TIME(22,0,0))*24,IF(MOD(F1360,1)&lt;TIME(6,0,0),(MOD(F1360,1)+1-TIME(22,0,0))*24,0)),2))</f>
        <v/>
      </c>
      <c r="K1360" s="33">
        <f>IF(H1360="","",ROUND(IF(L1360="휴일근로",MIN(H1360,8)*1.5+MAX(0,H1360-8)*2,I1360*1.5)+N(J1360)*0.5,2))</f>
        <v/>
      </c>
      <c r="L1360" s="18" t="n"/>
      <c r="M1360" s="18" t="n"/>
      <c r="N1360" s="22" t="n"/>
    </row>
    <row r="1361">
      <c r="A1361" s="19" t="n"/>
      <c r="B1361" s="25">
        <f>IF(A1361="","",CHOOSE(WEEKDAY(A1361,2),"월","화","수","목","금","토","일"))</f>
        <v/>
      </c>
      <c r="C1361" s="18" t="n"/>
      <c r="D1361" s="25">
        <f>IFERROR(IF(C1361="","",INDEX(직원명부!$B$5:$B$24,MATCH(C1361,직원명부!$A$5:$A$24,0))),"사번 확인")</f>
        <v/>
      </c>
      <c r="E1361" s="34" t="n"/>
      <c r="F1361" s="34" t="n"/>
      <c r="G1361" s="28" t="n"/>
      <c r="H1361" s="33">
        <f>IF(OR(E1361="",F1361=""),"",ROUND(MOD(F1361-E1361,1)*24-N(G1361),2))</f>
        <v/>
      </c>
      <c r="I1361" s="33">
        <f>IF(H1361="","",ROUND(MAX(0,H1361-8),2))</f>
        <v/>
      </c>
      <c r="J1361" s="33">
        <f>IF(OR(E1361="",F1361=""),"",ROUND(IF(MOD(F1361,1)&gt;=TIME(22,0,0),(MOD(F1361,1)-TIME(22,0,0))*24,IF(MOD(F1361,1)&lt;TIME(6,0,0),(MOD(F1361,1)+1-TIME(22,0,0))*24,0)),2))</f>
        <v/>
      </c>
      <c r="K1361" s="33">
        <f>IF(H1361="","",ROUND(IF(L1361="휴일근로",MIN(H1361,8)*1.5+MAX(0,H1361-8)*2,I1361*1.5)+N(J1361)*0.5,2))</f>
        <v/>
      </c>
      <c r="L1361" s="18" t="n"/>
      <c r="M1361" s="18" t="n"/>
      <c r="N1361" s="22" t="n"/>
    </row>
    <row r="1362">
      <c r="A1362" s="19" t="n"/>
      <c r="B1362" s="25">
        <f>IF(A1362="","",CHOOSE(WEEKDAY(A1362,2),"월","화","수","목","금","토","일"))</f>
        <v/>
      </c>
      <c r="C1362" s="18" t="n"/>
      <c r="D1362" s="25">
        <f>IFERROR(IF(C1362="","",INDEX(직원명부!$B$5:$B$24,MATCH(C1362,직원명부!$A$5:$A$24,0))),"사번 확인")</f>
        <v/>
      </c>
      <c r="E1362" s="34" t="n"/>
      <c r="F1362" s="34" t="n"/>
      <c r="G1362" s="28" t="n"/>
      <c r="H1362" s="33">
        <f>IF(OR(E1362="",F1362=""),"",ROUND(MOD(F1362-E1362,1)*24-N(G1362),2))</f>
        <v/>
      </c>
      <c r="I1362" s="33">
        <f>IF(H1362="","",ROUND(MAX(0,H1362-8),2))</f>
        <v/>
      </c>
      <c r="J1362" s="33">
        <f>IF(OR(E1362="",F1362=""),"",ROUND(IF(MOD(F1362,1)&gt;=TIME(22,0,0),(MOD(F1362,1)-TIME(22,0,0))*24,IF(MOD(F1362,1)&lt;TIME(6,0,0),(MOD(F1362,1)+1-TIME(22,0,0))*24,0)),2))</f>
        <v/>
      </c>
      <c r="K1362" s="33">
        <f>IF(H1362="","",ROUND(IF(L1362="휴일근로",MIN(H1362,8)*1.5+MAX(0,H1362-8)*2,I1362*1.5)+N(J1362)*0.5,2))</f>
        <v/>
      </c>
      <c r="L1362" s="18" t="n"/>
      <c r="M1362" s="18" t="n"/>
      <c r="N1362" s="22" t="n"/>
    </row>
    <row r="1363">
      <c r="A1363" s="19" t="n"/>
      <c r="B1363" s="25">
        <f>IF(A1363="","",CHOOSE(WEEKDAY(A1363,2),"월","화","수","목","금","토","일"))</f>
        <v/>
      </c>
      <c r="C1363" s="18" t="n"/>
      <c r="D1363" s="25">
        <f>IFERROR(IF(C1363="","",INDEX(직원명부!$B$5:$B$24,MATCH(C1363,직원명부!$A$5:$A$24,0))),"사번 확인")</f>
        <v/>
      </c>
      <c r="E1363" s="34" t="n"/>
      <c r="F1363" s="34" t="n"/>
      <c r="G1363" s="28" t="n"/>
      <c r="H1363" s="33">
        <f>IF(OR(E1363="",F1363=""),"",ROUND(MOD(F1363-E1363,1)*24-N(G1363),2))</f>
        <v/>
      </c>
      <c r="I1363" s="33">
        <f>IF(H1363="","",ROUND(MAX(0,H1363-8),2))</f>
        <v/>
      </c>
      <c r="J1363" s="33">
        <f>IF(OR(E1363="",F1363=""),"",ROUND(IF(MOD(F1363,1)&gt;=TIME(22,0,0),(MOD(F1363,1)-TIME(22,0,0))*24,IF(MOD(F1363,1)&lt;TIME(6,0,0),(MOD(F1363,1)+1-TIME(22,0,0))*24,0)),2))</f>
        <v/>
      </c>
      <c r="K1363" s="33">
        <f>IF(H1363="","",ROUND(IF(L1363="휴일근로",MIN(H1363,8)*1.5+MAX(0,H1363-8)*2,I1363*1.5)+N(J1363)*0.5,2))</f>
        <v/>
      </c>
      <c r="L1363" s="18" t="n"/>
      <c r="M1363" s="18" t="n"/>
      <c r="N1363" s="22" t="n"/>
    </row>
    <row r="1364">
      <c r="A1364" s="19" t="n"/>
      <c r="B1364" s="25">
        <f>IF(A1364="","",CHOOSE(WEEKDAY(A1364,2),"월","화","수","목","금","토","일"))</f>
        <v/>
      </c>
      <c r="C1364" s="18" t="n"/>
      <c r="D1364" s="25">
        <f>IFERROR(IF(C1364="","",INDEX(직원명부!$B$5:$B$24,MATCH(C1364,직원명부!$A$5:$A$24,0))),"사번 확인")</f>
        <v/>
      </c>
      <c r="E1364" s="34" t="n"/>
      <c r="F1364" s="34" t="n"/>
      <c r="G1364" s="28" t="n"/>
      <c r="H1364" s="33">
        <f>IF(OR(E1364="",F1364=""),"",ROUND(MOD(F1364-E1364,1)*24-N(G1364),2))</f>
        <v/>
      </c>
      <c r="I1364" s="33">
        <f>IF(H1364="","",ROUND(MAX(0,H1364-8),2))</f>
        <v/>
      </c>
      <c r="J1364" s="33">
        <f>IF(OR(E1364="",F1364=""),"",ROUND(IF(MOD(F1364,1)&gt;=TIME(22,0,0),(MOD(F1364,1)-TIME(22,0,0))*24,IF(MOD(F1364,1)&lt;TIME(6,0,0),(MOD(F1364,1)+1-TIME(22,0,0))*24,0)),2))</f>
        <v/>
      </c>
      <c r="K1364" s="33">
        <f>IF(H1364="","",ROUND(IF(L1364="휴일근로",MIN(H1364,8)*1.5+MAX(0,H1364-8)*2,I1364*1.5)+N(J1364)*0.5,2))</f>
        <v/>
      </c>
      <c r="L1364" s="18" t="n"/>
      <c r="M1364" s="18" t="n"/>
      <c r="N1364" s="22" t="n"/>
    </row>
    <row r="1365">
      <c r="A1365" s="19" t="n"/>
      <c r="B1365" s="25">
        <f>IF(A1365="","",CHOOSE(WEEKDAY(A1365,2),"월","화","수","목","금","토","일"))</f>
        <v/>
      </c>
      <c r="C1365" s="18" t="n"/>
      <c r="D1365" s="25">
        <f>IFERROR(IF(C1365="","",INDEX(직원명부!$B$5:$B$24,MATCH(C1365,직원명부!$A$5:$A$24,0))),"사번 확인")</f>
        <v/>
      </c>
      <c r="E1365" s="34" t="n"/>
      <c r="F1365" s="34" t="n"/>
      <c r="G1365" s="28" t="n"/>
      <c r="H1365" s="33">
        <f>IF(OR(E1365="",F1365=""),"",ROUND(MOD(F1365-E1365,1)*24-N(G1365),2))</f>
        <v/>
      </c>
      <c r="I1365" s="33">
        <f>IF(H1365="","",ROUND(MAX(0,H1365-8),2))</f>
        <v/>
      </c>
      <c r="J1365" s="33">
        <f>IF(OR(E1365="",F1365=""),"",ROUND(IF(MOD(F1365,1)&gt;=TIME(22,0,0),(MOD(F1365,1)-TIME(22,0,0))*24,IF(MOD(F1365,1)&lt;TIME(6,0,0),(MOD(F1365,1)+1-TIME(22,0,0))*24,0)),2))</f>
        <v/>
      </c>
      <c r="K1365" s="33">
        <f>IF(H1365="","",ROUND(IF(L1365="휴일근로",MIN(H1365,8)*1.5+MAX(0,H1365-8)*2,I1365*1.5)+N(J1365)*0.5,2))</f>
        <v/>
      </c>
      <c r="L1365" s="18" t="n"/>
      <c r="M1365" s="18" t="n"/>
      <c r="N1365" s="22" t="n"/>
    </row>
    <row r="1366">
      <c r="A1366" s="19" t="n"/>
      <c r="B1366" s="25">
        <f>IF(A1366="","",CHOOSE(WEEKDAY(A1366,2),"월","화","수","목","금","토","일"))</f>
        <v/>
      </c>
      <c r="C1366" s="18" t="n"/>
      <c r="D1366" s="25">
        <f>IFERROR(IF(C1366="","",INDEX(직원명부!$B$5:$B$24,MATCH(C1366,직원명부!$A$5:$A$24,0))),"사번 확인")</f>
        <v/>
      </c>
      <c r="E1366" s="34" t="n"/>
      <c r="F1366" s="34" t="n"/>
      <c r="G1366" s="28" t="n"/>
      <c r="H1366" s="33">
        <f>IF(OR(E1366="",F1366=""),"",ROUND(MOD(F1366-E1366,1)*24-N(G1366),2))</f>
        <v/>
      </c>
      <c r="I1366" s="33">
        <f>IF(H1366="","",ROUND(MAX(0,H1366-8),2))</f>
        <v/>
      </c>
      <c r="J1366" s="33">
        <f>IF(OR(E1366="",F1366=""),"",ROUND(IF(MOD(F1366,1)&gt;=TIME(22,0,0),(MOD(F1366,1)-TIME(22,0,0))*24,IF(MOD(F1366,1)&lt;TIME(6,0,0),(MOD(F1366,1)+1-TIME(22,0,0))*24,0)),2))</f>
        <v/>
      </c>
      <c r="K1366" s="33">
        <f>IF(H1366="","",ROUND(IF(L1366="휴일근로",MIN(H1366,8)*1.5+MAX(0,H1366-8)*2,I1366*1.5)+N(J1366)*0.5,2))</f>
        <v/>
      </c>
      <c r="L1366" s="18" t="n"/>
      <c r="M1366" s="18" t="n"/>
      <c r="N1366" s="22" t="n"/>
    </row>
    <row r="1367">
      <c r="A1367" s="19" t="n"/>
      <c r="B1367" s="25">
        <f>IF(A1367="","",CHOOSE(WEEKDAY(A1367,2),"월","화","수","목","금","토","일"))</f>
        <v/>
      </c>
      <c r="C1367" s="18" t="n"/>
      <c r="D1367" s="25">
        <f>IFERROR(IF(C1367="","",INDEX(직원명부!$B$5:$B$24,MATCH(C1367,직원명부!$A$5:$A$24,0))),"사번 확인")</f>
        <v/>
      </c>
      <c r="E1367" s="34" t="n"/>
      <c r="F1367" s="34" t="n"/>
      <c r="G1367" s="28" t="n"/>
      <c r="H1367" s="33">
        <f>IF(OR(E1367="",F1367=""),"",ROUND(MOD(F1367-E1367,1)*24-N(G1367),2))</f>
        <v/>
      </c>
      <c r="I1367" s="33">
        <f>IF(H1367="","",ROUND(MAX(0,H1367-8),2))</f>
        <v/>
      </c>
      <c r="J1367" s="33">
        <f>IF(OR(E1367="",F1367=""),"",ROUND(IF(MOD(F1367,1)&gt;=TIME(22,0,0),(MOD(F1367,1)-TIME(22,0,0))*24,IF(MOD(F1367,1)&lt;TIME(6,0,0),(MOD(F1367,1)+1-TIME(22,0,0))*24,0)),2))</f>
        <v/>
      </c>
      <c r="K1367" s="33">
        <f>IF(H1367="","",ROUND(IF(L1367="휴일근로",MIN(H1367,8)*1.5+MAX(0,H1367-8)*2,I1367*1.5)+N(J1367)*0.5,2))</f>
        <v/>
      </c>
      <c r="L1367" s="18" t="n"/>
      <c r="M1367" s="18" t="n"/>
      <c r="N1367" s="22" t="n"/>
    </row>
    <row r="1368">
      <c r="A1368" s="19" t="n"/>
      <c r="B1368" s="25">
        <f>IF(A1368="","",CHOOSE(WEEKDAY(A1368,2),"월","화","수","목","금","토","일"))</f>
        <v/>
      </c>
      <c r="C1368" s="18" t="n"/>
      <c r="D1368" s="25">
        <f>IFERROR(IF(C1368="","",INDEX(직원명부!$B$5:$B$24,MATCH(C1368,직원명부!$A$5:$A$24,0))),"사번 확인")</f>
        <v/>
      </c>
      <c r="E1368" s="34" t="n"/>
      <c r="F1368" s="34" t="n"/>
      <c r="G1368" s="28" t="n"/>
      <c r="H1368" s="33">
        <f>IF(OR(E1368="",F1368=""),"",ROUND(MOD(F1368-E1368,1)*24-N(G1368),2))</f>
        <v/>
      </c>
      <c r="I1368" s="33">
        <f>IF(H1368="","",ROUND(MAX(0,H1368-8),2))</f>
        <v/>
      </c>
      <c r="J1368" s="33">
        <f>IF(OR(E1368="",F1368=""),"",ROUND(IF(MOD(F1368,1)&gt;=TIME(22,0,0),(MOD(F1368,1)-TIME(22,0,0))*24,IF(MOD(F1368,1)&lt;TIME(6,0,0),(MOD(F1368,1)+1-TIME(22,0,0))*24,0)),2))</f>
        <v/>
      </c>
      <c r="K1368" s="33">
        <f>IF(H1368="","",ROUND(IF(L1368="휴일근로",MIN(H1368,8)*1.5+MAX(0,H1368-8)*2,I1368*1.5)+N(J1368)*0.5,2))</f>
        <v/>
      </c>
      <c r="L1368" s="18" t="n"/>
      <c r="M1368" s="18" t="n"/>
      <c r="N1368" s="22" t="n"/>
    </row>
    <row r="1369">
      <c r="A1369" s="19" t="n"/>
      <c r="B1369" s="25">
        <f>IF(A1369="","",CHOOSE(WEEKDAY(A1369,2),"월","화","수","목","금","토","일"))</f>
        <v/>
      </c>
      <c r="C1369" s="18" t="n"/>
      <c r="D1369" s="25">
        <f>IFERROR(IF(C1369="","",INDEX(직원명부!$B$5:$B$24,MATCH(C1369,직원명부!$A$5:$A$24,0))),"사번 확인")</f>
        <v/>
      </c>
      <c r="E1369" s="34" t="n"/>
      <c r="F1369" s="34" t="n"/>
      <c r="G1369" s="28" t="n"/>
      <c r="H1369" s="33">
        <f>IF(OR(E1369="",F1369=""),"",ROUND(MOD(F1369-E1369,1)*24-N(G1369),2))</f>
        <v/>
      </c>
      <c r="I1369" s="33">
        <f>IF(H1369="","",ROUND(MAX(0,H1369-8),2))</f>
        <v/>
      </c>
      <c r="J1369" s="33">
        <f>IF(OR(E1369="",F1369=""),"",ROUND(IF(MOD(F1369,1)&gt;=TIME(22,0,0),(MOD(F1369,1)-TIME(22,0,0))*24,IF(MOD(F1369,1)&lt;TIME(6,0,0),(MOD(F1369,1)+1-TIME(22,0,0))*24,0)),2))</f>
        <v/>
      </c>
      <c r="K1369" s="33">
        <f>IF(H1369="","",ROUND(IF(L1369="휴일근로",MIN(H1369,8)*1.5+MAX(0,H1369-8)*2,I1369*1.5)+N(J1369)*0.5,2))</f>
        <v/>
      </c>
      <c r="L1369" s="18" t="n"/>
      <c r="M1369" s="18" t="n"/>
      <c r="N1369" s="22" t="n"/>
    </row>
    <row r="1370">
      <c r="A1370" s="19" t="n"/>
      <c r="B1370" s="25">
        <f>IF(A1370="","",CHOOSE(WEEKDAY(A1370,2),"월","화","수","목","금","토","일"))</f>
        <v/>
      </c>
      <c r="C1370" s="18" t="n"/>
      <c r="D1370" s="25">
        <f>IFERROR(IF(C1370="","",INDEX(직원명부!$B$5:$B$24,MATCH(C1370,직원명부!$A$5:$A$24,0))),"사번 확인")</f>
        <v/>
      </c>
      <c r="E1370" s="34" t="n"/>
      <c r="F1370" s="34" t="n"/>
      <c r="G1370" s="28" t="n"/>
      <c r="H1370" s="33">
        <f>IF(OR(E1370="",F1370=""),"",ROUND(MOD(F1370-E1370,1)*24-N(G1370),2))</f>
        <v/>
      </c>
      <c r="I1370" s="33">
        <f>IF(H1370="","",ROUND(MAX(0,H1370-8),2))</f>
        <v/>
      </c>
      <c r="J1370" s="33">
        <f>IF(OR(E1370="",F1370=""),"",ROUND(IF(MOD(F1370,1)&gt;=TIME(22,0,0),(MOD(F1370,1)-TIME(22,0,0))*24,IF(MOD(F1370,1)&lt;TIME(6,0,0),(MOD(F1370,1)+1-TIME(22,0,0))*24,0)),2))</f>
        <v/>
      </c>
      <c r="K1370" s="33">
        <f>IF(H1370="","",ROUND(IF(L1370="휴일근로",MIN(H1370,8)*1.5+MAX(0,H1370-8)*2,I1370*1.5)+N(J1370)*0.5,2))</f>
        <v/>
      </c>
      <c r="L1370" s="18" t="n"/>
      <c r="M1370" s="18" t="n"/>
      <c r="N1370" s="22" t="n"/>
    </row>
    <row r="1371">
      <c r="A1371" s="19" t="n"/>
      <c r="B1371" s="25">
        <f>IF(A1371="","",CHOOSE(WEEKDAY(A1371,2),"월","화","수","목","금","토","일"))</f>
        <v/>
      </c>
      <c r="C1371" s="18" t="n"/>
      <c r="D1371" s="25">
        <f>IFERROR(IF(C1371="","",INDEX(직원명부!$B$5:$B$24,MATCH(C1371,직원명부!$A$5:$A$24,0))),"사번 확인")</f>
        <v/>
      </c>
      <c r="E1371" s="34" t="n"/>
      <c r="F1371" s="34" t="n"/>
      <c r="G1371" s="28" t="n"/>
      <c r="H1371" s="33">
        <f>IF(OR(E1371="",F1371=""),"",ROUND(MOD(F1371-E1371,1)*24-N(G1371),2))</f>
        <v/>
      </c>
      <c r="I1371" s="33">
        <f>IF(H1371="","",ROUND(MAX(0,H1371-8),2))</f>
        <v/>
      </c>
      <c r="J1371" s="33">
        <f>IF(OR(E1371="",F1371=""),"",ROUND(IF(MOD(F1371,1)&gt;=TIME(22,0,0),(MOD(F1371,1)-TIME(22,0,0))*24,IF(MOD(F1371,1)&lt;TIME(6,0,0),(MOD(F1371,1)+1-TIME(22,0,0))*24,0)),2))</f>
        <v/>
      </c>
      <c r="K1371" s="33">
        <f>IF(H1371="","",ROUND(IF(L1371="휴일근로",MIN(H1371,8)*1.5+MAX(0,H1371-8)*2,I1371*1.5)+N(J1371)*0.5,2))</f>
        <v/>
      </c>
      <c r="L1371" s="18" t="n"/>
      <c r="M1371" s="18" t="n"/>
      <c r="N1371" s="22" t="n"/>
    </row>
    <row r="1372">
      <c r="A1372" s="19" t="n"/>
      <c r="B1372" s="25">
        <f>IF(A1372="","",CHOOSE(WEEKDAY(A1372,2),"월","화","수","목","금","토","일"))</f>
        <v/>
      </c>
      <c r="C1372" s="18" t="n"/>
      <c r="D1372" s="25">
        <f>IFERROR(IF(C1372="","",INDEX(직원명부!$B$5:$B$24,MATCH(C1372,직원명부!$A$5:$A$24,0))),"사번 확인")</f>
        <v/>
      </c>
      <c r="E1372" s="34" t="n"/>
      <c r="F1372" s="34" t="n"/>
      <c r="G1372" s="28" t="n"/>
      <c r="H1372" s="33">
        <f>IF(OR(E1372="",F1372=""),"",ROUND(MOD(F1372-E1372,1)*24-N(G1372),2))</f>
        <v/>
      </c>
      <c r="I1372" s="33">
        <f>IF(H1372="","",ROUND(MAX(0,H1372-8),2))</f>
        <v/>
      </c>
      <c r="J1372" s="33">
        <f>IF(OR(E1372="",F1372=""),"",ROUND(IF(MOD(F1372,1)&gt;=TIME(22,0,0),(MOD(F1372,1)-TIME(22,0,0))*24,IF(MOD(F1372,1)&lt;TIME(6,0,0),(MOD(F1372,1)+1-TIME(22,0,0))*24,0)),2))</f>
        <v/>
      </c>
      <c r="K1372" s="33">
        <f>IF(H1372="","",ROUND(IF(L1372="휴일근로",MIN(H1372,8)*1.5+MAX(0,H1372-8)*2,I1372*1.5)+N(J1372)*0.5,2))</f>
        <v/>
      </c>
      <c r="L1372" s="18" t="n"/>
      <c r="M1372" s="18" t="n"/>
      <c r="N1372" s="22" t="n"/>
    </row>
    <row r="1373">
      <c r="A1373" s="19" t="n"/>
      <c r="B1373" s="25">
        <f>IF(A1373="","",CHOOSE(WEEKDAY(A1373,2),"월","화","수","목","금","토","일"))</f>
        <v/>
      </c>
      <c r="C1373" s="18" t="n"/>
      <c r="D1373" s="25">
        <f>IFERROR(IF(C1373="","",INDEX(직원명부!$B$5:$B$24,MATCH(C1373,직원명부!$A$5:$A$24,0))),"사번 확인")</f>
        <v/>
      </c>
      <c r="E1373" s="34" t="n"/>
      <c r="F1373" s="34" t="n"/>
      <c r="G1373" s="28" t="n"/>
      <c r="H1373" s="33">
        <f>IF(OR(E1373="",F1373=""),"",ROUND(MOD(F1373-E1373,1)*24-N(G1373),2))</f>
        <v/>
      </c>
      <c r="I1373" s="33">
        <f>IF(H1373="","",ROUND(MAX(0,H1373-8),2))</f>
        <v/>
      </c>
      <c r="J1373" s="33">
        <f>IF(OR(E1373="",F1373=""),"",ROUND(IF(MOD(F1373,1)&gt;=TIME(22,0,0),(MOD(F1373,1)-TIME(22,0,0))*24,IF(MOD(F1373,1)&lt;TIME(6,0,0),(MOD(F1373,1)+1-TIME(22,0,0))*24,0)),2))</f>
        <v/>
      </c>
      <c r="K1373" s="33">
        <f>IF(H1373="","",ROUND(IF(L1373="휴일근로",MIN(H1373,8)*1.5+MAX(0,H1373-8)*2,I1373*1.5)+N(J1373)*0.5,2))</f>
        <v/>
      </c>
      <c r="L1373" s="18" t="n"/>
      <c r="M1373" s="18" t="n"/>
      <c r="N1373" s="22" t="n"/>
    </row>
    <row r="1374">
      <c r="A1374" s="19" t="n"/>
      <c r="B1374" s="25">
        <f>IF(A1374="","",CHOOSE(WEEKDAY(A1374,2),"월","화","수","목","금","토","일"))</f>
        <v/>
      </c>
      <c r="C1374" s="18" t="n"/>
      <c r="D1374" s="25">
        <f>IFERROR(IF(C1374="","",INDEX(직원명부!$B$5:$B$24,MATCH(C1374,직원명부!$A$5:$A$24,0))),"사번 확인")</f>
        <v/>
      </c>
      <c r="E1374" s="34" t="n"/>
      <c r="F1374" s="34" t="n"/>
      <c r="G1374" s="28" t="n"/>
      <c r="H1374" s="33">
        <f>IF(OR(E1374="",F1374=""),"",ROUND(MOD(F1374-E1374,1)*24-N(G1374),2))</f>
        <v/>
      </c>
      <c r="I1374" s="33">
        <f>IF(H1374="","",ROUND(MAX(0,H1374-8),2))</f>
        <v/>
      </c>
      <c r="J1374" s="33">
        <f>IF(OR(E1374="",F1374=""),"",ROUND(IF(MOD(F1374,1)&gt;=TIME(22,0,0),(MOD(F1374,1)-TIME(22,0,0))*24,IF(MOD(F1374,1)&lt;TIME(6,0,0),(MOD(F1374,1)+1-TIME(22,0,0))*24,0)),2))</f>
        <v/>
      </c>
      <c r="K1374" s="33">
        <f>IF(H1374="","",ROUND(IF(L1374="휴일근로",MIN(H1374,8)*1.5+MAX(0,H1374-8)*2,I1374*1.5)+N(J1374)*0.5,2))</f>
        <v/>
      </c>
      <c r="L1374" s="18" t="n"/>
      <c r="M1374" s="18" t="n"/>
      <c r="N1374" s="22" t="n"/>
    </row>
    <row r="1375">
      <c r="A1375" s="19" t="n"/>
      <c r="B1375" s="25">
        <f>IF(A1375="","",CHOOSE(WEEKDAY(A1375,2),"월","화","수","목","금","토","일"))</f>
        <v/>
      </c>
      <c r="C1375" s="18" t="n"/>
      <c r="D1375" s="25">
        <f>IFERROR(IF(C1375="","",INDEX(직원명부!$B$5:$B$24,MATCH(C1375,직원명부!$A$5:$A$24,0))),"사번 확인")</f>
        <v/>
      </c>
      <c r="E1375" s="34" t="n"/>
      <c r="F1375" s="34" t="n"/>
      <c r="G1375" s="28" t="n"/>
      <c r="H1375" s="33">
        <f>IF(OR(E1375="",F1375=""),"",ROUND(MOD(F1375-E1375,1)*24-N(G1375),2))</f>
        <v/>
      </c>
      <c r="I1375" s="33">
        <f>IF(H1375="","",ROUND(MAX(0,H1375-8),2))</f>
        <v/>
      </c>
      <c r="J1375" s="33">
        <f>IF(OR(E1375="",F1375=""),"",ROUND(IF(MOD(F1375,1)&gt;=TIME(22,0,0),(MOD(F1375,1)-TIME(22,0,0))*24,IF(MOD(F1375,1)&lt;TIME(6,0,0),(MOD(F1375,1)+1-TIME(22,0,0))*24,0)),2))</f>
        <v/>
      </c>
      <c r="K1375" s="33">
        <f>IF(H1375="","",ROUND(IF(L1375="휴일근로",MIN(H1375,8)*1.5+MAX(0,H1375-8)*2,I1375*1.5)+N(J1375)*0.5,2))</f>
        <v/>
      </c>
      <c r="L1375" s="18" t="n"/>
      <c r="M1375" s="18" t="n"/>
      <c r="N1375" s="22" t="n"/>
    </row>
    <row r="1376">
      <c r="A1376" s="19" t="n"/>
      <c r="B1376" s="25">
        <f>IF(A1376="","",CHOOSE(WEEKDAY(A1376,2),"월","화","수","목","금","토","일"))</f>
        <v/>
      </c>
      <c r="C1376" s="18" t="n"/>
      <c r="D1376" s="25">
        <f>IFERROR(IF(C1376="","",INDEX(직원명부!$B$5:$B$24,MATCH(C1376,직원명부!$A$5:$A$24,0))),"사번 확인")</f>
        <v/>
      </c>
      <c r="E1376" s="34" t="n"/>
      <c r="F1376" s="34" t="n"/>
      <c r="G1376" s="28" t="n"/>
      <c r="H1376" s="33">
        <f>IF(OR(E1376="",F1376=""),"",ROUND(MOD(F1376-E1376,1)*24-N(G1376),2))</f>
        <v/>
      </c>
      <c r="I1376" s="33">
        <f>IF(H1376="","",ROUND(MAX(0,H1376-8),2))</f>
        <v/>
      </c>
      <c r="J1376" s="33">
        <f>IF(OR(E1376="",F1376=""),"",ROUND(IF(MOD(F1376,1)&gt;=TIME(22,0,0),(MOD(F1376,1)-TIME(22,0,0))*24,IF(MOD(F1376,1)&lt;TIME(6,0,0),(MOD(F1376,1)+1-TIME(22,0,0))*24,0)),2))</f>
        <v/>
      </c>
      <c r="K1376" s="33">
        <f>IF(H1376="","",ROUND(IF(L1376="휴일근로",MIN(H1376,8)*1.5+MAX(0,H1376-8)*2,I1376*1.5)+N(J1376)*0.5,2))</f>
        <v/>
      </c>
      <c r="L1376" s="18" t="n"/>
      <c r="M1376" s="18" t="n"/>
      <c r="N1376" s="22" t="n"/>
    </row>
    <row r="1377">
      <c r="A1377" s="19" t="n"/>
      <c r="B1377" s="25">
        <f>IF(A1377="","",CHOOSE(WEEKDAY(A1377,2),"월","화","수","목","금","토","일"))</f>
        <v/>
      </c>
      <c r="C1377" s="18" t="n"/>
      <c r="D1377" s="25">
        <f>IFERROR(IF(C1377="","",INDEX(직원명부!$B$5:$B$24,MATCH(C1377,직원명부!$A$5:$A$24,0))),"사번 확인")</f>
        <v/>
      </c>
      <c r="E1377" s="34" t="n"/>
      <c r="F1377" s="34" t="n"/>
      <c r="G1377" s="28" t="n"/>
      <c r="H1377" s="33">
        <f>IF(OR(E1377="",F1377=""),"",ROUND(MOD(F1377-E1377,1)*24-N(G1377),2))</f>
        <v/>
      </c>
      <c r="I1377" s="33">
        <f>IF(H1377="","",ROUND(MAX(0,H1377-8),2))</f>
        <v/>
      </c>
      <c r="J1377" s="33">
        <f>IF(OR(E1377="",F1377=""),"",ROUND(IF(MOD(F1377,1)&gt;=TIME(22,0,0),(MOD(F1377,1)-TIME(22,0,0))*24,IF(MOD(F1377,1)&lt;TIME(6,0,0),(MOD(F1377,1)+1-TIME(22,0,0))*24,0)),2))</f>
        <v/>
      </c>
      <c r="K1377" s="33">
        <f>IF(H1377="","",ROUND(IF(L1377="휴일근로",MIN(H1377,8)*1.5+MAX(0,H1377-8)*2,I1377*1.5)+N(J1377)*0.5,2))</f>
        <v/>
      </c>
      <c r="L1377" s="18" t="n"/>
      <c r="M1377" s="18" t="n"/>
      <c r="N1377" s="22" t="n"/>
    </row>
    <row r="1378">
      <c r="A1378" s="19" t="n"/>
      <c r="B1378" s="25">
        <f>IF(A1378="","",CHOOSE(WEEKDAY(A1378,2),"월","화","수","목","금","토","일"))</f>
        <v/>
      </c>
      <c r="C1378" s="18" t="n"/>
      <c r="D1378" s="25">
        <f>IFERROR(IF(C1378="","",INDEX(직원명부!$B$5:$B$24,MATCH(C1378,직원명부!$A$5:$A$24,0))),"사번 확인")</f>
        <v/>
      </c>
      <c r="E1378" s="34" t="n"/>
      <c r="F1378" s="34" t="n"/>
      <c r="G1378" s="28" t="n"/>
      <c r="H1378" s="33">
        <f>IF(OR(E1378="",F1378=""),"",ROUND(MOD(F1378-E1378,1)*24-N(G1378),2))</f>
        <v/>
      </c>
      <c r="I1378" s="33">
        <f>IF(H1378="","",ROUND(MAX(0,H1378-8),2))</f>
        <v/>
      </c>
      <c r="J1378" s="33">
        <f>IF(OR(E1378="",F1378=""),"",ROUND(IF(MOD(F1378,1)&gt;=TIME(22,0,0),(MOD(F1378,1)-TIME(22,0,0))*24,IF(MOD(F1378,1)&lt;TIME(6,0,0),(MOD(F1378,1)+1-TIME(22,0,0))*24,0)),2))</f>
        <v/>
      </c>
      <c r="K1378" s="33">
        <f>IF(H1378="","",ROUND(IF(L1378="휴일근로",MIN(H1378,8)*1.5+MAX(0,H1378-8)*2,I1378*1.5)+N(J1378)*0.5,2))</f>
        <v/>
      </c>
      <c r="L1378" s="18" t="n"/>
      <c r="M1378" s="18" t="n"/>
      <c r="N1378" s="22" t="n"/>
    </row>
    <row r="1379">
      <c r="A1379" s="19" t="n"/>
      <c r="B1379" s="25">
        <f>IF(A1379="","",CHOOSE(WEEKDAY(A1379,2),"월","화","수","목","금","토","일"))</f>
        <v/>
      </c>
      <c r="C1379" s="18" t="n"/>
      <c r="D1379" s="25">
        <f>IFERROR(IF(C1379="","",INDEX(직원명부!$B$5:$B$24,MATCH(C1379,직원명부!$A$5:$A$24,0))),"사번 확인")</f>
        <v/>
      </c>
      <c r="E1379" s="34" t="n"/>
      <c r="F1379" s="34" t="n"/>
      <c r="G1379" s="28" t="n"/>
      <c r="H1379" s="33">
        <f>IF(OR(E1379="",F1379=""),"",ROUND(MOD(F1379-E1379,1)*24-N(G1379),2))</f>
        <v/>
      </c>
      <c r="I1379" s="33">
        <f>IF(H1379="","",ROUND(MAX(0,H1379-8),2))</f>
        <v/>
      </c>
      <c r="J1379" s="33">
        <f>IF(OR(E1379="",F1379=""),"",ROUND(IF(MOD(F1379,1)&gt;=TIME(22,0,0),(MOD(F1379,1)-TIME(22,0,0))*24,IF(MOD(F1379,1)&lt;TIME(6,0,0),(MOD(F1379,1)+1-TIME(22,0,0))*24,0)),2))</f>
        <v/>
      </c>
      <c r="K1379" s="33">
        <f>IF(H1379="","",ROUND(IF(L1379="휴일근로",MIN(H1379,8)*1.5+MAX(0,H1379-8)*2,I1379*1.5)+N(J1379)*0.5,2))</f>
        <v/>
      </c>
      <c r="L1379" s="18" t="n"/>
      <c r="M1379" s="18" t="n"/>
      <c r="N1379" s="22" t="n"/>
    </row>
    <row r="1380">
      <c r="A1380" s="19" t="n"/>
      <c r="B1380" s="25">
        <f>IF(A1380="","",CHOOSE(WEEKDAY(A1380,2),"월","화","수","목","금","토","일"))</f>
        <v/>
      </c>
      <c r="C1380" s="18" t="n"/>
      <c r="D1380" s="25">
        <f>IFERROR(IF(C1380="","",INDEX(직원명부!$B$5:$B$24,MATCH(C1380,직원명부!$A$5:$A$24,0))),"사번 확인")</f>
        <v/>
      </c>
      <c r="E1380" s="34" t="n"/>
      <c r="F1380" s="34" t="n"/>
      <c r="G1380" s="28" t="n"/>
      <c r="H1380" s="33">
        <f>IF(OR(E1380="",F1380=""),"",ROUND(MOD(F1380-E1380,1)*24-N(G1380),2))</f>
        <v/>
      </c>
      <c r="I1380" s="33">
        <f>IF(H1380="","",ROUND(MAX(0,H1380-8),2))</f>
        <v/>
      </c>
      <c r="J1380" s="33">
        <f>IF(OR(E1380="",F1380=""),"",ROUND(IF(MOD(F1380,1)&gt;=TIME(22,0,0),(MOD(F1380,1)-TIME(22,0,0))*24,IF(MOD(F1380,1)&lt;TIME(6,0,0),(MOD(F1380,1)+1-TIME(22,0,0))*24,0)),2))</f>
        <v/>
      </c>
      <c r="K1380" s="33">
        <f>IF(H1380="","",ROUND(IF(L1380="휴일근로",MIN(H1380,8)*1.5+MAX(0,H1380-8)*2,I1380*1.5)+N(J1380)*0.5,2))</f>
        <v/>
      </c>
      <c r="L1380" s="18" t="n"/>
      <c r="M1380" s="18" t="n"/>
      <c r="N1380" s="22" t="n"/>
    </row>
    <row r="1381">
      <c r="A1381" s="19" t="n"/>
      <c r="B1381" s="25">
        <f>IF(A1381="","",CHOOSE(WEEKDAY(A1381,2),"월","화","수","목","금","토","일"))</f>
        <v/>
      </c>
      <c r="C1381" s="18" t="n"/>
      <c r="D1381" s="25">
        <f>IFERROR(IF(C1381="","",INDEX(직원명부!$B$5:$B$24,MATCH(C1381,직원명부!$A$5:$A$24,0))),"사번 확인")</f>
        <v/>
      </c>
      <c r="E1381" s="34" t="n"/>
      <c r="F1381" s="34" t="n"/>
      <c r="G1381" s="28" t="n"/>
      <c r="H1381" s="33">
        <f>IF(OR(E1381="",F1381=""),"",ROUND(MOD(F1381-E1381,1)*24-N(G1381),2))</f>
        <v/>
      </c>
      <c r="I1381" s="33">
        <f>IF(H1381="","",ROUND(MAX(0,H1381-8),2))</f>
        <v/>
      </c>
      <c r="J1381" s="33">
        <f>IF(OR(E1381="",F1381=""),"",ROUND(IF(MOD(F1381,1)&gt;=TIME(22,0,0),(MOD(F1381,1)-TIME(22,0,0))*24,IF(MOD(F1381,1)&lt;TIME(6,0,0),(MOD(F1381,1)+1-TIME(22,0,0))*24,0)),2))</f>
        <v/>
      </c>
      <c r="K1381" s="33">
        <f>IF(H1381="","",ROUND(IF(L1381="휴일근로",MIN(H1381,8)*1.5+MAX(0,H1381-8)*2,I1381*1.5)+N(J1381)*0.5,2))</f>
        <v/>
      </c>
      <c r="L1381" s="18" t="n"/>
      <c r="M1381" s="18" t="n"/>
      <c r="N1381" s="22" t="n"/>
    </row>
    <row r="1382">
      <c r="A1382" s="19" t="n"/>
      <c r="B1382" s="25">
        <f>IF(A1382="","",CHOOSE(WEEKDAY(A1382,2),"월","화","수","목","금","토","일"))</f>
        <v/>
      </c>
      <c r="C1382" s="18" t="n"/>
      <c r="D1382" s="25">
        <f>IFERROR(IF(C1382="","",INDEX(직원명부!$B$5:$B$24,MATCH(C1382,직원명부!$A$5:$A$24,0))),"사번 확인")</f>
        <v/>
      </c>
      <c r="E1382" s="34" t="n"/>
      <c r="F1382" s="34" t="n"/>
      <c r="G1382" s="28" t="n"/>
      <c r="H1382" s="33">
        <f>IF(OR(E1382="",F1382=""),"",ROUND(MOD(F1382-E1382,1)*24-N(G1382),2))</f>
        <v/>
      </c>
      <c r="I1382" s="33">
        <f>IF(H1382="","",ROUND(MAX(0,H1382-8),2))</f>
        <v/>
      </c>
      <c r="J1382" s="33">
        <f>IF(OR(E1382="",F1382=""),"",ROUND(IF(MOD(F1382,1)&gt;=TIME(22,0,0),(MOD(F1382,1)-TIME(22,0,0))*24,IF(MOD(F1382,1)&lt;TIME(6,0,0),(MOD(F1382,1)+1-TIME(22,0,0))*24,0)),2))</f>
        <v/>
      </c>
      <c r="K1382" s="33">
        <f>IF(H1382="","",ROUND(IF(L1382="휴일근로",MIN(H1382,8)*1.5+MAX(0,H1382-8)*2,I1382*1.5)+N(J1382)*0.5,2))</f>
        <v/>
      </c>
      <c r="L1382" s="18" t="n"/>
      <c r="M1382" s="18" t="n"/>
      <c r="N1382" s="22" t="n"/>
    </row>
    <row r="1383">
      <c r="A1383" s="19" t="n"/>
      <c r="B1383" s="25">
        <f>IF(A1383="","",CHOOSE(WEEKDAY(A1383,2),"월","화","수","목","금","토","일"))</f>
        <v/>
      </c>
      <c r="C1383" s="18" t="n"/>
      <c r="D1383" s="25">
        <f>IFERROR(IF(C1383="","",INDEX(직원명부!$B$5:$B$24,MATCH(C1383,직원명부!$A$5:$A$24,0))),"사번 확인")</f>
        <v/>
      </c>
      <c r="E1383" s="34" t="n"/>
      <c r="F1383" s="34" t="n"/>
      <c r="G1383" s="28" t="n"/>
      <c r="H1383" s="33">
        <f>IF(OR(E1383="",F1383=""),"",ROUND(MOD(F1383-E1383,1)*24-N(G1383),2))</f>
        <v/>
      </c>
      <c r="I1383" s="33">
        <f>IF(H1383="","",ROUND(MAX(0,H1383-8),2))</f>
        <v/>
      </c>
      <c r="J1383" s="33">
        <f>IF(OR(E1383="",F1383=""),"",ROUND(IF(MOD(F1383,1)&gt;=TIME(22,0,0),(MOD(F1383,1)-TIME(22,0,0))*24,IF(MOD(F1383,1)&lt;TIME(6,0,0),(MOD(F1383,1)+1-TIME(22,0,0))*24,0)),2))</f>
        <v/>
      </c>
      <c r="K1383" s="33">
        <f>IF(H1383="","",ROUND(IF(L1383="휴일근로",MIN(H1383,8)*1.5+MAX(0,H1383-8)*2,I1383*1.5)+N(J1383)*0.5,2))</f>
        <v/>
      </c>
      <c r="L1383" s="18" t="n"/>
      <c r="M1383" s="18" t="n"/>
      <c r="N1383" s="22" t="n"/>
    </row>
    <row r="1384">
      <c r="A1384" s="19" t="n"/>
      <c r="B1384" s="25">
        <f>IF(A1384="","",CHOOSE(WEEKDAY(A1384,2),"월","화","수","목","금","토","일"))</f>
        <v/>
      </c>
      <c r="C1384" s="18" t="n"/>
      <c r="D1384" s="25">
        <f>IFERROR(IF(C1384="","",INDEX(직원명부!$B$5:$B$24,MATCH(C1384,직원명부!$A$5:$A$24,0))),"사번 확인")</f>
        <v/>
      </c>
      <c r="E1384" s="34" t="n"/>
      <c r="F1384" s="34" t="n"/>
      <c r="G1384" s="28" t="n"/>
      <c r="H1384" s="33">
        <f>IF(OR(E1384="",F1384=""),"",ROUND(MOD(F1384-E1384,1)*24-N(G1384),2))</f>
        <v/>
      </c>
      <c r="I1384" s="33">
        <f>IF(H1384="","",ROUND(MAX(0,H1384-8),2))</f>
        <v/>
      </c>
      <c r="J1384" s="33">
        <f>IF(OR(E1384="",F1384=""),"",ROUND(IF(MOD(F1384,1)&gt;=TIME(22,0,0),(MOD(F1384,1)-TIME(22,0,0))*24,IF(MOD(F1384,1)&lt;TIME(6,0,0),(MOD(F1384,1)+1-TIME(22,0,0))*24,0)),2))</f>
        <v/>
      </c>
      <c r="K1384" s="33">
        <f>IF(H1384="","",ROUND(IF(L1384="휴일근로",MIN(H1384,8)*1.5+MAX(0,H1384-8)*2,I1384*1.5)+N(J1384)*0.5,2))</f>
        <v/>
      </c>
      <c r="L1384" s="18" t="n"/>
      <c r="M1384" s="18" t="n"/>
      <c r="N1384" s="22" t="n"/>
    </row>
    <row r="1385">
      <c r="A1385" s="19" t="n"/>
      <c r="B1385" s="25">
        <f>IF(A1385="","",CHOOSE(WEEKDAY(A1385,2),"월","화","수","목","금","토","일"))</f>
        <v/>
      </c>
      <c r="C1385" s="18" t="n"/>
      <c r="D1385" s="25">
        <f>IFERROR(IF(C1385="","",INDEX(직원명부!$B$5:$B$24,MATCH(C1385,직원명부!$A$5:$A$24,0))),"사번 확인")</f>
        <v/>
      </c>
      <c r="E1385" s="34" t="n"/>
      <c r="F1385" s="34" t="n"/>
      <c r="G1385" s="28" t="n"/>
      <c r="H1385" s="33">
        <f>IF(OR(E1385="",F1385=""),"",ROUND(MOD(F1385-E1385,1)*24-N(G1385),2))</f>
        <v/>
      </c>
      <c r="I1385" s="33">
        <f>IF(H1385="","",ROUND(MAX(0,H1385-8),2))</f>
        <v/>
      </c>
      <c r="J1385" s="33">
        <f>IF(OR(E1385="",F1385=""),"",ROUND(IF(MOD(F1385,1)&gt;=TIME(22,0,0),(MOD(F1385,1)-TIME(22,0,0))*24,IF(MOD(F1385,1)&lt;TIME(6,0,0),(MOD(F1385,1)+1-TIME(22,0,0))*24,0)),2))</f>
        <v/>
      </c>
      <c r="K1385" s="33">
        <f>IF(H1385="","",ROUND(IF(L1385="휴일근로",MIN(H1385,8)*1.5+MAX(0,H1385-8)*2,I1385*1.5)+N(J1385)*0.5,2))</f>
        <v/>
      </c>
      <c r="L1385" s="18" t="n"/>
      <c r="M1385" s="18" t="n"/>
      <c r="N1385" s="22" t="n"/>
    </row>
    <row r="1386">
      <c r="A1386" s="19" t="n"/>
      <c r="B1386" s="25">
        <f>IF(A1386="","",CHOOSE(WEEKDAY(A1386,2),"월","화","수","목","금","토","일"))</f>
        <v/>
      </c>
      <c r="C1386" s="18" t="n"/>
      <c r="D1386" s="25">
        <f>IFERROR(IF(C1386="","",INDEX(직원명부!$B$5:$B$24,MATCH(C1386,직원명부!$A$5:$A$24,0))),"사번 확인")</f>
        <v/>
      </c>
      <c r="E1386" s="34" t="n"/>
      <c r="F1386" s="34" t="n"/>
      <c r="G1386" s="28" t="n"/>
      <c r="H1386" s="33">
        <f>IF(OR(E1386="",F1386=""),"",ROUND(MOD(F1386-E1386,1)*24-N(G1386),2))</f>
        <v/>
      </c>
      <c r="I1386" s="33">
        <f>IF(H1386="","",ROUND(MAX(0,H1386-8),2))</f>
        <v/>
      </c>
      <c r="J1386" s="33">
        <f>IF(OR(E1386="",F1386=""),"",ROUND(IF(MOD(F1386,1)&gt;=TIME(22,0,0),(MOD(F1386,1)-TIME(22,0,0))*24,IF(MOD(F1386,1)&lt;TIME(6,0,0),(MOD(F1386,1)+1-TIME(22,0,0))*24,0)),2))</f>
        <v/>
      </c>
      <c r="K1386" s="33">
        <f>IF(H1386="","",ROUND(IF(L1386="휴일근로",MIN(H1386,8)*1.5+MAX(0,H1386-8)*2,I1386*1.5)+N(J1386)*0.5,2))</f>
        <v/>
      </c>
      <c r="L1386" s="18" t="n"/>
      <c r="M1386" s="18" t="n"/>
      <c r="N1386" s="22" t="n"/>
    </row>
    <row r="1387">
      <c r="A1387" s="19" t="n"/>
      <c r="B1387" s="25">
        <f>IF(A1387="","",CHOOSE(WEEKDAY(A1387,2),"월","화","수","목","금","토","일"))</f>
        <v/>
      </c>
      <c r="C1387" s="18" t="n"/>
      <c r="D1387" s="25">
        <f>IFERROR(IF(C1387="","",INDEX(직원명부!$B$5:$B$24,MATCH(C1387,직원명부!$A$5:$A$24,0))),"사번 확인")</f>
        <v/>
      </c>
      <c r="E1387" s="34" t="n"/>
      <c r="F1387" s="34" t="n"/>
      <c r="G1387" s="28" t="n"/>
      <c r="H1387" s="33">
        <f>IF(OR(E1387="",F1387=""),"",ROUND(MOD(F1387-E1387,1)*24-N(G1387),2))</f>
        <v/>
      </c>
      <c r="I1387" s="33">
        <f>IF(H1387="","",ROUND(MAX(0,H1387-8),2))</f>
        <v/>
      </c>
      <c r="J1387" s="33">
        <f>IF(OR(E1387="",F1387=""),"",ROUND(IF(MOD(F1387,1)&gt;=TIME(22,0,0),(MOD(F1387,1)-TIME(22,0,0))*24,IF(MOD(F1387,1)&lt;TIME(6,0,0),(MOD(F1387,1)+1-TIME(22,0,0))*24,0)),2))</f>
        <v/>
      </c>
      <c r="K1387" s="33">
        <f>IF(H1387="","",ROUND(IF(L1387="휴일근로",MIN(H1387,8)*1.5+MAX(0,H1387-8)*2,I1387*1.5)+N(J1387)*0.5,2))</f>
        <v/>
      </c>
      <c r="L1387" s="18" t="n"/>
      <c r="M1387" s="18" t="n"/>
      <c r="N1387" s="22" t="n"/>
    </row>
    <row r="1388">
      <c r="A1388" s="19" t="n"/>
      <c r="B1388" s="25">
        <f>IF(A1388="","",CHOOSE(WEEKDAY(A1388,2),"월","화","수","목","금","토","일"))</f>
        <v/>
      </c>
      <c r="C1388" s="18" t="n"/>
      <c r="D1388" s="25">
        <f>IFERROR(IF(C1388="","",INDEX(직원명부!$B$5:$B$24,MATCH(C1388,직원명부!$A$5:$A$24,0))),"사번 확인")</f>
        <v/>
      </c>
      <c r="E1388" s="34" t="n"/>
      <c r="F1388" s="34" t="n"/>
      <c r="G1388" s="28" t="n"/>
      <c r="H1388" s="33">
        <f>IF(OR(E1388="",F1388=""),"",ROUND(MOD(F1388-E1388,1)*24-N(G1388),2))</f>
        <v/>
      </c>
      <c r="I1388" s="33">
        <f>IF(H1388="","",ROUND(MAX(0,H1388-8),2))</f>
        <v/>
      </c>
      <c r="J1388" s="33">
        <f>IF(OR(E1388="",F1388=""),"",ROUND(IF(MOD(F1388,1)&gt;=TIME(22,0,0),(MOD(F1388,1)-TIME(22,0,0))*24,IF(MOD(F1388,1)&lt;TIME(6,0,0),(MOD(F1388,1)+1-TIME(22,0,0))*24,0)),2))</f>
        <v/>
      </c>
      <c r="K1388" s="33">
        <f>IF(H1388="","",ROUND(IF(L1388="휴일근로",MIN(H1388,8)*1.5+MAX(0,H1388-8)*2,I1388*1.5)+N(J1388)*0.5,2))</f>
        <v/>
      </c>
      <c r="L1388" s="18" t="n"/>
      <c r="M1388" s="18" t="n"/>
      <c r="N1388" s="22" t="n"/>
    </row>
    <row r="1389">
      <c r="A1389" s="19" t="n"/>
      <c r="B1389" s="25">
        <f>IF(A1389="","",CHOOSE(WEEKDAY(A1389,2),"월","화","수","목","금","토","일"))</f>
        <v/>
      </c>
      <c r="C1389" s="18" t="n"/>
      <c r="D1389" s="25">
        <f>IFERROR(IF(C1389="","",INDEX(직원명부!$B$5:$B$24,MATCH(C1389,직원명부!$A$5:$A$24,0))),"사번 확인")</f>
        <v/>
      </c>
      <c r="E1389" s="34" t="n"/>
      <c r="F1389" s="34" t="n"/>
      <c r="G1389" s="28" t="n"/>
      <c r="H1389" s="33">
        <f>IF(OR(E1389="",F1389=""),"",ROUND(MOD(F1389-E1389,1)*24-N(G1389),2))</f>
        <v/>
      </c>
      <c r="I1389" s="33">
        <f>IF(H1389="","",ROUND(MAX(0,H1389-8),2))</f>
        <v/>
      </c>
      <c r="J1389" s="33">
        <f>IF(OR(E1389="",F1389=""),"",ROUND(IF(MOD(F1389,1)&gt;=TIME(22,0,0),(MOD(F1389,1)-TIME(22,0,0))*24,IF(MOD(F1389,1)&lt;TIME(6,0,0),(MOD(F1389,1)+1-TIME(22,0,0))*24,0)),2))</f>
        <v/>
      </c>
      <c r="K1389" s="33">
        <f>IF(H1389="","",ROUND(IF(L1389="휴일근로",MIN(H1389,8)*1.5+MAX(0,H1389-8)*2,I1389*1.5)+N(J1389)*0.5,2))</f>
        <v/>
      </c>
      <c r="L1389" s="18" t="n"/>
      <c r="M1389" s="18" t="n"/>
      <c r="N1389" s="22" t="n"/>
    </row>
    <row r="1390">
      <c r="A1390" s="19" t="n"/>
      <c r="B1390" s="25">
        <f>IF(A1390="","",CHOOSE(WEEKDAY(A1390,2),"월","화","수","목","금","토","일"))</f>
        <v/>
      </c>
      <c r="C1390" s="18" t="n"/>
      <c r="D1390" s="25">
        <f>IFERROR(IF(C1390="","",INDEX(직원명부!$B$5:$B$24,MATCH(C1390,직원명부!$A$5:$A$24,0))),"사번 확인")</f>
        <v/>
      </c>
      <c r="E1390" s="34" t="n"/>
      <c r="F1390" s="34" t="n"/>
      <c r="G1390" s="28" t="n"/>
      <c r="H1390" s="33">
        <f>IF(OR(E1390="",F1390=""),"",ROUND(MOD(F1390-E1390,1)*24-N(G1390),2))</f>
        <v/>
      </c>
      <c r="I1390" s="33">
        <f>IF(H1390="","",ROUND(MAX(0,H1390-8),2))</f>
        <v/>
      </c>
      <c r="J1390" s="33">
        <f>IF(OR(E1390="",F1390=""),"",ROUND(IF(MOD(F1390,1)&gt;=TIME(22,0,0),(MOD(F1390,1)-TIME(22,0,0))*24,IF(MOD(F1390,1)&lt;TIME(6,0,0),(MOD(F1390,1)+1-TIME(22,0,0))*24,0)),2))</f>
        <v/>
      </c>
      <c r="K1390" s="33">
        <f>IF(H1390="","",ROUND(IF(L1390="휴일근로",MIN(H1390,8)*1.5+MAX(0,H1390-8)*2,I1390*1.5)+N(J1390)*0.5,2))</f>
        <v/>
      </c>
      <c r="L1390" s="18" t="n"/>
      <c r="M1390" s="18" t="n"/>
      <c r="N1390" s="22" t="n"/>
    </row>
    <row r="1391">
      <c r="A1391" s="19" t="n"/>
      <c r="B1391" s="25">
        <f>IF(A1391="","",CHOOSE(WEEKDAY(A1391,2),"월","화","수","목","금","토","일"))</f>
        <v/>
      </c>
      <c r="C1391" s="18" t="n"/>
      <c r="D1391" s="25">
        <f>IFERROR(IF(C1391="","",INDEX(직원명부!$B$5:$B$24,MATCH(C1391,직원명부!$A$5:$A$24,0))),"사번 확인")</f>
        <v/>
      </c>
      <c r="E1391" s="34" t="n"/>
      <c r="F1391" s="34" t="n"/>
      <c r="G1391" s="28" t="n"/>
      <c r="H1391" s="33">
        <f>IF(OR(E1391="",F1391=""),"",ROUND(MOD(F1391-E1391,1)*24-N(G1391),2))</f>
        <v/>
      </c>
      <c r="I1391" s="33">
        <f>IF(H1391="","",ROUND(MAX(0,H1391-8),2))</f>
        <v/>
      </c>
      <c r="J1391" s="33">
        <f>IF(OR(E1391="",F1391=""),"",ROUND(IF(MOD(F1391,1)&gt;=TIME(22,0,0),(MOD(F1391,1)-TIME(22,0,0))*24,IF(MOD(F1391,1)&lt;TIME(6,0,0),(MOD(F1391,1)+1-TIME(22,0,0))*24,0)),2))</f>
        <v/>
      </c>
      <c r="K1391" s="33">
        <f>IF(H1391="","",ROUND(IF(L1391="휴일근로",MIN(H1391,8)*1.5+MAX(0,H1391-8)*2,I1391*1.5)+N(J1391)*0.5,2))</f>
        <v/>
      </c>
      <c r="L1391" s="18" t="n"/>
      <c r="M1391" s="18" t="n"/>
      <c r="N1391" s="22" t="n"/>
    </row>
    <row r="1392">
      <c r="A1392" s="19" t="n"/>
      <c r="B1392" s="25">
        <f>IF(A1392="","",CHOOSE(WEEKDAY(A1392,2),"월","화","수","목","금","토","일"))</f>
        <v/>
      </c>
      <c r="C1392" s="18" t="n"/>
      <c r="D1392" s="25">
        <f>IFERROR(IF(C1392="","",INDEX(직원명부!$B$5:$B$24,MATCH(C1392,직원명부!$A$5:$A$24,0))),"사번 확인")</f>
        <v/>
      </c>
      <c r="E1392" s="34" t="n"/>
      <c r="F1392" s="34" t="n"/>
      <c r="G1392" s="28" t="n"/>
      <c r="H1392" s="33">
        <f>IF(OR(E1392="",F1392=""),"",ROUND(MOD(F1392-E1392,1)*24-N(G1392),2))</f>
        <v/>
      </c>
      <c r="I1392" s="33">
        <f>IF(H1392="","",ROUND(MAX(0,H1392-8),2))</f>
        <v/>
      </c>
      <c r="J1392" s="33">
        <f>IF(OR(E1392="",F1392=""),"",ROUND(IF(MOD(F1392,1)&gt;=TIME(22,0,0),(MOD(F1392,1)-TIME(22,0,0))*24,IF(MOD(F1392,1)&lt;TIME(6,0,0),(MOD(F1392,1)+1-TIME(22,0,0))*24,0)),2))</f>
        <v/>
      </c>
      <c r="K1392" s="33">
        <f>IF(H1392="","",ROUND(IF(L1392="휴일근로",MIN(H1392,8)*1.5+MAX(0,H1392-8)*2,I1392*1.5)+N(J1392)*0.5,2))</f>
        <v/>
      </c>
      <c r="L1392" s="18" t="n"/>
      <c r="M1392" s="18" t="n"/>
      <c r="N1392" s="22" t="n"/>
    </row>
    <row r="1393">
      <c r="A1393" s="19" t="n"/>
      <c r="B1393" s="25">
        <f>IF(A1393="","",CHOOSE(WEEKDAY(A1393,2),"월","화","수","목","금","토","일"))</f>
        <v/>
      </c>
      <c r="C1393" s="18" t="n"/>
      <c r="D1393" s="25">
        <f>IFERROR(IF(C1393="","",INDEX(직원명부!$B$5:$B$24,MATCH(C1393,직원명부!$A$5:$A$24,0))),"사번 확인")</f>
        <v/>
      </c>
      <c r="E1393" s="34" t="n"/>
      <c r="F1393" s="34" t="n"/>
      <c r="G1393" s="28" t="n"/>
      <c r="H1393" s="33">
        <f>IF(OR(E1393="",F1393=""),"",ROUND(MOD(F1393-E1393,1)*24-N(G1393),2))</f>
        <v/>
      </c>
      <c r="I1393" s="33">
        <f>IF(H1393="","",ROUND(MAX(0,H1393-8),2))</f>
        <v/>
      </c>
      <c r="J1393" s="33">
        <f>IF(OR(E1393="",F1393=""),"",ROUND(IF(MOD(F1393,1)&gt;=TIME(22,0,0),(MOD(F1393,1)-TIME(22,0,0))*24,IF(MOD(F1393,1)&lt;TIME(6,0,0),(MOD(F1393,1)+1-TIME(22,0,0))*24,0)),2))</f>
        <v/>
      </c>
      <c r="K1393" s="33">
        <f>IF(H1393="","",ROUND(IF(L1393="휴일근로",MIN(H1393,8)*1.5+MAX(0,H1393-8)*2,I1393*1.5)+N(J1393)*0.5,2))</f>
        <v/>
      </c>
      <c r="L1393" s="18" t="n"/>
      <c r="M1393" s="18" t="n"/>
      <c r="N1393" s="22" t="n"/>
    </row>
    <row r="1394">
      <c r="A1394" s="19" t="n"/>
      <c r="B1394" s="25">
        <f>IF(A1394="","",CHOOSE(WEEKDAY(A1394,2),"월","화","수","목","금","토","일"))</f>
        <v/>
      </c>
      <c r="C1394" s="18" t="n"/>
      <c r="D1394" s="25">
        <f>IFERROR(IF(C1394="","",INDEX(직원명부!$B$5:$B$24,MATCH(C1394,직원명부!$A$5:$A$24,0))),"사번 확인")</f>
        <v/>
      </c>
      <c r="E1394" s="34" t="n"/>
      <c r="F1394" s="34" t="n"/>
      <c r="G1394" s="28" t="n"/>
      <c r="H1394" s="33">
        <f>IF(OR(E1394="",F1394=""),"",ROUND(MOD(F1394-E1394,1)*24-N(G1394),2))</f>
        <v/>
      </c>
      <c r="I1394" s="33">
        <f>IF(H1394="","",ROUND(MAX(0,H1394-8),2))</f>
        <v/>
      </c>
      <c r="J1394" s="33">
        <f>IF(OR(E1394="",F1394=""),"",ROUND(IF(MOD(F1394,1)&gt;=TIME(22,0,0),(MOD(F1394,1)-TIME(22,0,0))*24,IF(MOD(F1394,1)&lt;TIME(6,0,0),(MOD(F1394,1)+1-TIME(22,0,0))*24,0)),2))</f>
        <v/>
      </c>
      <c r="K1394" s="33">
        <f>IF(H1394="","",ROUND(IF(L1394="휴일근로",MIN(H1394,8)*1.5+MAX(0,H1394-8)*2,I1394*1.5)+N(J1394)*0.5,2))</f>
        <v/>
      </c>
      <c r="L1394" s="18" t="n"/>
      <c r="M1394" s="18" t="n"/>
      <c r="N1394" s="22" t="n"/>
    </row>
    <row r="1395">
      <c r="A1395" s="19" t="n"/>
      <c r="B1395" s="25">
        <f>IF(A1395="","",CHOOSE(WEEKDAY(A1395,2),"월","화","수","목","금","토","일"))</f>
        <v/>
      </c>
      <c r="C1395" s="18" t="n"/>
      <c r="D1395" s="25">
        <f>IFERROR(IF(C1395="","",INDEX(직원명부!$B$5:$B$24,MATCH(C1395,직원명부!$A$5:$A$24,0))),"사번 확인")</f>
        <v/>
      </c>
      <c r="E1395" s="34" t="n"/>
      <c r="F1395" s="34" t="n"/>
      <c r="G1395" s="28" t="n"/>
      <c r="H1395" s="33">
        <f>IF(OR(E1395="",F1395=""),"",ROUND(MOD(F1395-E1395,1)*24-N(G1395),2))</f>
        <v/>
      </c>
      <c r="I1395" s="33">
        <f>IF(H1395="","",ROUND(MAX(0,H1395-8),2))</f>
        <v/>
      </c>
      <c r="J1395" s="33">
        <f>IF(OR(E1395="",F1395=""),"",ROUND(IF(MOD(F1395,1)&gt;=TIME(22,0,0),(MOD(F1395,1)-TIME(22,0,0))*24,IF(MOD(F1395,1)&lt;TIME(6,0,0),(MOD(F1395,1)+1-TIME(22,0,0))*24,0)),2))</f>
        <v/>
      </c>
      <c r="K1395" s="33">
        <f>IF(H1395="","",ROUND(IF(L1395="휴일근로",MIN(H1395,8)*1.5+MAX(0,H1395-8)*2,I1395*1.5)+N(J1395)*0.5,2))</f>
        <v/>
      </c>
      <c r="L1395" s="18" t="n"/>
      <c r="M1395" s="18" t="n"/>
      <c r="N1395" s="22" t="n"/>
    </row>
    <row r="1396">
      <c r="A1396" s="19" t="n"/>
      <c r="B1396" s="25">
        <f>IF(A1396="","",CHOOSE(WEEKDAY(A1396,2),"월","화","수","목","금","토","일"))</f>
        <v/>
      </c>
      <c r="C1396" s="18" t="n"/>
      <c r="D1396" s="25">
        <f>IFERROR(IF(C1396="","",INDEX(직원명부!$B$5:$B$24,MATCH(C1396,직원명부!$A$5:$A$24,0))),"사번 확인")</f>
        <v/>
      </c>
      <c r="E1396" s="34" t="n"/>
      <c r="F1396" s="34" t="n"/>
      <c r="G1396" s="28" t="n"/>
      <c r="H1396" s="33">
        <f>IF(OR(E1396="",F1396=""),"",ROUND(MOD(F1396-E1396,1)*24-N(G1396),2))</f>
        <v/>
      </c>
      <c r="I1396" s="33">
        <f>IF(H1396="","",ROUND(MAX(0,H1396-8),2))</f>
        <v/>
      </c>
      <c r="J1396" s="33">
        <f>IF(OR(E1396="",F1396=""),"",ROUND(IF(MOD(F1396,1)&gt;=TIME(22,0,0),(MOD(F1396,1)-TIME(22,0,0))*24,IF(MOD(F1396,1)&lt;TIME(6,0,0),(MOD(F1396,1)+1-TIME(22,0,0))*24,0)),2))</f>
        <v/>
      </c>
      <c r="K1396" s="33">
        <f>IF(H1396="","",ROUND(IF(L1396="휴일근로",MIN(H1396,8)*1.5+MAX(0,H1396-8)*2,I1396*1.5)+N(J1396)*0.5,2))</f>
        <v/>
      </c>
      <c r="L1396" s="18" t="n"/>
      <c r="M1396" s="18" t="n"/>
      <c r="N1396" s="22" t="n"/>
    </row>
    <row r="1397">
      <c r="A1397" s="19" t="n"/>
      <c r="B1397" s="25">
        <f>IF(A1397="","",CHOOSE(WEEKDAY(A1397,2),"월","화","수","목","금","토","일"))</f>
        <v/>
      </c>
      <c r="C1397" s="18" t="n"/>
      <c r="D1397" s="25">
        <f>IFERROR(IF(C1397="","",INDEX(직원명부!$B$5:$B$24,MATCH(C1397,직원명부!$A$5:$A$24,0))),"사번 확인")</f>
        <v/>
      </c>
      <c r="E1397" s="34" t="n"/>
      <c r="F1397" s="34" t="n"/>
      <c r="G1397" s="28" t="n"/>
      <c r="H1397" s="33">
        <f>IF(OR(E1397="",F1397=""),"",ROUND(MOD(F1397-E1397,1)*24-N(G1397),2))</f>
        <v/>
      </c>
      <c r="I1397" s="33">
        <f>IF(H1397="","",ROUND(MAX(0,H1397-8),2))</f>
        <v/>
      </c>
      <c r="J1397" s="33">
        <f>IF(OR(E1397="",F1397=""),"",ROUND(IF(MOD(F1397,1)&gt;=TIME(22,0,0),(MOD(F1397,1)-TIME(22,0,0))*24,IF(MOD(F1397,1)&lt;TIME(6,0,0),(MOD(F1397,1)+1-TIME(22,0,0))*24,0)),2))</f>
        <v/>
      </c>
      <c r="K1397" s="33">
        <f>IF(H1397="","",ROUND(IF(L1397="휴일근로",MIN(H1397,8)*1.5+MAX(0,H1397-8)*2,I1397*1.5)+N(J1397)*0.5,2))</f>
        <v/>
      </c>
      <c r="L1397" s="18" t="n"/>
      <c r="M1397" s="18" t="n"/>
      <c r="N1397" s="22" t="n"/>
    </row>
    <row r="1398">
      <c r="A1398" s="19" t="n"/>
      <c r="B1398" s="25">
        <f>IF(A1398="","",CHOOSE(WEEKDAY(A1398,2),"월","화","수","목","금","토","일"))</f>
        <v/>
      </c>
      <c r="C1398" s="18" t="n"/>
      <c r="D1398" s="25">
        <f>IFERROR(IF(C1398="","",INDEX(직원명부!$B$5:$B$24,MATCH(C1398,직원명부!$A$5:$A$24,0))),"사번 확인")</f>
        <v/>
      </c>
      <c r="E1398" s="34" t="n"/>
      <c r="F1398" s="34" t="n"/>
      <c r="G1398" s="28" t="n"/>
      <c r="H1398" s="33">
        <f>IF(OR(E1398="",F1398=""),"",ROUND(MOD(F1398-E1398,1)*24-N(G1398),2))</f>
        <v/>
      </c>
      <c r="I1398" s="33">
        <f>IF(H1398="","",ROUND(MAX(0,H1398-8),2))</f>
        <v/>
      </c>
      <c r="J1398" s="33">
        <f>IF(OR(E1398="",F1398=""),"",ROUND(IF(MOD(F1398,1)&gt;=TIME(22,0,0),(MOD(F1398,1)-TIME(22,0,0))*24,IF(MOD(F1398,1)&lt;TIME(6,0,0),(MOD(F1398,1)+1-TIME(22,0,0))*24,0)),2))</f>
        <v/>
      </c>
      <c r="K1398" s="33">
        <f>IF(H1398="","",ROUND(IF(L1398="휴일근로",MIN(H1398,8)*1.5+MAX(0,H1398-8)*2,I1398*1.5)+N(J1398)*0.5,2))</f>
        <v/>
      </c>
      <c r="L1398" s="18" t="n"/>
      <c r="M1398" s="18" t="n"/>
      <c r="N1398" s="22" t="n"/>
    </row>
    <row r="1399">
      <c r="A1399" s="19" t="n"/>
      <c r="B1399" s="25">
        <f>IF(A1399="","",CHOOSE(WEEKDAY(A1399,2),"월","화","수","목","금","토","일"))</f>
        <v/>
      </c>
      <c r="C1399" s="18" t="n"/>
      <c r="D1399" s="25">
        <f>IFERROR(IF(C1399="","",INDEX(직원명부!$B$5:$B$24,MATCH(C1399,직원명부!$A$5:$A$24,0))),"사번 확인")</f>
        <v/>
      </c>
      <c r="E1399" s="34" t="n"/>
      <c r="F1399" s="34" t="n"/>
      <c r="G1399" s="28" t="n"/>
      <c r="H1399" s="33">
        <f>IF(OR(E1399="",F1399=""),"",ROUND(MOD(F1399-E1399,1)*24-N(G1399),2))</f>
        <v/>
      </c>
      <c r="I1399" s="33">
        <f>IF(H1399="","",ROUND(MAX(0,H1399-8),2))</f>
        <v/>
      </c>
      <c r="J1399" s="33">
        <f>IF(OR(E1399="",F1399=""),"",ROUND(IF(MOD(F1399,1)&gt;=TIME(22,0,0),(MOD(F1399,1)-TIME(22,0,0))*24,IF(MOD(F1399,1)&lt;TIME(6,0,0),(MOD(F1399,1)+1-TIME(22,0,0))*24,0)),2))</f>
        <v/>
      </c>
      <c r="K1399" s="33">
        <f>IF(H1399="","",ROUND(IF(L1399="휴일근로",MIN(H1399,8)*1.5+MAX(0,H1399-8)*2,I1399*1.5)+N(J1399)*0.5,2))</f>
        <v/>
      </c>
      <c r="L1399" s="18" t="n"/>
      <c r="M1399" s="18" t="n"/>
      <c r="N1399" s="22" t="n"/>
    </row>
    <row r="1400">
      <c r="A1400" s="19" t="n"/>
      <c r="B1400" s="25">
        <f>IF(A1400="","",CHOOSE(WEEKDAY(A1400,2),"월","화","수","목","금","토","일"))</f>
        <v/>
      </c>
      <c r="C1400" s="18" t="n"/>
      <c r="D1400" s="25">
        <f>IFERROR(IF(C1400="","",INDEX(직원명부!$B$5:$B$24,MATCH(C1400,직원명부!$A$5:$A$24,0))),"사번 확인")</f>
        <v/>
      </c>
      <c r="E1400" s="34" t="n"/>
      <c r="F1400" s="34" t="n"/>
      <c r="G1400" s="28" t="n"/>
      <c r="H1400" s="33">
        <f>IF(OR(E1400="",F1400=""),"",ROUND(MOD(F1400-E1400,1)*24-N(G1400),2))</f>
        <v/>
      </c>
      <c r="I1400" s="33">
        <f>IF(H1400="","",ROUND(MAX(0,H1400-8),2))</f>
        <v/>
      </c>
      <c r="J1400" s="33">
        <f>IF(OR(E1400="",F1400=""),"",ROUND(IF(MOD(F1400,1)&gt;=TIME(22,0,0),(MOD(F1400,1)-TIME(22,0,0))*24,IF(MOD(F1400,1)&lt;TIME(6,0,0),(MOD(F1400,1)+1-TIME(22,0,0))*24,0)),2))</f>
        <v/>
      </c>
      <c r="K1400" s="33">
        <f>IF(H1400="","",ROUND(IF(L1400="휴일근로",MIN(H1400,8)*1.5+MAX(0,H1400-8)*2,I1400*1.5)+N(J1400)*0.5,2))</f>
        <v/>
      </c>
      <c r="L1400" s="18" t="n"/>
      <c r="M1400" s="18" t="n"/>
      <c r="N1400" s="22" t="n"/>
    </row>
    <row r="1401">
      <c r="A1401" s="19" t="n"/>
      <c r="B1401" s="25">
        <f>IF(A1401="","",CHOOSE(WEEKDAY(A1401,2),"월","화","수","목","금","토","일"))</f>
        <v/>
      </c>
      <c r="C1401" s="18" t="n"/>
      <c r="D1401" s="25">
        <f>IFERROR(IF(C1401="","",INDEX(직원명부!$B$5:$B$24,MATCH(C1401,직원명부!$A$5:$A$24,0))),"사번 확인")</f>
        <v/>
      </c>
      <c r="E1401" s="34" t="n"/>
      <c r="F1401" s="34" t="n"/>
      <c r="G1401" s="28" t="n"/>
      <c r="H1401" s="33">
        <f>IF(OR(E1401="",F1401=""),"",ROUND(MOD(F1401-E1401,1)*24-N(G1401),2))</f>
        <v/>
      </c>
      <c r="I1401" s="33">
        <f>IF(H1401="","",ROUND(MAX(0,H1401-8),2))</f>
        <v/>
      </c>
      <c r="J1401" s="33">
        <f>IF(OR(E1401="",F1401=""),"",ROUND(IF(MOD(F1401,1)&gt;=TIME(22,0,0),(MOD(F1401,1)-TIME(22,0,0))*24,IF(MOD(F1401,1)&lt;TIME(6,0,0),(MOD(F1401,1)+1-TIME(22,0,0))*24,0)),2))</f>
        <v/>
      </c>
      <c r="K1401" s="33">
        <f>IF(H1401="","",ROUND(IF(L1401="휴일근로",MIN(H1401,8)*1.5+MAX(0,H1401-8)*2,I1401*1.5)+N(J1401)*0.5,2))</f>
        <v/>
      </c>
      <c r="L1401" s="18" t="n"/>
      <c r="M1401" s="18" t="n"/>
      <c r="N1401" s="22" t="n"/>
    </row>
    <row r="1402">
      <c r="A1402" s="19" t="n"/>
      <c r="B1402" s="25">
        <f>IF(A1402="","",CHOOSE(WEEKDAY(A1402,2),"월","화","수","목","금","토","일"))</f>
        <v/>
      </c>
      <c r="C1402" s="18" t="n"/>
      <c r="D1402" s="25">
        <f>IFERROR(IF(C1402="","",INDEX(직원명부!$B$5:$B$24,MATCH(C1402,직원명부!$A$5:$A$24,0))),"사번 확인")</f>
        <v/>
      </c>
      <c r="E1402" s="34" t="n"/>
      <c r="F1402" s="34" t="n"/>
      <c r="G1402" s="28" t="n"/>
      <c r="H1402" s="33">
        <f>IF(OR(E1402="",F1402=""),"",ROUND(MOD(F1402-E1402,1)*24-N(G1402),2))</f>
        <v/>
      </c>
      <c r="I1402" s="33">
        <f>IF(H1402="","",ROUND(MAX(0,H1402-8),2))</f>
        <v/>
      </c>
      <c r="J1402" s="33">
        <f>IF(OR(E1402="",F1402=""),"",ROUND(IF(MOD(F1402,1)&gt;=TIME(22,0,0),(MOD(F1402,1)-TIME(22,0,0))*24,IF(MOD(F1402,1)&lt;TIME(6,0,0),(MOD(F1402,1)+1-TIME(22,0,0))*24,0)),2))</f>
        <v/>
      </c>
      <c r="K1402" s="33">
        <f>IF(H1402="","",ROUND(IF(L1402="휴일근로",MIN(H1402,8)*1.5+MAX(0,H1402-8)*2,I1402*1.5)+N(J1402)*0.5,2))</f>
        <v/>
      </c>
      <c r="L1402" s="18" t="n"/>
      <c r="M1402" s="18" t="n"/>
      <c r="N1402" s="22" t="n"/>
    </row>
    <row r="1403">
      <c r="A1403" s="19" t="n"/>
      <c r="B1403" s="25">
        <f>IF(A1403="","",CHOOSE(WEEKDAY(A1403,2),"월","화","수","목","금","토","일"))</f>
        <v/>
      </c>
      <c r="C1403" s="18" t="n"/>
      <c r="D1403" s="25">
        <f>IFERROR(IF(C1403="","",INDEX(직원명부!$B$5:$B$24,MATCH(C1403,직원명부!$A$5:$A$24,0))),"사번 확인")</f>
        <v/>
      </c>
      <c r="E1403" s="34" t="n"/>
      <c r="F1403" s="34" t="n"/>
      <c r="G1403" s="28" t="n"/>
      <c r="H1403" s="33">
        <f>IF(OR(E1403="",F1403=""),"",ROUND(MOD(F1403-E1403,1)*24-N(G1403),2))</f>
        <v/>
      </c>
      <c r="I1403" s="33">
        <f>IF(H1403="","",ROUND(MAX(0,H1403-8),2))</f>
        <v/>
      </c>
      <c r="J1403" s="33">
        <f>IF(OR(E1403="",F1403=""),"",ROUND(IF(MOD(F1403,1)&gt;=TIME(22,0,0),(MOD(F1403,1)-TIME(22,0,0))*24,IF(MOD(F1403,1)&lt;TIME(6,0,0),(MOD(F1403,1)+1-TIME(22,0,0))*24,0)),2))</f>
        <v/>
      </c>
      <c r="K1403" s="33">
        <f>IF(H1403="","",ROUND(IF(L1403="휴일근로",MIN(H1403,8)*1.5+MAX(0,H1403-8)*2,I1403*1.5)+N(J1403)*0.5,2))</f>
        <v/>
      </c>
      <c r="L1403" s="18" t="n"/>
      <c r="M1403" s="18" t="n"/>
      <c r="N1403" s="22" t="n"/>
    </row>
    <row r="1404">
      <c r="A1404" s="19" t="n"/>
      <c r="B1404" s="25">
        <f>IF(A1404="","",CHOOSE(WEEKDAY(A1404,2),"월","화","수","목","금","토","일"))</f>
        <v/>
      </c>
      <c r="C1404" s="18" t="n"/>
      <c r="D1404" s="25">
        <f>IFERROR(IF(C1404="","",INDEX(직원명부!$B$5:$B$24,MATCH(C1404,직원명부!$A$5:$A$24,0))),"사번 확인")</f>
        <v/>
      </c>
      <c r="E1404" s="34" t="n"/>
      <c r="F1404" s="34" t="n"/>
      <c r="G1404" s="28" t="n"/>
      <c r="H1404" s="33">
        <f>IF(OR(E1404="",F1404=""),"",ROUND(MOD(F1404-E1404,1)*24-N(G1404),2))</f>
        <v/>
      </c>
      <c r="I1404" s="33">
        <f>IF(H1404="","",ROUND(MAX(0,H1404-8),2))</f>
        <v/>
      </c>
      <c r="J1404" s="33">
        <f>IF(OR(E1404="",F1404=""),"",ROUND(IF(MOD(F1404,1)&gt;=TIME(22,0,0),(MOD(F1404,1)-TIME(22,0,0))*24,IF(MOD(F1404,1)&lt;TIME(6,0,0),(MOD(F1404,1)+1-TIME(22,0,0))*24,0)),2))</f>
        <v/>
      </c>
      <c r="K1404" s="33">
        <f>IF(H1404="","",ROUND(IF(L1404="휴일근로",MIN(H1404,8)*1.5+MAX(0,H1404-8)*2,I1404*1.5)+N(J1404)*0.5,2))</f>
        <v/>
      </c>
      <c r="L1404" s="18" t="n"/>
      <c r="M1404" s="18" t="n"/>
      <c r="N1404" s="22" t="n"/>
    </row>
    <row r="1405">
      <c r="A1405" s="19" t="n"/>
      <c r="B1405" s="25">
        <f>IF(A1405="","",CHOOSE(WEEKDAY(A1405,2),"월","화","수","목","금","토","일"))</f>
        <v/>
      </c>
      <c r="C1405" s="18" t="n"/>
      <c r="D1405" s="25">
        <f>IFERROR(IF(C1405="","",INDEX(직원명부!$B$5:$B$24,MATCH(C1405,직원명부!$A$5:$A$24,0))),"사번 확인")</f>
        <v/>
      </c>
      <c r="E1405" s="34" t="n"/>
      <c r="F1405" s="34" t="n"/>
      <c r="G1405" s="28" t="n"/>
      <c r="H1405" s="33">
        <f>IF(OR(E1405="",F1405=""),"",ROUND(MOD(F1405-E1405,1)*24-N(G1405),2))</f>
        <v/>
      </c>
      <c r="I1405" s="33">
        <f>IF(H1405="","",ROUND(MAX(0,H1405-8),2))</f>
        <v/>
      </c>
      <c r="J1405" s="33">
        <f>IF(OR(E1405="",F1405=""),"",ROUND(IF(MOD(F1405,1)&gt;=TIME(22,0,0),(MOD(F1405,1)-TIME(22,0,0))*24,IF(MOD(F1405,1)&lt;TIME(6,0,0),(MOD(F1405,1)+1-TIME(22,0,0))*24,0)),2))</f>
        <v/>
      </c>
      <c r="K1405" s="33">
        <f>IF(H1405="","",ROUND(IF(L1405="휴일근로",MIN(H1405,8)*1.5+MAX(0,H1405-8)*2,I1405*1.5)+N(J1405)*0.5,2))</f>
        <v/>
      </c>
      <c r="L1405" s="18" t="n"/>
      <c r="M1405" s="18" t="n"/>
      <c r="N1405" s="22" t="n"/>
    </row>
    <row r="1406">
      <c r="A1406" s="19" t="n"/>
      <c r="B1406" s="25">
        <f>IF(A1406="","",CHOOSE(WEEKDAY(A1406,2),"월","화","수","목","금","토","일"))</f>
        <v/>
      </c>
      <c r="C1406" s="18" t="n"/>
      <c r="D1406" s="25">
        <f>IFERROR(IF(C1406="","",INDEX(직원명부!$B$5:$B$24,MATCH(C1406,직원명부!$A$5:$A$24,0))),"사번 확인")</f>
        <v/>
      </c>
      <c r="E1406" s="34" t="n"/>
      <c r="F1406" s="34" t="n"/>
      <c r="G1406" s="28" t="n"/>
      <c r="H1406" s="33">
        <f>IF(OR(E1406="",F1406=""),"",ROUND(MOD(F1406-E1406,1)*24-N(G1406),2))</f>
        <v/>
      </c>
      <c r="I1406" s="33">
        <f>IF(H1406="","",ROUND(MAX(0,H1406-8),2))</f>
        <v/>
      </c>
      <c r="J1406" s="33">
        <f>IF(OR(E1406="",F1406=""),"",ROUND(IF(MOD(F1406,1)&gt;=TIME(22,0,0),(MOD(F1406,1)-TIME(22,0,0))*24,IF(MOD(F1406,1)&lt;TIME(6,0,0),(MOD(F1406,1)+1-TIME(22,0,0))*24,0)),2))</f>
        <v/>
      </c>
      <c r="K1406" s="33">
        <f>IF(H1406="","",ROUND(IF(L1406="휴일근로",MIN(H1406,8)*1.5+MAX(0,H1406-8)*2,I1406*1.5)+N(J1406)*0.5,2))</f>
        <v/>
      </c>
      <c r="L1406" s="18" t="n"/>
      <c r="M1406" s="18" t="n"/>
      <c r="N1406" s="22" t="n"/>
    </row>
    <row r="1407">
      <c r="A1407" s="19" t="n"/>
      <c r="B1407" s="25">
        <f>IF(A1407="","",CHOOSE(WEEKDAY(A1407,2),"월","화","수","목","금","토","일"))</f>
        <v/>
      </c>
      <c r="C1407" s="18" t="n"/>
      <c r="D1407" s="25">
        <f>IFERROR(IF(C1407="","",INDEX(직원명부!$B$5:$B$24,MATCH(C1407,직원명부!$A$5:$A$24,0))),"사번 확인")</f>
        <v/>
      </c>
      <c r="E1407" s="34" t="n"/>
      <c r="F1407" s="34" t="n"/>
      <c r="G1407" s="28" t="n"/>
      <c r="H1407" s="33">
        <f>IF(OR(E1407="",F1407=""),"",ROUND(MOD(F1407-E1407,1)*24-N(G1407),2))</f>
        <v/>
      </c>
      <c r="I1407" s="33">
        <f>IF(H1407="","",ROUND(MAX(0,H1407-8),2))</f>
        <v/>
      </c>
      <c r="J1407" s="33">
        <f>IF(OR(E1407="",F1407=""),"",ROUND(IF(MOD(F1407,1)&gt;=TIME(22,0,0),(MOD(F1407,1)-TIME(22,0,0))*24,IF(MOD(F1407,1)&lt;TIME(6,0,0),(MOD(F1407,1)+1-TIME(22,0,0))*24,0)),2))</f>
        <v/>
      </c>
      <c r="K1407" s="33">
        <f>IF(H1407="","",ROUND(IF(L1407="휴일근로",MIN(H1407,8)*1.5+MAX(0,H1407-8)*2,I1407*1.5)+N(J1407)*0.5,2))</f>
        <v/>
      </c>
      <c r="L1407" s="18" t="n"/>
      <c r="M1407" s="18" t="n"/>
      <c r="N1407" s="22" t="n"/>
    </row>
    <row r="1408">
      <c r="A1408" s="19" t="n"/>
      <c r="B1408" s="25">
        <f>IF(A1408="","",CHOOSE(WEEKDAY(A1408,2),"월","화","수","목","금","토","일"))</f>
        <v/>
      </c>
      <c r="C1408" s="18" t="n"/>
      <c r="D1408" s="25">
        <f>IFERROR(IF(C1408="","",INDEX(직원명부!$B$5:$B$24,MATCH(C1408,직원명부!$A$5:$A$24,0))),"사번 확인")</f>
        <v/>
      </c>
      <c r="E1408" s="34" t="n"/>
      <c r="F1408" s="34" t="n"/>
      <c r="G1408" s="28" t="n"/>
      <c r="H1408" s="33">
        <f>IF(OR(E1408="",F1408=""),"",ROUND(MOD(F1408-E1408,1)*24-N(G1408),2))</f>
        <v/>
      </c>
      <c r="I1408" s="33">
        <f>IF(H1408="","",ROUND(MAX(0,H1408-8),2))</f>
        <v/>
      </c>
      <c r="J1408" s="33">
        <f>IF(OR(E1408="",F1408=""),"",ROUND(IF(MOD(F1408,1)&gt;=TIME(22,0,0),(MOD(F1408,1)-TIME(22,0,0))*24,IF(MOD(F1408,1)&lt;TIME(6,0,0),(MOD(F1408,1)+1-TIME(22,0,0))*24,0)),2))</f>
        <v/>
      </c>
      <c r="K1408" s="33">
        <f>IF(H1408="","",ROUND(IF(L1408="휴일근로",MIN(H1408,8)*1.5+MAX(0,H1408-8)*2,I1408*1.5)+N(J1408)*0.5,2))</f>
        <v/>
      </c>
      <c r="L1408" s="18" t="n"/>
      <c r="M1408" s="18" t="n"/>
      <c r="N1408" s="22" t="n"/>
    </row>
    <row r="1409">
      <c r="A1409" s="19" t="n"/>
      <c r="B1409" s="25">
        <f>IF(A1409="","",CHOOSE(WEEKDAY(A1409,2),"월","화","수","목","금","토","일"))</f>
        <v/>
      </c>
      <c r="C1409" s="18" t="n"/>
      <c r="D1409" s="25">
        <f>IFERROR(IF(C1409="","",INDEX(직원명부!$B$5:$B$24,MATCH(C1409,직원명부!$A$5:$A$24,0))),"사번 확인")</f>
        <v/>
      </c>
      <c r="E1409" s="34" t="n"/>
      <c r="F1409" s="34" t="n"/>
      <c r="G1409" s="28" t="n"/>
      <c r="H1409" s="33">
        <f>IF(OR(E1409="",F1409=""),"",ROUND(MOD(F1409-E1409,1)*24-N(G1409),2))</f>
        <v/>
      </c>
      <c r="I1409" s="33">
        <f>IF(H1409="","",ROUND(MAX(0,H1409-8),2))</f>
        <v/>
      </c>
      <c r="J1409" s="33">
        <f>IF(OR(E1409="",F1409=""),"",ROUND(IF(MOD(F1409,1)&gt;=TIME(22,0,0),(MOD(F1409,1)-TIME(22,0,0))*24,IF(MOD(F1409,1)&lt;TIME(6,0,0),(MOD(F1409,1)+1-TIME(22,0,0))*24,0)),2))</f>
        <v/>
      </c>
      <c r="K1409" s="33">
        <f>IF(H1409="","",ROUND(IF(L1409="휴일근로",MIN(H1409,8)*1.5+MAX(0,H1409-8)*2,I1409*1.5)+N(J1409)*0.5,2))</f>
        <v/>
      </c>
      <c r="L1409" s="18" t="n"/>
      <c r="M1409" s="18" t="n"/>
      <c r="N1409" s="22" t="n"/>
    </row>
    <row r="1410">
      <c r="A1410" s="19" t="n"/>
      <c r="B1410" s="25">
        <f>IF(A1410="","",CHOOSE(WEEKDAY(A1410,2),"월","화","수","목","금","토","일"))</f>
        <v/>
      </c>
      <c r="C1410" s="18" t="n"/>
      <c r="D1410" s="25">
        <f>IFERROR(IF(C1410="","",INDEX(직원명부!$B$5:$B$24,MATCH(C1410,직원명부!$A$5:$A$24,0))),"사번 확인")</f>
        <v/>
      </c>
      <c r="E1410" s="34" t="n"/>
      <c r="F1410" s="34" t="n"/>
      <c r="G1410" s="28" t="n"/>
      <c r="H1410" s="33">
        <f>IF(OR(E1410="",F1410=""),"",ROUND(MOD(F1410-E1410,1)*24-N(G1410),2))</f>
        <v/>
      </c>
      <c r="I1410" s="33">
        <f>IF(H1410="","",ROUND(MAX(0,H1410-8),2))</f>
        <v/>
      </c>
      <c r="J1410" s="33">
        <f>IF(OR(E1410="",F1410=""),"",ROUND(IF(MOD(F1410,1)&gt;=TIME(22,0,0),(MOD(F1410,1)-TIME(22,0,0))*24,IF(MOD(F1410,1)&lt;TIME(6,0,0),(MOD(F1410,1)+1-TIME(22,0,0))*24,0)),2))</f>
        <v/>
      </c>
      <c r="K1410" s="33">
        <f>IF(H1410="","",ROUND(IF(L1410="휴일근로",MIN(H1410,8)*1.5+MAX(0,H1410-8)*2,I1410*1.5)+N(J1410)*0.5,2))</f>
        <v/>
      </c>
      <c r="L1410" s="18" t="n"/>
      <c r="M1410" s="18" t="n"/>
      <c r="N1410" s="22" t="n"/>
    </row>
    <row r="1411">
      <c r="A1411" s="19" t="n"/>
      <c r="B1411" s="25">
        <f>IF(A1411="","",CHOOSE(WEEKDAY(A1411,2),"월","화","수","목","금","토","일"))</f>
        <v/>
      </c>
      <c r="C1411" s="18" t="n"/>
      <c r="D1411" s="25">
        <f>IFERROR(IF(C1411="","",INDEX(직원명부!$B$5:$B$24,MATCH(C1411,직원명부!$A$5:$A$24,0))),"사번 확인")</f>
        <v/>
      </c>
      <c r="E1411" s="34" t="n"/>
      <c r="F1411" s="34" t="n"/>
      <c r="G1411" s="28" t="n"/>
      <c r="H1411" s="33">
        <f>IF(OR(E1411="",F1411=""),"",ROUND(MOD(F1411-E1411,1)*24-N(G1411),2))</f>
        <v/>
      </c>
      <c r="I1411" s="33">
        <f>IF(H1411="","",ROUND(MAX(0,H1411-8),2))</f>
        <v/>
      </c>
      <c r="J1411" s="33">
        <f>IF(OR(E1411="",F1411=""),"",ROUND(IF(MOD(F1411,1)&gt;=TIME(22,0,0),(MOD(F1411,1)-TIME(22,0,0))*24,IF(MOD(F1411,1)&lt;TIME(6,0,0),(MOD(F1411,1)+1-TIME(22,0,0))*24,0)),2))</f>
        <v/>
      </c>
      <c r="K1411" s="33">
        <f>IF(H1411="","",ROUND(IF(L1411="휴일근로",MIN(H1411,8)*1.5+MAX(0,H1411-8)*2,I1411*1.5)+N(J1411)*0.5,2))</f>
        <v/>
      </c>
      <c r="L1411" s="18" t="n"/>
      <c r="M1411" s="18" t="n"/>
      <c r="N1411" s="22" t="n"/>
    </row>
    <row r="1412">
      <c r="A1412" s="19" t="n"/>
      <c r="B1412" s="25">
        <f>IF(A1412="","",CHOOSE(WEEKDAY(A1412,2),"월","화","수","목","금","토","일"))</f>
        <v/>
      </c>
      <c r="C1412" s="18" t="n"/>
      <c r="D1412" s="25">
        <f>IFERROR(IF(C1412="","",INDEX(직원명부!$B$5:$B$24,MATCH(C1412,직원명부!$A$5:$A$24,0))),"사번 확인")</f>
        <v/>
      </c>
      <c r="E1412" s="34" t="n"/>
      <c r="F1412" s="34" t="n"/>
      <c r="G1412" s="28" t="n"/>
      <c r="H1412" s="33">
        <f>IF(OR(E1412="",F1412=""),"",ROUND(MOD(F1412-E1412,1)*24-N(G1412),2))</f>
        <v/>
      </c>
      <c r="I1412" s="33">
        <f>IF(H1412="","",ROUND(MAX(0,H1412-8),2))</f>
        <v/>
      </c>
      <c r="J1412" s="33">
        <f>IF(OR(E1412="",F1412=""),"",ROUND(IF(MOD(F1412,1)&gt;=TIME(22,0,0),(MOD(F1412,1)-TIME(22,0,0))*24,IF(MOD(F1412,1)&lt;TIME(6,0,0),(MOD(F1412,1)+1-TIME(22,0,0))*24,0)),2))</f>
        <v/>
      </c>
      <c r="K1412" s="33">
        <f>IF(H1412="","",ROUND(IF(L1412="휴일근로",MIN(H1412,8)*1.5+MAX(0,H1412-8)*2,I1412*1.5)+N(J1412)*0.5,2))</f>
        <v/>
      </c>
      <c r="L1412" s="18" t="n"/>
      <c r="M1412" s="18" t="n"/>
      <c r="N1412" s="22" t="n"/>
    </row>
    <row r="1413">
      <c r="A1413" s="19" t="n"/>
      <c r="B1413" s="25">
        <f>IF(A1413="","",CHOOSE(WEEKDAY(A1413,2),"월","화","수","목","금","토","일"))</f>
        <v/>
      </c>
      <c r="C1413" s="18" t="n"/>
      <c r="D1413" s="25">
        <f>IFERROR(IF(C1413="","",INDEX(직원명부!$B$5:$B$24,MATCH(C1413,직원명부!$A$5:$A$24,0))),"사번 확인")</f>
        <v/>
      </c>
      <c r="E1413" s="34" t="n"/>
      <c r="F1413" s="34" t="n"/>
      <c r="G1413" s="28" t="n"/>
      <c r="H1413" s="33">
        <f>IF(OR(E1413="",F1413=""),"",ROUND(MOD(F1413-E1413,1)*24-N(G1413),2))</f>
        <v/>
      </c>
      <c r="I1413" s="33">
        <f>IF(H1413="","",ROUND(MAX(0,H1413-8),2))</f>
        <v/>
      </c>
      <c r="J1413" s="33">
        <f>IF(OR(E1413="",F1413=""),"",ROUND(IF(MOD(F1413,1)&gt;=TIME(22,0,0),(MOD(F1413,1)-TIME(22,0,0))*24,IF(MOD(F1413,1)&lt;TIME(6,0,0),(MOD(F1413,1)+1-TIME(22,0,0))*24,0)),2))</f>
        <v/>
      </c>
      <c r="K1413" s="33">
        <f>IF(H1413="","",ROUND(IF(L1413="휴일근로",MIN(H1413,8)*1.5+MAX(0,H1413-8)*2,I1413*1.5)+N(J1413)*0.5,2))</f>
        <v/>
      </c>
      <c r="L1413" s="18" t="n"/>
      <c r="M1413" s="18" t="n"/>
      <c r="N1413" s="22" t="n"/>
    </row>
    <row r="1414">
      <c r="A1414" s="19" t="n"/>
      <c r="B1414" s="25">
        <f>IF(A1414="","",CHOOSE(WEEKDAY(A1414,2),"월","화","수","목","금","토","일"))</f>
        <v/>
      </c>
      <c r="C1414" s="18" t="n"/>
      <c r="D1414" s="25">
        <f>IFERROR(IF(C1414="","",INDEX(직원명부!$B$5:$B$24,MATCH(C1414,직원명부!$A$5:$A$24,0))),"사번 확인")</f>
        <v/>
      </c>
      <c r="E1414" s="34" t="n"/>
      <c r="F1414" s="34" t="n"/>
      <c r="G1414" s="28" t="n"/>
      <c r="H1414" s="33">
        <f>IF(OR(E1414="",F1414=""),"",ROUND(MOD(F1414-E1414,1)*24-N(G1414),2))</f>
        <v/>
      </c>
      <c r="I1414" s="33">
        <f>IF(H1414="","",ROUND(MAX(0,H1414-8),2))</f>
        <v/>
      </c>
      <c r="J1414" s="33">
        <f>IF(OR(E1414="",F1414=""),"",ROUND(IF(MOD(F1414,1)&gt;=TIME(22,0,0),(MOD(F1414,1)-TIME(22,0,0))*24,IF(MOD(F1414,1)&lt;TIME(6,0,0),(MOD(F1414,1)+1-TIME(22,0,0))*24,0)),2))</f>
        <v/>
      </c>
      <c r="K1414" s="33">
        <f>IF(H1414="","",ROUND(IF(L1414="휴일근로",MIN(H1414,8)*1.5+MAX(0,H1414-8)*2,I1414*1.5)+N(J1414)*0.5,2))</f>
        <v/>
      </c>
      <c r="L1414" s="18" t="n"/>
      <c r="M1414" s="18" t="n"/>
      <c r="N1414" s="22" t="n"/>
    </row>
    <row r="1415">
      <c r="A1415" s="19" t="n"/>
      <c r="B1415" s="25">
        <f>IF(A1415="","",CHOOSE(WEEKDAY(A1415,2),"월","화","수","목","금","토","일"))</f>
        <v/>
      </c>
      <c r="C1415" s="18" t="n"/>
      <c r="D1415" s="25">
        <f>IFERROR(IF(C1415="","",INDEX(직원명부!$B$5:$B$24,MATCH(C1415,직원명부!$A$5:$A$24,0))),"사번 확인")</f>
        <v/>
      </c>
      <c r="E1415" s="34" t="n"/>
      <c r="F1415" s="34" t="n"/>
      <c r="G1415" s="28" t="n"/>
      <c r="H1415" s="33">
        <f>IF(OR(E1415="",F1415=""),"",ROUND(MOD(F1415-E1415,1)*24-N(G1415),2))</f>
        <v/>
      </c>
      <c r="I1415" s="33">
        <f>IF(H1415="","",ROUND(MAX(0,H1415-8),2))</f>
        <v/>
      </c>
      <c r="J1415" s="33">
        <f>IF(OR(E1415="",F1415=""),"",ROUND(IF(MOD(F1415,1)&gt;=TIME(22,0,0),(MOD(F1415,1)-TIME(22,0,0))*24,IF(MOD(F1415,1)&lt;TIME(6,0,0),(MOD(F1415,1)+1-TIME(22,0,0))*24,0)),2))</f>
        <v/>
      </c>
      <c r="K1415" s="33">
        <f>IF(H1415="","",ROUND(IF(L1415="휴일근로",MIN(H1415,8)*1.5+MAX(0,H1415-8)*2,I1415*1.5)+N(J1415)*0.5,2))</f>
        <v/>
      </c>
      <c r="L1415" s="18" t="n"/>
      <c r="M1415" s="18" t="n"/>
      <c r="N1415" s="22" t="n"/>
    </row>
    <row r="1416">
      <c r="A1416" s="19" t="n"/>
      <c r="B1416" s="25">
        <f>IF(A1416="","",CHOOSE(WEEKDAY(A1416,2),"월","화","수","목","금","토","일"))</f>
        <v/>
      </c>
      <c r="C1416" s="18" t="n"/>
      <c r="D1416" s="25">
        <f>IFERROR(IF(C1416="","",INDEX(직원명부!$B$5:$B$24,MATCH(C1416,직원명부!$A$5:$A$24,0))),"사번 확인")</f>
        <v/>
      </c>
      <c r="E1416" s="34" t="n"/>
      <c r="F1416" s="34" t="n"/>
      <c r="G1416" s="28" t="n"/>
      <c r="H1416" s="33">
        <f>IF(OR(E1416="",F1416=""),"",ROUND(MOD(F1416-E1416,1)*24-N(G1416),2))</f>
        <v/>
      </c>
      <c r="I1416" s="33">
        <f>IF(H1416="","",ROUND(MAX(0,H1416-8),2))</f>
        <v/>
      </c>
      <c r="J1416" s="33">
        <f>IF(OR(E1416="",F1416=""),"",ROUND(IF(MOD(F1416,1)&gt;=TIME(22,0,0),(MOD(F1416,1)-TIME(22,0,0))*24,IF(MOD(F1416,1)&lt;TIME(6,0,0),(MOD(F1416,1)+1-TIME(22,0,0))*24,0)),2))</f>
        <v/>
      </c>
      <c r="K1416" s="33">
        <f>IF(H1416="","",ROUND(IF(L1416="휴일근로",MIN(H1416,8)*1.5+MAX(0,H1416-8)*2,I1416*1.5)+N(J1416)*0.5,2))</f>
        <v/>
      </c>
      <c r="L1416" s="18" t="n"/>
      <c r="M1416" s="18" t="n"/>
      <c r="N1416" s="22" t="n"/>
    </row>
    <row r="1417">
      <c r="A1417" s="19" t="n"/>
      <c r="B1417" s="25">
        <f>IF(A1417="","",CHOOSE(WEEKDAY(A1417,2),"월","화","수","목","금","토","일"))</f>
        <v/>
      </c>
      <c r="C1417" s="18" t="n"/>
      <c r="D1417" s="25">
        <f>IFERROR(IF(C1417="","",INDEX(직원명부!$B$5:$B$24,MATCH(C1417,직원명부!$A$5:$A$24,0))),"사번 확인")</f>
        <v/>
      </c>
      <c r="E1417" s="34" t="n"/>
      <c r="F1417" s="34" t="n"/>
      <c r="G1417" s="28" t="n"/>
      <c r="H1417" s="33">
        <f>IF(OR(E1417="",F1417=""),"",ROUND(MOD(F1417-E1417,1)*24-N(G1417),2))</f>
        <v/>
      </c>
      <c r="I1417" s="33">
        <f>IF(H1417="","",ROUND(MAX(0,H1417-8),2))</f>
        <v/>
      </c>
      <c r="J1417" s="33">
        <f>IF(OR(E1417="",F1417=""),"",ROUND(IF(MOD(F1417,1)&gt;=TIME(22,0,0),(MOD(F1417,1)-TIME(22,0,0))*24,IF(MOD(F1417,1)&lt;TIME(6,0,0),(MOD(F1417,1)+1-TIME(22,0,0))*24,0)),2))</f>
        <v/>
      </c>
      <c r="K1417" s="33">
        <f>IF(H1417="","",ROUND(IF(L1417="휴일근로",MIN(H1417,8)*1.5+MAX(0,H1417-8)*2,I1417*1.5)+N(J1417)*0.5,2))</f>
        <v/>
      </c>
      <c r="L1417" s="18" t="n"/>
      <c r="M1417" s="18" t="n"/>
      <c r="N1417" s="22" t="n"/>
    </row>
    <row r="1418">
      <c r="A1418" s="19" t="n"/>
      <c r="B1418" s="25">
        <f>IF(A1418="","",CHOOSE(WEEKDAY(A1418,2),"월","화","수","목","금","토","일"))</f>
        <v/>
      </c>
      <c r="C1418" s="18" t="n"/>
      <c r="D1418" s="25">
        <f>IFERROR(IF(C1418="","",INDEX(직원명부!$B$5:$B$24,MATCH(C1418,직원명부!$A$5:$A$24,0))),"사번 확인")</f>
        <v/>
      </c>
      <c r="E1418" s="34" t="n"/>
      <c r="F1418" s="34" t="n"/>
      <c r="G1418" s="28" t="n"/>
      <c r="H1418" s="33">
        <f>IF(OR(E1418="",F1418=""),"",ROUND(MOD(F1418-E1418,1)*24-N(G1418),2))</f>
        <v/>
      </c>
      <c r="I1418" s="33">
        <f>IF(H1418="","",ROUND(MAX(0,H1418-8),2))</f>
        <v/>
      </c>
      <c r="J1418" s="33">
        <f>IF(OR(E1418="",F1418=""),"",ROUND(IF(MOD(F1418,1)&gt;=TIME(22,0,0),(MOD(F1418,1)-TIME(22,0,0))*24,IF(MOD(F1418,1)&lt;TIME(6,0,0),(MOD(F1418,1)+1-TIME(22,0,0))*24,0)),2))</f>
        <v/>
      </c>
      <c r="K1418" s="33">
        <f>IF(H1418="","",ROUND(IF(L1418="휴일근로",MIN(H1418,8)*1.5+MAX(0,H1418-8)*2,I1418*1.5)+N(J1418)*0.5,2))</f>
        <v/>
      </c>
      <c r="L1418" s="18" t="n"/>
      <c r="M1418" s="18" t="n"/>
      <c r="N1418" s="22" t="n"/>
    </row>
    <row r="1419">
      <c r="A1419" s="19" t="n"/>
      <c r="B1419" s="25">
        <f>IF(A1419="","",CHOOSE(WEEKDAY(A1419,2),"월","화","수","목","금","토","일"))</f>
        <v/>
      </c>
      <c r="C1419" s="18" t="n"/>
      <c r="D1419" s="25">
        <f>IFERROR(IF(C1419="","",INDEX(직원명부!$B$5:$B$24,MATCH(C1419,직원명부!$A$5:$A$24,0))),"사번 확인")</f>
        <v/>
      </c>
      <c r="E1419" s="34" t="n"/>
      <c r="F1419" s="34" t="n"/>
      <c r="G1419" s="28" t="n"/>
      <c r="H1419" s="33">
        <f>IF(OR(E1419="",F1419=""),"",ROUND(MOD(F1419-E1419,1)*24-N(G1419),2))</f>
        <v/>
      </c>
      <c r="I1419" s="33">
        <f>IF(H1419="","",ROUND(MAX(0,H1419-8),2))</f>
        <v/>
      </c>
      <c r="J1419" s="33">
        <f>IF(OR(E1419="",F1419=""),"",ROUND(IF(MOD(F1419,1)&gt;=TIME(22,0,0),(MOD(F1419,1)-TIME(22,0,0))*24,IF(MOD(F1419,1)&lt;TIME(6,0,0),(MOD(F1419,1)+1-TIME(22,0,0))*24,0)),2))</f>
        <v/>
      </c>
      <c r="K1419" s="33">
        <f>IF(H1419="","",ROUND(IF(L1419="휴일근로",MIN(H1419,8)*1.5+MAX(0,H1419-8)*2,I1419*1.5)+N(J1419)*0.5,2))</f>
        <v/>
      </c>
      <c r="L1419" s="18" t="n"/>
      <c r="M1419" s="18" t="n"/>
      <c r="N1419" s="22" t="n"/>
    </row>
    <row r="1420">
      <c r="A1420" s="19" t="n"/>
      <c r="B1420" s="25">
        <f>IF(A1420="","",CHOOSE(WEEKDAY(A1420,2),"월","화","수","목","금","토","일"))</f>
        <v/>
      </c>
      <c r="C1420" s="18" t="n"/>
      <c r="D1420" s="25">
        <f>IFERROR(IF(C1420="","",INDEX(직원명부!$B$5:$B$24,MATCH(C1420,직원명부!$A$5:$A$24,0))),"사번 확인")</f>
        <v/>
      </c>
      <c r="E1420" s="34" t="n"/>
      <c r="F1420" s="34" t="n"/>
      <c r="G1420" s="28" t="n"/>
      <c r="H1420" s="33">
        <f>IF(OR(E1420="",F1420=""),"",ROUND(MOD(F1420-E1420,1)*24-N(G1420),2))</f>
        <v/>
      </c>
      <c r="I1420" s="33">
        <f>IF(H1420="","",ROUND(MAX(0,H1420-8),2))</f>
        <v/>
      </c>
      <c r="J1420" s="33">
        <f>IF(OR(E1420="",F1420=""),"",ROUND(IF(MOD(F1420,1)&gt;=TIME(22,0,0),(MOD(F1420,1)-TIME(22,0,0))*24,IF(MOD(F1420,1)&lt;TIME(6,0,0),(MOD(F1420,1)+1-TIME(22,0,0))*24,0)),2))</f>
        <v/>
      </c>
      <c r="K1420" s="33">
        <f>IF(H1420="","",ROUND(IF(L1420="휴일근로",MIN(H1420,8)*1.5+MAX(0,H1420-8)*2,I1420*1.5)+N(J1420)*0.5,2))</f>
        <v/>
      </c>
      <c r="L1420" s="18" t="n"/>
      <c r="M1420" s="18" t="n"/>
      <c r="N1420" s="22" t="n"/>
    </row>
    <row r="1421">
      <c r="A1421" s="19" t="n"/>
      <c r="B1421" s="25">
        <f>IF(A1421="","",CHOOSE(WEEKDAY(A1421,2),"월","화","수","목","금","토","일"))</f>
        <v/>
      </c>
      <c r="C1421" s="18" t="n"/>
      <c r="D1421" s="25">
        <f>IFERROR(IF(C1421="","",INDEX(직원명부!$B$5:$B$24,MATCH(C1421,직원명부!$A$5:$A$24,0))),"사번 확인")</f>
        <v/>
      </c>
      <c r="E1421" s="34" t="n"/>
      <c r="F1421" s="34" t="n"/>
      <c r="G1421" s="28" t="n"/>
      <c r="H1421" s="33">
        <f>IF(OR(E1421="",F1421=""),"",ROUND(MOD(F1421-E1421,1)*24-N(G1421),2))</f>
        <v/>
      </c>
      <c r="I1421" s="33">
        <f>IF(H1421="","",ROUND(MAX(0,H1421-8),2))</f>
        <v/>
      </c>
      <c r="J1421" s="33">
        <f>IF(OR(E1421="",F1421=""),"",ROUND(IF(MOD(F1421,1)&gt;=TIME(22,0,0),(MOD(F1421,1)-TIME(22,0,0))*24,IF(MOD(F1421,1)&lt;TIME(6,0,0),(MOD(F1421,1)+1-TIME(22,0,0))*24,0)),2))</f>
        <v/>
      </c>
      <c r="K1421" s="33">
        <f>IF(H1421="","",ROUND(IF(L1421="휴일근로",MIN(H1421,8)*1.5+MAX(0,H1421-8)*2,I1421*1.5)+N(J1421)*0.5,2))</f>
        <v/>
      </c>
      <c r="L1421" s="18" t="n"/>
      <c r="M1421" s="18" t="n"/>
      <c r="N1421" s="22" t="n"/>
    </row>
    <row r="1422">
      <c r="A1422" s="19" t="n"/>
      <c r="B1422" s="25">
        <f>IF(A1422="","",CHOOSE(WEEKDAY(A1422,2),"월","화","수","목","금","토","일"))</f>
        <v/>
      </c>
      <c r="C1422" s="18" t="n"/>
      <c r="D1422" s="25">
        <f>IFERROR(IF(C1422="","",INDEX(직원명부!$B$5:$B$24,MATCH(C1422,직원명부!$A$5:$A$24,0))),"사번 확인")</f>
        <v/>
      </c>
      <c r="E1422" s="34" t="n"/>
      <c r="F1422" s="34" t="n"/>
      <c r="G1422" s="28" t="n"/>
      <c r="H1422" s="33">
        <f>IF(OR(E1422="",F1422=""),"",ROUND(MOD(F1422-E1422,1)*24-N(G1422),2))</f>
        <v/>
      </c>
      <c r="I1422" s="33">
        <f>IF(H1422="","",ROUND(MAX(0,H1422-8),2))</f>
        <v/>
      </c>
      <c r="J1422" s="33">
        <f>IF(OR(E1422="",F1422=""),"",ROUND(IF(MOD(F1422,1)&gt;=TIME(22,0,0),(MOD(F1422,1)-TIME(22,0,0))*24,IF(MOD(F1422,1)&lt;TIME(6,0,0),(MOD(F1422,1)+1-TIME(22,0,0))*24,0)),2))</f>
        <v/>
      </c>
      <c r="K1422" s="33">
        <f>IF(H1422="","",ROUND(IF(L1422="휴일근로",MIN(H1422,8)*1.5+MAX(0,H1422-8)*2,I1422*1.5)+N(J1422)*0.5,2))</f>
        <v/>
      </c>
      <c r="L1422" s="18" t="n"/>
      <c r="M1422" s="18" t="n"/>
      <c r="N1422" s="22" t="n"/>
    </row>
    <row r="1423">
      <c r="A1423" s="19" t="n"/>
      <c r="B1423" s="25">
        <f>IF(A1423="","",CHOOSE(WEEKDAY(A1423,2),"월","화","수","목","금","토","일"))</f>
        <v/>
      </c>
      <c r="C1423" s="18" t="n"/>
      <c r="D1423" s="25">
        <f>IFERROR(IF(C1423="","",INDEX(직원명부!$B$5:$B$24,MATCH(C1423,직원명부!$A$5:$A$24,0))),"사번 확인")</f>
        <v/>
      </c>
      <c r="E1423" s="34" t="n"/>
      <c r="F1423" s="34" t="n"/>
      <c r="G1423" s="28" t="n"/>
      <c r="H1423" s="33">
        <f>IF(OR(E1423="",F1423=""),"",ROUND(MOD(F1423-E1423,1)*24-N(G1423),2))</f>
        <v/>
      </c>
      <c r="I1423" s="33">
        <f>IF(H1423="","",ROUND(MAX(0,H1423-8),2))</f>
        <v/>
      </c>
      <c r="J1423" s="33">
        <f>IF(OR(E1423="",F1423=""),"",ROUND(IF(MOD(F1423,1)&gt;=TIME(22,0,0),(MOD(F1423,1)-TIME(22,0,0))*24,IF(MOD(F1423,1)&lt;TIME(6,0,0),(MOD(F1423,1)+1-TIME(22,0,0))*24,0)),2))</f>
        <v/>
      </c>
      <c r="K1423" s="33">
        <f>IF(H1423="","",ROUND(IF(L1423="휴일근로",MIN(H1423,8)*1.5+MAX(0,H1423-8)*2,I1423*1.5)+N(J1423)*0.5,2))</f>
        <v/>
      </c>
      <c r="L1423" s="18" t="n"/>
      <c r="M1423" s="18" t="n"/>
      <c r="N1423" s="22" t="n"/>
    </row>
    <row r="1424">
      <c r="A1424" s="19" t="n"/>
      <c r="B1424" s="25">
        <f>IF(A1424="","",CHOOSE(WEEKDAY(A1424,2),"월","화","수","목","금","토","일"))</f>
        <v/>
      </c>
      <c r="C1424" s="18" t="n"/>
      <c r="D1424" s="25">
        <f>IFERROR(IF(C1424="","",INDEX(직원명부!$B$5:$B$24,MATCH(C1424,직원명부!$A$5:$A$24,0))),"사번 확인")</f>
        <v/>
      </c>
      <c r="E1424" s="34" t="n"/>
      <c r="F1424" s="34" t="n"/>
      <c r="G1424" s="28" t="n"/>
      <c r="H1424" s="33">
        <f>IF(OR(E1424="",F1424=""),"",ROUND(MOD(F1424-E1424,1)*24-N(G1424),2))</f>
        <v/>
      </c>
      <c r="I1424" s="33">
        <f>IF(H1424="","",ROUND(MAX(0,H1424-8),2))</f>
        <v/>
      </c>
      <c r="J1424" s="33">
        <f>IF(OR(E1424="",F1424=""),"",ROUND(IF(MOD(F1424,1)&gt;=TIME(22,0,0),(MOD(F1424,1)-TIME(22,0,0))*24,IF(MOD(F1424,1)&lt;TIME(6,0,0),(MOD(F1424,1)+1-TIME(22,0,0))*24,0)),2))</f>
        <v/>
      </c>
      <c r="K1424" s="33">
        <f>IF(H1424="","",ROUND(IF(L1424="휴일근로",MIN(H1424,8)*1.5+MAX(0,H1424-8)*2,I1424*1.5)+N(J1424)*0.5,2))</f>
        <v/>
      </c>
      <c r="L1424" s="18" t="n"/>
      <c r="M1424" s="18" t="n"/>
      <c r="N1424" s="22" t="n"/>
    </row>
    <row r="1425">
      <c r="A1425" s="19" t="n"/>
      <c r="B1425" s="25">
        <f>IF(A1425="","",CHOOSE(WEEKDAY(A1425,2),"월","화","수","목","금","토","일"))</f>
        <v/>
      </c>
      <c r="C1425" s="18" t="n"/>
      <c r="D1425" s="25">
        <f>IFERROR(IF(C1425="","",INDEX(직원명부!$B$5:$B$24,MATCH(C1425,직원명부!$A$5:$A$24,0))),"사번 확인")</f>
        <v/>
      </c>
      <c r="E1425" s="34" t="n"/>
      <c r="F1425" s="34" t="n"/>
      <c r="G1425" s="28" t="n"/>
      <c r="H1425" s="33">
        <f>IF(OR(E1425="",F1425=""),"",ROUND(MOD(F1425-E1425,1)*24-N(G1425),2))</f>
        <v/>
      </c>
      <c r="I1425" s="33">
        <f>IF(H1425="","",ROUND(MAX(0,H1425-8),2))</f>
        <v/>
      </c>
      <c r="J1425" s="33">
        <f>IF(OR(E1425="",F1425=""),"",ROUND(IF(MOD(F1425,1)&gt;=TIME(22,0,0),(MOD(F1425,1)-TIME(22,0,0))*24,IF(MOD(F1425,1)&lt;TIME(6,0,0),(MOD(F1425,1)+1-TIME(22,0,0))*24,0)),2))</f>
        <v/>
      </c>
      <c r="K1425" s="33">
        <f>IF(H1425="","",ROUND(IF(L1425="휴일근로",MIN(H1425,8)*1.5+MAX(0,H1425-8)*2,I1425*1.5)+N(J1425)*0.5,2))</f>
        <v/>
      </c>
      <c r="L1425" s="18" t="n"/>
      <c r="M1425" s="18" t="n"/>
      <c r="N1425" s="22" t="n"/>
    </row>
    <row r="1426">
      <c r="A1426" s="19" t="n"/>
      <c r="B1426" s="25">
        <f>IF(A1426="","",CHOOSE(WEEKDAY(A1426,2),"월","화","수","목","금","토","일"))</f>
        <v/>
      </c>
      <c r="C1426" s="18" t="n"/>
      <c r="D1426" s="25">
        <f>IFERROR(IF(C1426="","",INDEX(직원명부!$B$5:$B$24,MATCH(C1426,직원명부!$A$5:$A$24,0))),"사번 확인")</f>
        <v/>
      </c>
      <c r="E1426" s="34" t="n"/>
      <c r="F1426" s="34" t="n"/>
      <c r="G1426" s="28" t="n"/>
      <c r="H1426" s="33">
        <f>IF(OR(E1426="",F1426=""),"",ROUND(MOD(F1426-E1426,1)*24-N(G1426),2))</f>
        <v/>
      </c>
      <c r="I1426" s="33">
        <f>IF(H1426="","",ROUND(MAX(0,H1426-8),2))</f>
        <v/>
      </c>
      <c r="J1426" s="33">
        <f>IF(OR(E1426="",F1426=""),"",ROUND(IF(MOD(F1426,1)&gt;=TIME(22,0,0),(MOD(F1426,1)-TIME(22,0,0))*24,IF(MOD(F1426,1)&lt;TIME(6,0,0),(MOD(F1426,1)+1-TIME(22,0,0))*24,0)),2))</f>
        <v/>
      </c>
      <c r="K1426" s="33">
        <f>IF(H1426="","",ROUND(IF(L1426="휴일근로",MIN(H1426,8)*1.5+MAX(0,H1426-8)*2,I1426*1.5)+N(J1426)*0.5,2))</f>
        <v/>
      </c>
      <c r="L1426" s="18" t="n"/>
      <c r="M1426" s="18" t="n"/>
      <c r="N1426" s="22" t="n"/>
    </row>
    <row r="1427">
      <c r="A1427" s="19" t="n"/>
      <c r="B1427" s="25">
        <f>IF(A1427="","",CHOOSE(WEEKDAY(A1427,2),"월","화","수","목","금","토","일"))</f>
        <v/>
      </c>
      <c r="C1427" s="18" t="n"/>
      <c r="D1427" s="25">
        <f>IFERROR(IF(C1427="","",INDEX(직원명부!$B$5:$B$24,MATCH(C1427,직원명부!$A$5:$A$24,0))),"사번 확인")</f>
        <v/>
      </c>
      <c r="E1427" s="34" t="n"/>
      <c r="F1427" s="34" t="n"/>
      <c r="G1427" s="28" t="n"/>
      <c r="H1427" s="33">
        <f>IF(OR(E1427="",F1427=""),"",ROUND(MOD(F1427-E1427,1)*24-N(G1427),2))</f>
        <v/>
      </c>
      <c r="I1427" s="33">
        <f>IF(H1427="","",ROUND(MAX(0,H1427-8),2))</f>
        <v/>
      </c>
      <c r="J1427" s="33">
        <f>IF(OR(E1427="",F1427=""),"",ROUND(IF(MOD(F1427,1)&gt;=TIME(22,0,0),(MOD(F1427,1)-TIME(22,0,0))*24,IF(MOD(F1427,1)&lt;TIME(6,0,0),(MOD(F1427,1)+1-TIME(22,0,0))*24,0)),2))</f>
        <v/>
      </c>
      <c r="K1427" s="33">
        <f>IF(H1427="","",ROUND(IF(L1427="휴일근로",MIN(H1427,8)*1.5+MAX(0,H1427-8)*2,I1427*1.5)+N(J1427)*0.5,2))</f>
        <v/>
      </c>
      <c r="L1427" s="18" t="n"/>
      <c r="M1427" s="18" t="n"/>
      <c r="N1427" s="22" t="n"/>
    </row>
    <row r="1428">
      <c r="A1428" s="19" t="n"/>
      <c r="B1428" s="25">
        <f>IF(A1428="","",CHOOSE(WEEKDAY(A1428,2),"월","화","수","목","금","토","일"))</f>
        <v/>
      </c>
      <c r="C1428" s="18" t="n"/>
      <c r="D1428" s="25">
        <f>IFERROR(IF(C1428="","",INDEX(직원명부!$B$5:$B$24,MATCH(C1428,직원명부!$A$5:$A$24,0))),"사번 확인")</f>
        <v/>
      </c>
      <c r="E1428" s="34" t="n"/>
      <c r="F1428" s="34" t="n"/>
      <c r="G1428" s="28" t="n"/>
      <c r="H1428" s="33">
        <f>IF(OR(E1428="",F1428=""),"",ROUND(MOD(F1428-E1428,1)*24-N(G1428),2))</f>
        <v/>
      </c>
      <c r="I1428" s="33">
        <f>IF(H1428="","",ROUND(MAX(0,H1428-8),2))</f>
        <v/>
      </c>
      <c r="J1428" s="33">
        <f>IF(OR(E1428="",F1428=""),"",ROUND(IF(MOD(F1428,1)&gt;=TIME(22,0,0),(MOD(F1428,1)-TIME(22,0,0))*24,IF(MOD(F1428,1)&lt;TIME(6,0,0),(MOD(F1428,1)+1-TIME(22,0,0))*24,0)),2))</f>
        <v/>
      </c>
      <c r="K1428" s="33">
        <f>IF(H1428="","",ROUND(IF(L1428="휴일근로",MIN(H1428,8)*1.5+MAX(0,H1428-8)*2,I1428*1.5)+N(J1428)*0.5,2))</f>
        <v/>
      </c>
      <c r="L1428" s="18" t="n"/>
      <c r="M1428" s="18" t="n"/>
      <c r="N1428" s="22" t="n"/>
    </row>
    <row r="1429">
      <c r="A1429" s="19" t="n"/>
      <c r="B1429" s="25">
        <f>IF(A1429="","",CHOOSE(WEEKDAY(A1429,2),"월","화","수","목","금","토","일"))</f>
        <v/>
      </c>
      <c r="C1429" s="18" t="n"/>
      <c r="D1429" s="25">
        <f>IFERROR(IF(C1429="","",INDEX(직원명부!$B$5:$B$24,MATCH(C1429,직원명부!$A$5:$A$24,0))),"사번 확인")</f>
        <v/>
      </c>
      <c r="E1429" s="34" t="n"/>
      <c r="F1429" s="34" t="n"/>
      <c r="G1429" s="28" t="n"/>
      <c r="H1429" s="33">
        <f>IF(OR(E1429="",F1429=""),"",ROUND(MOD(F1429-E1429,1)*24-N(G1429),2))</f>
        <v/>
      </c>
      <c r="I1429" s="33">
        <f>IF(H1429="","",ROUND(MAX(0,H1429-8),2))</f>
        <v/>
      </c>
      <c r="J1429" s="33">
        <f>IF(OR(E1429="",F1429=""),"",ROUND(IF(MOD(F1429,1)&gt;=TIME(22,0,0),(MOD(F1429,1)-TIME(22,0,0))*24,IF(MOD(F1429,1)&lt;TIME(6,0,0),(MOD(F1429,1)+1-TIME(22,0,0))*24,0)),2))</f>
        <v/>
      </c>
      <c r="K1429" s="33">
        <f>IF(H1429="","",ROUND(IF(L1429="휴일근로",MIN(H1429,8)*1.5+MAX(0,H1429-8)*2,I1429*1.5)+N(J1429)*0.5,2))</f>
        <v/>
      </c>
      <c r="L1429" s="18" t="n"/>
      <c r="M1429" s="18" t="n"/>
      <c r="N1429" s="22" t="n"/>
    </row>
    <row r="1430">
      <c r="A1430" s="19" t="n"/>
      <c r="B1430" s="25">
        <f>IF(A1430="","",CHOOSE(WEEKDAY(A1430,2),"월","화","수","목","금","토","일"))</f>
        <v/>
      </c>
      <c r="C1430" s="18" t="n"/>
      <c r="D1430" s="25">
        <f>IFERROR(IF(C1430="","",INDEX(직원명부!$B$5:$B$24,MATCH(C1430,직원명부!$A$5:$A$24,0))),"사번 확인")</f>
        <v/>
      </c>
      <c r="E1430" s="34" t="n"/>
      <c r="F1430" s="34" t="n"/>
      <c r="G1430" s="28" t="n"/>
      <c r="H1430" s="33">
        <f>IF(OR(E1430="",F1430=""),"",ROUND(MOD(F1430-E1430,1)*24-N(G1430),2))</f>
        <v/>
      </c>
      <c r="I1430" s="33">
        <f>IF(H1430="","",ROUND(MAX(0,H1430-8),2))</f>
        <v/>
      </c>
      <c r="J1430" s="33">
        <f>IF(OR(E1430="",F1430=""),"",ROUND(IF(MOD(F1430,1)&gt;=TIME(22,0,0),(MOD(F1430,1)-TIME(22,0,0))*24,IF(MOD(F1430,1)&lt;TIME(6,0,0),(MOD(F1430,1)+1-TIME(22,0,0))*24,0)),2))</f>
        <v/>
      </c>
      <c r="K1430" s="33">
        <f>IF(H1430="","",ROUND(IF(L1430="휴일근로",MIN(H1430,8)*1.5+MAX(0,H1430-8)*2,I1430*1.5)+N(J1430)*0.5,2))</f>
        <v/>
      </c>
      <c r="L1430" s="18" t="n"/>
      <c r="M1430" s="18" t="n"/>
      <c r="N1430" s="22" t="n"/>
    </row>
    <row r="1431">
      <c r="A1431" s="19" t="n"/>
      <c r="B1431" s="25">
        <f>IF(A1431="","",CHOOSE(WEEKDAY(A1431,2),"월","화","수","목","금","토","일"))</f>
        <v/>
      </c>
      <c r="C1431" s="18" t="n"/>
      <c r="D1431" s="25">
        <f>IFERROR(IF(C1431="","",INDEX(직원명부!$B$5:$B$24,MATCH(C1431,직원명부!$A$5:$A$24,0))),"사번 확인")</f>
        <v/>
      </c>
      <c r="E1431" s="34" t="n"/>
      <c r="F1431" s="34" t="n"/>
      <c r="G1431" s="28" t="n"/>
      <c r="H1431" s="33">
        <f>IF(OR(E1431="",F1431=""),"",ROUND(MOD(F1431-E1431,1)*24-N(G1431),2))</f>
        <v/>
      </c>
      <c r="I1431" s="33">
        <f>IF(H1431="","",ROUND(MAX(0,H1431-8),2))</f>
        <v/>
      </c>
      <c r="J1431" s="33">
        <f>IF(OR(E1431="",F1431=""),"",ROUND(IF(MOD(F1431,1)&gt;=TIME(22,0,0),(MOD(F1431,1)-TIME(22,0,0))*24,IF(MOD(F1431,1)&lt;TIME(6,0,0),(MOD(F1431,1)+1-TIME(22,0,0))*24,0)),2))</f>
        <v/>
      </c>
      <c r="K1431" s="33">
        <f>IF(H1431="","",ROUND(IF(L1431="휴일근로",MIN(H1431,8)*1.5+MAX(0,H1431-8)*2,I1431*1.5)+N(J1431)*0.5,2))</f>
        <v/>
      </c>
      <c r="L1431" s="18" t="n"/>
      <c r="M1431" s="18" t="n"/>
      <c r="N1431" s="22" t="n"/>
    </row>
    <row r="1432">
      <c r="A1432" s="19" t="n"/>
      <c r="B1432" s="25">
        <f>IF(A1432="","",CHOOSE(WEEKDAY(A1432,2),"월","화","수","목","금","토","일"))</f>
        <v/>
      </c>
      <c r="C1432" s="18" t="n"/>
      <c r="D1432" s="25">
        <f>IFERROR(IF(C1432="","",INDEX(직원명부!$B$5:$B$24,MATCH(C1432,직원명부!$A$5:$A$24,0))),"사번 확인")</f>
        <v/>
      </c>
      <c r="E1432" s="34" t="n"/>
      <c r="F1432" s="34" t="n"/>
      <c r="G1432" s="28" t="n"/>
      <c r="H1432" s="33">
        <f>IF(OR(E1432="",F1432=""),"",ROUND(MOD(F1432-E1432,1)*24-N(G1432),2))</f>
        <v/>
      </c>
      <c r="I1432" s="33">
        <f>IF(H1432="","",ROUND(MAX(0,H1432-8),2))</f>
        <v/>
      </c>
      <c r="J1432" s="33">
        <f>IF(OR(E1432="",F1432=""),"",ROUND(IF(MOD(F1432,1)&gt;=TIME(22,0,0),(MOD(F1432,1)-TIME(22,0,0))*24,IF(MOD(F1432,1)&lt;TIME(6,0,0),(MOD(F1432,1)+1-TIME(22,0,0))*24,0)),2))</f>
        <v/>
      </c>
      <c r="K1432" s="33">
        <f>IF(H1432="","",ROUND(IF(L1432="휴일근로",MIN(H1432,8)*1.5+MAX(0,H1432-8)*2,I1432*1.5)+N(J1432)*0.5,2))</f>
        <v/>
      </c>
      <c r="L1432" s="18" t="n"/>
      <c r="M1432" s="18" t="n"/>
      <c r="N1432" s="22" t="n"/>
    </row>
    <row r="1433">
      <c r="A1433" s="19" t="n"/>
      <c r="B1433" s="25">
        <f>IF(A1433="","",CHOOSE(WEEKDAY(A1433,2),"월","화","수","목","금","토","일"))</f>
        <v/>
      </c>
      <c r="C1433" s="18" t="n"/>
      <c r="D1433" s="25">
        <f>IFERROR(IF(C1433="","",INDEX(직원명부!$B$5:$B$24,MATCH(C1433,직원명부!$A$5:$A$24,0))),"사번 확인")</f>
        <v/>
      </c>
      <c r="E1433" s="34" t="n"/>
      <c r="F1433" s="34" t="n"/>
      <c r="G1433" s="28" t="n"/>
      <c r="H1433" s="33">
        <f>IF(OR(E1433="",F1433=""),"",ROUND(MOD(F1433-E1433,1)*24-N(G1433),2))</f>
        <v/>
      </c>
      <c r="I1433" s="33">
        <f>IF(H1433="","",ROUND(MAX(0,H1433-8),2))</f>
        <v/>
      </c>
      <c r="J1433" s="33">
        <f>IF(OR(E1433="",F1433=""),"",ROUND(IF(MOD(F1433,1)&gt;=TIME(22,0,0),(MOD(F1433,1)-TIME(22,0,0))*24,IF(MOD(F1433,1)&lt;TIME(6,0,0),(MOD(F1433,1)+1-TIME(22,0,0))*24,0)),2))</f>
        <v/>
      </c>
      <c r="K1433" s="33">
        <f>IF(H1433="","",ROUND(IF(L1433="휴일근로",MIN(H1433,8)*1.5+MAX(0,H1433-8)*2,I1433*1.5)+N(J1433)*0.5,2))</f>
        <v/>
      </c>
      <c r="L1433" s="18" t="n"/>
      <c r="M1433" s="18" t="n"/>
      <c r="N1433" s="22" t="n"/>
    </row>
    <row r="1434">
      <c r="A1434" s="19" t="n"/>
      <c r="B1434" s="25">
        <f>IF(A1434="","",CHOOSE(WEEKDAY(A1434,2),"월","화","수","목","금","토","일"))</f>
        <v/>
      </c>
      <c r="C1434" s="18" t="n"/>
      <c r="D1434" s="25">
        <f>IFERROR(IF(C1434="","",INDEX(직원명부!$B$5:$B$24,MATCH(C1434,직원명부!$A$5:$A$24,0))),"사번 확인")</f>
        <v/>
      </c>
      <c r="E1434" s="34" t="n"/>
      <c r="F1434" s="34" t="n"/>
      <c r="G1434" s="28" t="n"/>
      <c r="H1434" s="33">
        <f>IF(OR(E1434="",F1434=""),"",ROUND(MOD(F1434-E1434,1)*24-N(G1434),2))</f>
        <v/>
      </c>
      <c r="I1434" s="33">
        <f>IF(H1434="","",ROUND(MAX(0,H1434-8),2))</f>
        <v/>
      </c>
      <c r="J1434" s="33">
        <f>IF(OR(E1434="",F1434=""),"",ROUND(IF(MOD(F1434,1)&gt;=TIME(22,0,0),(MOD(F1434,1)-TIME(22,0,0))*24,IF(MOD(F1434,1)&lt;TIME(6,0,0),(MOD(F1434,1)+1-TIME(22,0,0))*24,0)),2))</f>
        <v/>
      </c>
      <c r="K1434" s="33">
        <f>IF(H1434="","",ROUND(IF(L1434="휴일근로",MIN(H1434,8)*1.5+MAX(0,H1434-8)*2,I1434*1.5)+N(J1434)*0.5,2))</f>
        <v/>
      </c>
      <c r="L1434" s="18" t="n"/>
      <c r="M1434" s="18" t="n"/>
      <c r="N1434" s="22" t="n"/>
    </row>
    <row r="1435">
      <c r="A1435" s="19" t="n"/>
      <c r="B1435" s="25">
        <f>IF(A1435="","",CHOOSE(WEEKDAY(A1435,2),"월","화","수","목","금","토","일"))</f>
        <v/>
      </c>
      <c r="C1435" s="18" t="n"/>
      <c r="D1435" s="25">
        <f>IFERROR(IF(C1435="","",INDEX(직원명부!$B$5:$B$24,MATCH(C1435,직원명부!$A$5:$A$24,0))),"사번 확인")</f>
        <v/>
      </c>
      <c r="E1435" s="34" t="n"/>
      <c r="F1435" s="34" t="n"/>
      <c r="G1435" s="28" t="n"/>
      <c r="H1435" s="33">
        <f>IF(OR(E1435="",F1435=""),"",ROUND(MOD(F1435-E1435,1)*24-N(G1435),2))</f>
        <v/>
      </c>
      <c r="I1435" s="33">
        <f>IF(H1435="","",ROUND(MAX(0,H1435-8),2))</f>
        <v/>
      </c>
      <c r="J1435" s="33">
        <f>IF(OR(E1435="",F1435=""),"",ROUND(IF(MOD(F1435,1)&gt;=TIME(22,0,0),(MOD(F1435,1)-TIME(22,0,0))*24,IF(MOD(F1435,1)&lt;TIME(6,0,0),(MOD(F1435,1)+1-TIME(22,0,0))*24,0)),2))</f>
        <v/>
      </c>
      <c r="K1435" s="33">
        <f>IF(H1435="","",ROUND(IF(L1435="휴일근로",MIN(H1435,8)*1.5+MAX(0,H1435-8)*2,I1435*1.5)+N(J1435)*0.5,2))</f>
        <v/>
      </c>
      <c r="L1435" s="18" t="n"/>
      <c r="M1435" s="18" t="n"/>
      <c r="N1435" s="22" t="n"/>
    </row>
    <row r="1436">
      <c r="A1436" s="19" t="n"/>
      <c r="B1436" s="25">
        <f>IF(A1436="","",CHOOSE(WEEKDAY(A1436,2),"월","화","수","목","금","토","일"))</f>
        <v/>
      </c>
      <c r="C1436" s="18" t="n"/>
      <c r="D1436" s="25">
        <f>IFERROR(IF(C1436="","",INDEX(직원명부!$B$5:$B$24,MATCH(C1436,직원명부!$A$5:$A$24,0))),"사번 확인")</f>
        <v/>
      </c>
      <c r="E1436" s="34" t="n"/>
      <c r="F1436" s="34" t="n"/>
      <c r="G1436" s="28" t="n"/>
      <c r="H1436" s="33">
        <f>IF(OR(E1436="",F1436=""),"",ROUND(MOD(F1436-E1436,1)*24-N(G1436),2))</f>
        <v/>
      </c>
      <c r="I1436" s="33">
        <f>IF(H1436="","",ROUND(MAX(0,H1436-8),2))</f>
        <v/>
      </c>
      <c r="J1436" s="33">
        <f>IF(OR(E1436="",F1436=""),"",ROUND(IF(MOD(F1436,1)&gt;=TIME(22,0,0),(MOD(F1436,1)-TIME(22,0,0))*24,IF(MOD(F1436,1)&lt;TIME(6,0,0),(MOD(F1436,1)+1-TIME(22,0,0))*24,0)),2))</f>
        <v/>
      </c>
      <c r="K1436" s="33">
        <f>IF(H1436="","",ROUND(IF(L1436="휴일근로",MIN(H1436,8)*1.5+MAX(0,H1436-8)*2,I1436*1.5)+N(J1436)*0.5,2))</f>
        <v/>
      </c>
      <c r="L1436" s="18" t="n"/>
      <c r="M1436" s="18" t="n"/>
      <c r="N1436" s="22" t="n"/>
    </row>
    <row r="1437">
      <c r="A1437" s="19" t="n"/>
      <c r="B1437" s="25">
        <f>IF(A1437="","",CHOOSE(WEEKDAY(A1437,2),"월","화","수","목","금","토","일"))</f>
        <v/>
      </c>
      <c r="C1437" s="18" t="n"/>
      <c r="D1437" s="25">
        <f>IFERROR(IF(C1437="","",INDEX(직원명부!$B$5:$B$24,MATCH(C1437,직원명부!$A$5:$A$24,0))),"사번 확인")</f>
        <v/>
      </c>
      <c r="E1437" s="34" t="n"/>
      <c r="F1437" s="34" t="n"/>
      <c r="G1437" s="28" t="n"/>
      <c r="H1437" s="33">
        <f>IF(OR(E1437="",F1437=""),"",ROUND(MOD(F1437-E1437,1)*24-N(G1437),2))</f>
        <v/>
      </c>
      <c r="I1437" s="33">
        <f>IF(H1437="","",ROUND(MAX(0,H1437-8),2))</f>
        <v/>
      </c>
      <c r="J1437" s="33">
        <f>IF(OR(E1437="",F1437=""),"",ROUND(IF(MOD(F1437,1)&gt;=TIME(22,0,0),(MOD(F1437,1)-TIME(22,0,0))*24,IF(MOD(F1437,1)&lt;TIME(6,0,0),(MOD(F1437,1)+1-TIME(22,0,0))*24,0)),2))</f>
        <v/>
      </c>
      <c r="K1437" s="33">
        <f>IF(H1437="","",ROUND(IF(L1437="휴일근로",MIN(H1437,8)*1.5+MAX(0,H1437-8)*2,I1437*1.5)+N(J1437)*0.5,2))</f>
        <v/>
      </c>
      <c r="L1437" s="18" t="n"/>
      <c r="M1437" s="18" t="n"/>
      <c r="N1437" s="22" t="n"/>
    </row>
    <row r="1438">
      <c r="A1438" s="19" t="n"/>
      <c r="B1438" s="25">
        <f>IF(A1438="","",CHOOSE(WEEKDAY(A1438,2),"월","화","수","목","금","토","일"))</f>
        <v/>
      </c>
      <c r="C1438" s="18" t="n"/>
      <c r="D1438" s="25">
        <f>IFERROR(IF(C1438="","",INDEX(직원명부!$B$5:$B$24,MATCH(C1438,직원명부!$A$5:$A$24,0))),"사번 확인")</f>
        <v/>
      </c>
      <c r="E1438" s="34" t="n"/>
      <c r="F1438" s="34" t="n"/>
      <c r="G1438" s="28" t="n"/>
      <c r="H1438" s="33">
        <f>IF(OR(E1438="",F1438=""),"",ROUND(MOD(F1438-E1438,1)*24-N(G1438),2))</f>
        <v/>
      </c>
      <c r="I1438" s="33">
        <f>IF(H1438="","",ROUND(MAX(0,H1438-8),2))</f>
        <v/>
      </c>
      <c r="J1438" s="33">
        <f>IF(OR(E1438="",F1438=""),"",ROUND(IF(MOD(F1438,1)&gt;=TIME(22,0,0),(MOD(F1438,1)-TIME(22,0,0))*24,IF(MOD(F1438,1)&lt;TIME(6,0,0),(MOD(F1438,1)+1-TIME(22,0,0))*24,0)),2))</f>
        <v/>
      </c>
      <c r="K1438" s="33">
        <f>IF(H1438="","",ROUND(IF(L1438="휴일근로",MIN(H1438,8)*1.5+MAX(0,H1438-8)*2,I1438*1.5)+N(J1438)*0.5,2))</f>
        <v/>
      </c>
      <c r="L1438" s="18" t="n"/>
      <c r="M1438" s="18" t="n"/>
      <c r="N1438" s="22" t="n"/>
    </row>
    <row r="1439">
      <c r="A1439" s="19" t="n"/>
      <c r="B1439" s="25">
        <f>IF(A1439="","",CHOOSE(WEEKDAY(A1439,2),"월","화","수","목","금","토","일"))</f>
        <v/>
      </c>
      <c r="C1439" s="18" t="n"/>
      <c r="D1439" s="25">
        <f>IFERROR(IF(C1439="","",INDEX(직원명부!$B$5:$B$24,MATCH(C1439,직원명부!$A$5:$A$24,0))),"사번 확인")</f>
        <v/>
      </c>
      <c r="E1439" s="34" t="n"/>
      <c r="F1439" s="34" t="n"/>
      <c r="G1439" s="28" t="n"/>
      <c r="H1439" s="33">
        <f>IF(OR(E1439="",F1439=""),"",ROUND(MOD(F1439-E1439,1)*24-N(G1439),2))</f>
        <v/>
      </c>
      <c r="I1439" s="33">
        <f>IF(H1439="","",ROUND(MAX(0,H1439-8),2))</f>
        <v/>
      </c>
      <c r="J1439" s="33">
        <f>IF(OR(E1439="",F1439=""),"",ROUND(IF(MOD(F1439,1)&gt;=TIME(22,0,0),(MOD(F1439,1)-TIME(22,0,0))*24,IF(MOD(F1439,1)&lt;TIME(6,0,0),(MOD(F1439,1)+1-TIME(22,0,0))*24,0)),2))</f>
        <v/>
      </c>
      <c r="K1439" s="33">
        <f>IF(H1439="","",ROUND(IF(L1439="휴일근로",MIN(H1439,8)*1.5+MAX(0,H1439-8)*2,I1439*1.5)+N(J1439)*0.5,2))</f>
        <v/>
      </c>
      <c r="L1439" s="18" t="n"/>
      <c r="M1439" s="18" t="n"/>
      <c r="N1439" s="22" t="n"/>
    </row>
    <row r="1440">
      <c r="A1440" s="19" t="n"/>
      <c r="B1440" s="25">
        <f>IF(A1440="","",CHOOSE(WEEKDAY(A1440,2),"월","화","수","목","금","토","일"))</f>
        <v/>
      </c>
      <c r="C1440" s="18" t="n"/>
      <c r="D1440" s="25">
        <f>IFERROR(IF(C1440="","",INDEX(직원명부!$B$5:$B$24,MATCH(C1440,직원명부!$A$5:$A$24,0))),"사번 확인")</f>
        <v/>
      </c>
      <c r="E1440" s="34" t="n"/>
      <c r="F1440" s="34" t="n"/>
      <c r="G1440" s="28" t="n"/>
      <c r="H1440" s="33">
        <f>IF(OR(E1440="",F1440=""),"",ROUND(MOD(F1440-E1440,1)*24-N(G1440),2))</f>
        <v/>
      </c>
      <c r="I1440" s="33">
        <f>IF(H1440="","",ROUND(MAX(0,H1440-8),2))</f>
        <v/>
      </c>
      <c r="J1440" s="33">
        <f>IF(OR(E1440="",F1440=""),"",ROUND(IF(MOD(F1440,1)&gt;=TIME(22,0,0),(MOD(F1440,1)-TIME(22,0,0))*24,IF(MOD(F1440,1)&lt;TIME(6,0,0),(MOD(F1440,1)+1-TIME(22,0,0))*24,0)),2))</f>
        <v/>
      </c>
      <c r="K1440" s="33">
        <f>IF(H1440="","",ROUND(IF(L1440="휴일근로",MIN(H1440,8)*1.5+MAX(0,H1440-8)*2,I1440*1.5)+N(J1440)*0.5,2))</f>
        <v/>
      </c>
      <c r="L1440" s="18" t="n"/>
      <c r="M1440" s="18" t="n"/>
      <c r="N1440" s="22" t="n"/>
    </row>
    <row r="1441">
      <c r="A1441" s="19" t="n"/>
      <c r="B1441" s="25">
        <f>IF(A1441="","",CHOOSE(WEEKDAY(A1441,2),"월","화","수","목","금","토","일"))</f>
        <v/>
      </c>
      <c r="C1441" s="18" t="n"/>
      <c r="D1441" s="25">
        <f>IFERROR(IF(C1441="","",INDEX(직원명부!$B$5:$B$24,MATCH(C1441,직원명부!$A$5:$A$24,0))),"사번 확인")</f>
        <v/>
      </c>
      <c r="E1441" s="34" t="n"/>
      <c r="F1441" s="34" t="n"/>
      <c r="G1441" s="28" t="n"/>
      <c r="H1441" s="33">
        <f>IF(OR(E1441="",F1441=""),"",ROUND(MOD(F1441-E1441,1)*24-N(G1441),2))</f>
        <v/>
      </c>
      <c r="I1441" s="33">
        <f>IF(H1441="","",ROUND(MAX(0,H1441-8),2))</f>
        <v/>
      </c>
      <c r="J1441" s="33">
        <f>IF(OR(E1441="",F1441=""),"",ROUND(IF(MOD(F1441,1)&gt;=TIME(22,0,0),(MOD(F1441,1)-TIME(22,0,0))*24,IF(MOD(F1441,1)&lt;TIME(6,0,0),(MOD(F1441,1)+1-TIME(22,0,0))*24,0)),2))</f>
        <v/>
      </c>
      <c r="K1441" s="33">
        <f>IF(H1441="","",ROUND(IF(L1441="휴일근로",MIN(H1441,8)*1.5+MAX(0,H1441-8)*2,I1441*1.5)+N(J1441)*0.5,2))</f>
        <v/>
      </c>
      <c r="L1441" s="18" t="n"/>
      <c r="M1441" s="18" t="n"/>
      <c r="N1441" s="22" t="n"/>
    </row>
    <row r="1442">
      <c r="A1442" s="19" t="n"/>
      <c r="B1442" s="25">
        <f>IF(A1442="","",CHOOSE(WEEKDAY(A1442,2),"월","화","수","목","금","토","일"))</f>
        <v/>
      </c>
      <c r="C1442" s="18" t="n"/>
      <c r="D1442" s="25">
        <f>IFERROR(IF(C1442="","",INDEX(직원명부!$B$5:$B$24,MATCH(C1442,직원명부!$A$5:$A$24,0))),"사번 확인")</f>
        <v/>
      </c>
      <c r="E1442" s="34" t="n"/>
      <c r="F1442" s="34" t="n"/>
      <c r="G1442" s="28" t="n"/>
      <c r="H1442" s="33">
        <f>IF(OR(E1442="",F1442=""),"",ROUND(MOD(F1442-E1442,1)*24-N(G1442),2))</f>
        <v/>
      </c>
      <c r="I1442" s="33">
        <f>IF(H1442="","",ROUND(MAX(0,H1442-8),2))</f>
        <v/>
      </c>
      <c r="J1442" s="33">
        <f>IF(OR(E1442="",F1442=""),"",ROUND(IF(MOD(F1442,1)&gt;=TIME(22,0,0),(MOD(F1442,1)-TIME(22,0,0))*24,IF(MOD(F1442,1)&lt;TIME(6,0,0),(MOD(F1442,1)+1-TIME(22,0,0))*24,0)),2))</f>
        <v/>
      </c>
      <c r="K1442" s="33">
        <f>IF(H1442="","",ROUND(IF(L1442="휴일근로",MIN(H1442,8)*1.5+MAX(0,H1442-8)*2,I1442*1.5)+N(J1442)*0.5,2))</f>
        <v/>
      </c>
      <c r="L1442" s="18" t="n"/>
      <c r="M1442" s="18" t="n"/>
      <c r="N1442" s="22" t="n"/>
    </row>
    <row r="1443">
      <c r="A1443" s="19" t="n"/>
      <c r="B1443" s="25">
        <f>IF(A1443="","",CHOOSE(WEEKDAY(A1443,2),"월","화","수","목","금","토","일"))</f>
        <v/>
      </c>
      <c r="C1443" s="18" t="n"/>
      <c r="D1443" s="25">
        <f>IFERROR(IF(C1443="","",INDEX(직원명부!$B$5:$B$24,MATCH(C1443,직원명부!$A$5:$A$24,0))),"사번 확인")</f>
        <v/>
      </c>
      <c r="E1443" s="34" t="n"/>
      <c r="F1443" s="34" t="n"/>
      <c r="G1443" s="28" t="n"/>
      <c r="H1443" s="33">
        <f>IF(OR(E1443="",F1443=""),"",ROUND(MOD(F1443-E1443,1)*24-N(G1443),2))</f>
        <v/>
      </c>
      <c r="I1443" s="33">
        <f>IF(H1443="","",ROUND(MAX(0,H1443-8),2))</f>
        <v/>
      </c>
      <c r="J1443" s="33">
        <f>IF(OR(E1443="",F1443=""),"",ROUND(IF(MOD(F1443,1)&gt;=TIME(22,0,0),(MOD(F1443,1)-TIME(22,0,0))*24,IF(MOD(F1443,1)&lt;TIME(6,0,0),(MOD(F1443,1)+1-TIME(22,0,0))*24,0)),2))</f>
        <v/>
      </c>
      <c r="K1443" s="33">
        <f>IF(H1443="","",ROUND(IF(L1443="휴일근로",MIN(H1443,8)*1.5+MAX(0,H1443-8)*2,I1443*1.5)+N(J1443)*0.5,2))</f>
        <v/>
      </c>
      <c r="L1443" s="18" t="n"/>
      <c r="M1443" s="18" t="n"/>
      <c r="N1443" s="22" t="n"/>
    </row>
    <row r="1444">
      <c r="A1444" s="19" t="n"/>
      <c r="B1444" s="25">
        <f>IF(A1444="","",CHOOSE(WEEKDAY(A1444,2),"월","화","수","목","금","토","일"))</f>
        <v/>
      </c>
      <c r="C1444" s="18" t="n"/>
      <c r="D1444" s="25">
        <f>IFERROR(IF(C1444="","",INDEX(직원명부!$B$5:$B$24,MATCH(C1444,직원명부!$A$5:$A$24,0))),"사번 확인")</f>
        <v/>
      </c>
      <c r="E1444" s="34" t="n"/>
      <c r="F1444" s="34" t="n"/>
      <c r="G1444" s="28" t="n"/>
      <c r="H1444" s="33">
        <f>IF(OR(E1444="",F1444=""),"",ROUND(MOD(F1444-E1444,1)*24-N(G1444),2))</f>
        <v/>
      </c>
      <c r="I1444" s="33">
        <f>IF(H1444="","",ROUND(MAX(0,H1444-8),2))</f>
        <v/>
      </c>
      <c r="J1444" s="33">
        <f>IF(OR(E1444="",F1444=""),"",ROUND(IF(MOD(F1444,1)&gt;=TIME(22,0,0),(MOD(F1444,1)-TIME(22,0,0))*24,IF(MOD(F1444,1)&lt;TIME(6,0,0),(MOD(F1444,1)+1-TIME(22,0,0))*24,0)),2))</f>
        <v/>
      </c>
      <c r="K1444" s="33">
        <f>IF(H1444="","",ROUND(IF(L1444="휴일근로",MIN(H1444,8)*1.5+MAX(0,H1444-8)*2,I1444*1.5)+N(J1444)*0.5,2))</f>
        <v/>
      </c>
      <c r="L1444" s="18" t="n"/>
      <c r="M1444" s="18" t="n"/>
      <c r="N1444" s="22" t="n"/>
    </row>
    <row r="1445">
      <c r="A1445" s="19" t="n"/>
      <c r="B1445" s="25">
        <f>IF(A1445="","",CHOOSE(WEEKDAY(A1445,2),"월","화","수","목","금","토","일"))</f>
        <v/>
      </c>
      <c r="C1445" s="18" t="n"/>
      <c r="D1445" s="25">
        <f>IFERROR(IF(C1445="","",INDEX(직원명부!$B$5:$B$24,MATCH(C1445,직원명부!$A$5:$A$24,0))),"사번 확인")</f>
        <v/>
      </c>
      <c r="E1445" s="34" t="n"/>
      <c r="F1445" s="34" t="n"/>
      <c r="G1445" s="28" t="n"/>
      <c r="H1445" s="33">
        <f>IF(OR(E1445="",F1445=""),"",ROUND(MOD(F1445-E1445,1)*24-N(G1445),2))</f>
        <v/>
      </c>
      <c r="I1445" s="33">
        <f>IF(H1445="","",ROUND(MAX(0,H1445-8),2))</f>
        <v/>
      </c>
      <c r="J1445" s="33">
        <f>IF(OR(E1445="",F1445=""),"",ROUND(IF(MOD(F1445,1)&gt;=TIME(22,0,0),(MOD(F1445,1)-TIME(22,0,0))*24,IF(MOD(F1445,1)&lt;TIME(6,0,0),(MOD(F1445,1)+1-TIME(22,0,0))*24,0)),2))</f>
        <v/>
      </c>
      <c r="K1445" s="33">
        <f>IF(H1445="","",ROUND(IF(L1445="휴일근로",MIN(H1445,8)*1.5+MAX(0,H1445-8)*2,I1445*1.5)+N(J1445)*0.5,2))</f>
        <v/>
      </c>
      <c r="L1445" s="18" t="n"/>
      <c r="M1445" s="18" t="n"/>
      <c r="N1445" s="22" t="n"/>
    </row>
    <row r="1446">
      <c r="A1446" s="19" t="n"/>
      <c r="B1446" s="25">
        <f>IF(A1446="","",CHOOSE(WEEKDAY(A1446,2),"월","화","수","목","금","토","일"))</f>
        <v/>
      </c>
      <c r="C1446" s="18" t="n"/>
      <c r="D1446" s="25">
        <f>IFERROR(IF(C1446="","",INDEX(직원명부!$B$5:$B$24,MATCH(C1446,직원명부!$A$5:$A$24,0))),"사번 확인")</f>
        <v/>
      </c>
      <c r="E1446" s="34" t="n"/>
      <c r="F1446" s="34" t="n"/>
      <c r="G1446" s="28" t="n"/>
      <c r="H1446" s="33">
        <f>IF(OR(E1446="",F1446=""),"",ROUND(MOD(F1446-E1446,1)*24-N(G1446),2))</f>
        <v/>
      </c>
      <c r="I1446" s="33">
        <f>IF(H1446="","",ROUND(MAX(0,H1446-8),2))</f>
        <v/>
      </c>
      <c r="J1446" s="33">
        <f>IF(OR(E1446="",F1446=""),"",ROUND(IF(MOD(F1446,1)&gt;=TIME(22,0,0),(MOD(F1446,1)-TIME(22,0,0))*24,IF(MOD(F1446,1)&lt;TIME(6,0,0),(MOD(F1446,1)+1-TIME(22,0,0))*24,0)),2))</f>
        <v/>
      </c>
      <c r="K1446" s="33">
        <f>IF(H1446="","",ROUND(IF(L1446="휴일근로",MIN(H1446,8)*1.5+MAX(0,H1446-8)*2,I1446*1.5)+N(J1446)*0.5,2))</f>
        <v/>
      </c>
      <c r="L1446" s="18" t="n"/>
      <c r="M1446" s="18" t="n"/>
      <c r="N1446" s="22" t="n"/>
    </row>
    <row r="1447">
      <c r="A1447" s="19" t="n"/>
      <c r="B1447" s="25">
        <f>IF(A1447="","",CHOOSE(WEEKDAY(A1447,2),"월","화","수","목","금","토","일"))</f>
        <v/>
      </c>
      <c r="C1447" s="18" t="n"/>
      <c r="D1447" s="25">
        <f>IFERROR(IF(C1447="","",INDEX(직원명부!$B$5:$B$24,MATCH(C1447,직원명부!$A$5:$A$24,0))),"사번 확인")</f>
        <v/>
      </c>
      <c r="E1447" s="34" t="n"/>
      <c r="F1447" s="34" t="n"/>
      <c r="G1447" s="28" t="n"/>
      <c r="H1447" s="33">
        <f>IF(OR(E1447="",F1447=""),"",ROUND(MOD(F1447-E1447,1)*24-N(G1447),2))</f>
        <v/>
      </c>
      <c r="I1447" s="33">
        <f>IF(H1447="","",ROUND(MAX(0,H1447-8),2))</f>
        <v/>
      </c>
      <c r="J1447" s="33">
        <f>IF(OR(E1447="",F1447=""),"",ROUND(IF(MOD(F1447,1)&gt;=TIME(22,0,0),(MOD(F1447,1)-TIME(22,0,0))*24,IF(MOD(F1447,1)&lt;TIME(6,0,0),(MOD(F1447,1)+1-TIME(22,0,0))*24,0)),2))</f>
        <v/>
      </c>
      <c r="K1447" s="33">
        <f>IF(H1447="","",ROUND(IF(L1447="휴일근로",MIN(H1447,8)*1.5+MAX(0,H1447-8)*2,I1447*1.5)+N(J1447)*0.5,2))</f>
        <v/>
      </c>
      <c r="L1447" s="18" t="n"/>
      <c r="M1447" s="18" t="n"/>
      <c r="N1447" s="22" t="n"/>
    </row>
    <row r="1448">
      <c r="A1448" s="19" t="n"/>
      <c r="B1448" s="25">
        <f>IF(A1448="","",CHOOSE(WEEKDAY(A1448,2),"월","화","수","목","금","토","일"))</f>
        <v/>
      </c>
      <c r="C1448" s="18" t="n"/>
      <c r="D1448" s="25">
        <f>IFERROR(IF(C1448="","",INDEX(직원명부!$B$5:$B$24,MATCH(C1448,직원명부!$A$5:$A$24,0))),"사번 확인")</f>
        <v/>
      </c>
      <c r="E1448" s="34" t="n"/>
      <c r="F1448" s="34" t="n"/>
      <c r="G1448" s="28" t="n"/>
      <c r="H1448" s="33">
        <f>IF(OR(E1448="",F1448=""),"",ROUND(MOD(F1448-E1448,1)*24-N(G1448),2))</f>
        <v/>
      </c>
      <c r="I1448" s="33">
        <f>IF(H1448="","",ROUND(MAX(0,H1448-8),2))</f>
        <v/>
      </c>
      <c r="J1448" s="33">
        <f>IF(OR(E1448="",F1448=""),"",ROUND(IF(MOD(F1448,1)&gt;=TIME(22,0,0),(MOD(F1448,1)-TIME(22,0,0))*24,IF(MOD(F1448,1)&lt;TIME(6,0,0),(MOD(F1448,1)+1-TIME(22,0,0))*24,0)),2))</f>
        <v/>
      </c>
      <c r="K1448" s="33">
        <f>IF(H1448="","",ROUND(IF(L1448="휴일근로",MIN(H1448,8)*1.5+MAX(0,H1448-8)*2,I1448*1.5)+N(J1448)*0.5,2))</f>
        <v/>
      </c>
      <c r="L1448" s="18" t="n"/>
      <c r="M1448" s="18" t="n"/>
      <c r="N1448" s="22" t="n"/>
    </row>
    <row r="1449">
      <c r="A1449" s="19" t="n"/>
      <c r="B1449" s="25">
        <f>IF(A1449="","",CHOOSE(WEEKDAY(A1449,2),"월","화","수","목","금","토","일"))</f>
        <v/>
      </c>
      <c r="C1449" s="18" t="n"/>
      <c r="D1449" s="25">
        <f>IFERROR(IF(C1449="","",INDEX(직원명부!$B$5:$B$24,MATCH(C1449,직원명부!$A$5:$A$24,0))),"사번 확인")</f>
        <v/>
      </c>
      <c r="E1449" s="34" t="n"/>
      <c r="F1449" s="34" t="n"/>
      <c r="G1449" s="28" t="n"/>
      <c r="H1449" s="33">
        <f>IF(OR(E1449="",F1449=""),"",ROUND(MOD(F1449-E1449,1)*24-N(G1449),2))</f>
        <v/>
      </c>
      <c r="I1449" s="33">
        <f>IF(H1449="","",ROUND(MAX(0,H1449-8),2))</f>
        <v/>
      </c>
      <c r="J1449" s="33">
        <f>IF(OR(E1449="",F1449=""),"",ROUND(IF(MOD(F1449,1)&gt;=TIME(22,0,0),(MOD(F1449,1)-TIME(22,0,0))*24,IF(MOD(F1449,1)&lt;TIME(6,0,0),(MOD(F1449,1)+1-TIME(22,0,0))*24,0)),2))</f>
        <v/>
      </c>
      <c r="K1449" s="33">
        <f>IF(H1449="","",ROUND(IF(L1449="휴일근로",MIN(H1449,8)*1.5+MAX(0,H1449-8)*2,I1449*1.5)+N(J1449)*0.5,2))</f>
        <v/>
      </c>
      <c r="L1449" s="18" t="n"/>
      <c r="M1449" s="18" t="n"/>
      <c r="N1449" s="22" t="n"/>
    </row>
    <row r="1450">
      <c r="A1450" s="19" t="n"/>
      <c r="B1450" s="25">
        <f>IF(A1450="","",CHOOSE(WEEKDAY(A1450,2),"월","화","수","목","금","토","일"))</f>
        <v/>
      </c>
      <c r="C1450" s="18" t="n"/>
      <c r="D1450" s="25">
        <f>IFERROR(IF(C1450="","",INDEX(직원명부!$B$5:$B$24,MATCH(C1450,직원명부!$A$5:$A$24,0))),"사번 확인")</f>
        <v/>
      </c>
      <c r="E1450" s="34" t="n"/>
      <c r="F1450" s="34" t="n"/>
      <c r="G1450" s="28" t="n"/>
      <c r="H1450" s="33">
        <f>IF(OR(E1450="",F1450=""),"",ROUND(MOD(F1450-E1450,1)*24-N(G1450),2))</f>
        <v/>
      </c>
      <c r="I1450" s="33">
        <f>IF(H1450="","",ROUND(MAX(0,H1450-8),2))</f>
        <v/>
      </c>
      <c r="J1450" s="33">
        <f>IF(OR(E1450="",F1450=""),"",ROUND(IF(MOD(F1450,1)&gt;=TIME(22,0,0),(MOD(F1450,1)-TIME(22,0,0))*24,IF(MOD(F1450,1)&lt;TIME(6,0,0),(MOD(F1450,1)+1-TIME(22,0,0))*24,0)),2))</f>
        <v/>
      </c>
      <c r="K1450" s="33">
        <f>IF(H1450="","",ROUND(IF(L1450="휴일근로",MIN(H1450,8)*1.5+MAX(0,H1450-8)*2,I1450*1.5)+N(J1450)*0.5,2))</f>
        <v/>
      </c>
      <c r="L1450" s="18" t="n"/>
      <c r="M1450" s="18" t="n"/>
      <c r="N1450" s="22" t="n"/>
    </row>
    <row r="1451">
      <c r="A1451" s="19" t="n"/>
      <c r="B1451" s="25">
        <f>IF(A1451="","",CHOOSE(WEEKDAY(A1451,2),"월","화","수","목","금","토","일"))</f>
        <v/>
      </c>
      <c r="C1451" s="18" t="n"/>
      <c r="D1451" s="25">
        <f>IFERROR(IF(C1451="","",INDEX(직원명부!$B$5:$B$24,MATCH(C1451,직원명부!$A$5:$A$24,0))),"사번 확인")</f>
        <v/>
      </c>
      <c r="E1451" s="34" t="n"/>
      <c r="F1451" s="34" t="n"/>
      <c r="G1451" s="28" t="n"/>
      <c r="H1451" s="33">
        <f>IF(OR(E1451="",F1451=""),"",ROUND(MOD(F1451-E1451,1)*24-N(G1451),2))</f>
        <v/>
      </c>
      <c r="I1451" s="33">
        <f>IF(H1451="","",ROUND(MAX(0,H1451-8),2))</f>
        <v/>
      </c>
      <c r="J1451" s="33">
        <f>IF(OR(E1451="",F1451=""),"",ROUND(IF(MOD(F1451,1)&gt;=TIME(22,0,0),(MOD(F1451,1)-TIME(22,0,0))*24,IF(MOD(F1451,1)&lt;TIME(6,0,0),(MOD(F1451,1)+1-TIME(22,0,0))*24,0)),2))</f>
        <v/>
      </c>
      <c r="K1451" s="33">
        <f>IF(H1451="","",ROUND(IF(L1451="휴일근로",MIN(H1451,8)*1.5+MAX(0,H1451-8)*2,I1451*1.5)+N(J1451)*0.5,2))</f>
        <v/>
      </c>
      <c r="L1451" s="18" t="n"/>
      <c r="M1451" s="18" t="n"/>
      <c r="N1451" s="22" t="n"/>
    </row>
    <row r="1452">
      <c r="A1452" s="19" t="n"/>
      <c r="B1452" s="25">
        <f>IF(A1452="","",CHOOSE(WEEKDAY(A1452,2),"월","화","수","목","금","토","일"))</f>
        <v/>
      </c>
      <c r="C1452" s="18" t="n"/>
      <c r="D1452" s="25">
        <f>IFERROR(IF(C1452="","",INDEX(직원명부!$B$5:$B$24,MATCH(C1452,직원명부!$A$5:$A$24,0))),"사번 확인")</f>
        <v/>
      </c>
      <c r="E1452" s="34" t="n"/>
      <c r="F1452" s="34" t="n"/>
      <c r="G1452" s="28" t="n"/>
      <c r="H1452" s="33">
        <f>IF(OR(E1452="",F1452=""),"",ROUND(MOD(F1452-E1452,1)*24-N(G1452),2))</f>
        <v/>
      </c>
      <c r="I1452" s="33">
        <f>IF(H1452="","",ROUND(MAX(0,H1452-8),2))</f>
        <v/>
      </c>
      <c r="J1452" s="33">
        <f>IF(OR(E1452="",F1452=""),"",ROUND(IF(MOD(F1452,1)&gt;=TIME(22,0,0),(MOD(F1452,1)-TIME(22,0,0))*24,IF(MOD(F1452,1)&lt;TIME(6,0,0),(MOD(F1452,1)+1-TIME(22,0,0))*24,0)),2))</f>
        <v/>
      </c>
      <c r="K1452" s="33">
        <f>IF(H1452="","",ROUND(IF(L1452="휴일근로",MIN(H1452,8)*1.5+MAX(0,H1452-8)*2,I1452*1.5)+N(J1452)*0.5,2))</f>
        <v/>
      </c>
      <c r="L1452" s="18" t="n"/>
      <c r="M1452" s="18" t="n"/>
      <c r="N1452" s="22" t="n"/>
    </row>
    <row r="1453">
      <c r="A1453" s="19" t="n"/>
      <c r="B1453" s="25">
        <f>IF(A1453="","",CHOOSE(WEEKDAY(A1453,2),"월","화","수","목","금","토","일"))</f>
        <v/>
      </c>
      <c r="C1453" s="18" t="n"/>
      <c r="D1453" s="25">
        <f>IFERROR(IF(C1453="","",INDEX(직원명부!$B$5:$B$24,MATCH(C1453,직원명부!$A$5:$A$24,0))),"사번 확인")</f>
        <v/>
      </c>
      <c r="E1453" s="34" t="n"/>
      <c r="F1453" s="34" t="n"/>
      <c r="G1453" s="28" t="n"/>
      <c r="H1453" s="33">
        <f>IF(OR(E1453="",F1453=""),"",ROUND(MOD(F1453-E1453,1)*24-N(G1453),2))</f>
        <v/>
      </c>
      <c r="I1453" s="33">
        <f>IF(H1453="","",ROUND(MAX(0,H1453-8),2))</f>
        <v/>
      </c>
      <c r="J1453" s="33">
        <f>IF(OR(E1453="",F1453=""),"",ROUND(IF(MOD(F1453,1)&gt;=TIME(22,0,0),(MOD(F1453,1)-TIME(22,0,0))*24,IF(MOD(F1453,1)&lt;TIME(6,0,0),(MOD(F1453,1)+1-TIME(22,0,0))*24,0)),2))</f>
        <v/>
      </c>
      <c r="K1453" s="33">
        <f>IF(H1453="","",ROUND(IF(L1453="휴일근로",MIN(H1453,8)*1.5+MAX(0,H1453-8)*2,I1453*1.5)+N(J1453)*0.5,2))</f>
        <v/>
      </c>
      <c r="L1453" s="18" t="n"/>
      <c r="M1453" s="18" t="n"/>
      <c r="N1453" s="22" t="n"/>
    </row>
    <row r="1454">
      <c r="A1454" s="19" t="n"/>
      <c r="B1454" s="25">
        <f>IF(A1454="","",CHOOSE(WEEKDAY(A1454,2),"월","화","수","목","금","토","일"))</f>
        <v/>
      </c>
      <c r="C1454" s="18" t="n"/>
      <c r="D1454" s="25">
        <f>IFERROR(IF(C1454="","",INDEX(직원명부!$B$5:$B$24,MATCH(C1454,직원명부!$A$5:$A$24,0))),"사번 확인")</f>
        <v/>
      </c>
      <c r="E1454" s="34" t="n"/>
      <c r="F1454" s="34" t="n"/>
      <c r="G1454" s="28" t="n"/>
      <c r="H1454" s="33">
        <f>IF(OR(E1454="",F1454=""),"",ROUND(MOD(F1454-E1454,1)*24-N(G1454),2))</f>
        <v/>
      </c>
      <c r="I1454" s="33">
        <f>IF(H1454="","",ROUND(MAX(0,H1454-8),2))</f>
        <v/>
      </c>
      <c r="J1454" s="33">
        <f>IF(OR(E1454="",F1454=""),"",ROUND(IF(MOD(F1454,1)&gt;=TIME(22,0,0),(MOD(F1454,1)-TIME(22,0,0))*24,IF(MOD(F1454,1)&lt;TIME(6,0,0),(MOD(F1454,1)+1-TIME(22,0,0))*24,0)),2))</f>
        <v/>
      </c>
      <c r="K1454" s="33">
        <f>IF(H1454="","",ROUND(IF(L1454="휴일근로",MIN(H1454,8)*1.5+MAX(0,H1454-8)*2,I1454*1.5)+N(J1454)*0.5,2))</f>
        <v/>
      </c>
      <c r="L1454" s="18" t="n"/>
      <c r="M1454" s="18" t="n"/>
      <c r="N1454" s="22" t="n"/>
    </row>
    <row r="1455">
      <c r="A1455" s="19" t="n"/>
      <c r="B1455" s="25">
        <f>IF(A1455="","",CHOOSE(WEEKDAY(A1455,2),"월","화","수","목","금","토","일"))</f>
        <v/>
      </c>
      <c r="C1455" s="18" t="n"/>
      <c r="D1455" s="25">
        <f>IFERROR(IF(C1455="","",INDEX(직원명부!$B$5:$B$24,MATCH(C1455,직원명부!$A$5:$A$24,0))),"사번 확인")</f>
        <v/>
      </c>
      <c r="E1455" s="34" t="n"/>
      <c r="F1455" s="34" t="n"/>
      <c r="G1455" s="28" t="n"/>
      <c r="H1455" s="33">
        <f>IF(OR(E1455="",F1455=""),"",ROUND(MOD(F1455-E1455,1)*24-N(G1455),2))</f>
        <v/>
      </c>
      <c r="I1455" s="33">
        <f>IF(H1455="","",ROUND(MAX(0,H1455-8),2))</f>
        <v/>
      </c>
      <c r="J1455" s="33">
        <f>IF(OR(E1455="",F1455=""),"",ROUND(IF(MOD(F1455,1)&gt;=TIME(22,0,0),(MOD(F1455,1)-TIME(22,0,0))*24,IF(MOD(F1455,1)&lt;TIME(6,0,0),(MOD(F1455,1)+1-TIME(22,0,0))*24,0)),2))</f>
        <v/>
      </c>
      <c r="K1455" s="33">
        <f>IF(H1455="","",ROUND(IF(L1455="휴일근로",MIN(H1455,8)*1.5+MAX(0,H1455-8)*2,I1455*1.5)+N(J1455)*0.5,2))</f>
        <v/>
      </c>
      <c r="L1455" s="18" t="n"/>
      <c r="M1455" s="18" t="n"/>
      <c r="N1455" s="22" t="n"/>
    </row>
    <row r="1456">
      <c r="A1456" s="19" t="n"/>
      <c r="B1456" s="25">
        <f>IF(A1456="","",CHOOSE(WEEKDAY(A1456,2),"월","화","수","목","금","토","일"))</f>
        <v/>
      </c>
      <c r="C1456" s="18" t="n"/>
      <c r="D1456" s="25">
        <f>IFERROR(IF(C1456="","",INDEX(직원명부!$B$5:$B$24,MATCH(C1456,직원명부!$A$5:$A$24,0))),"사번 확인")</f>
        <v/>
      </c>
      <c r="E1456" s="34" t="n"/>
      <c r="F1456" s="34" t="n"/>
      <c r="G1456" s="28" t="n"/>
      <c r="H1456" s="33">
        <f>IF(OR(E1456="",F1456=""),"",ROUND(MOD(F1456-E1456,1)*24-N(G1456),2))</f>
        <v/>
      </c>
      <c r="I1456" s="33">
        <f>IF(H1456="","",ROUND(MAX(0,H1456-8),2))</f>
        <v/>
      </c>
      <c r="J1456" s="33">
        <f>IF(OR(E1456="",F1456=""),"",ROUND(IF(MOD(F1456,1)&gt;=TIME(22,0,0),(MOD(F1456,1)-TIME(22,0,0))*24,IF(MOD(F1456,1)&lt;TIME(6,0,0),(MOD(F1456,1)+1-TIME(22,0,0))*24,0)),2))</f>
        <v/>
      </c>
      <c r="K1456" s="33">
        <f>IF(H1456="","",ROUND(IF(L1456="휴일근로",MIN(H1456,8)*1.5+MAX(0,H1456-8)*2,I1456*1.5)+N(J1456)*0.5,2))</f>
        <v/>
      </c>
      <c r="L1456" s="18" t="n"/>
      <c r="M1456" s="18" t="n"/>
      <c r="N1456" s="22" t="n"/>
    </row>
    <row r="1457">
      <c r="A1457" s="19" t="n"/>
      <c r="B1457" s="25">
        <f>IF(A1457="","",CHOOSE(WEEKDAY(A1457,2),"월","화","수","목","금","토","일"))</f>
        <v/>
      </c>
      <c r="C1457" s="18" t="n"/>
      <c r="D1457" s="25">
        <f>IFERROR(IF(C1457="","",INDEX(직원명부!$B$5:$B$24,MATCH(C1457,직원명부!$A$5:$A$24,0))),"사번 확인")</f>
        <v/>
      </c>
      <c r="E1457" s="34" t="n"/>
      <c r="F1457" s="34" t="n"/>
      <c r="G1457" s="28" t="n"/>
      <c r="H1457" s="33">
        <f>IF(OR(E1457="",F1457=""),"",ROUND(MOD(F1457-E1457,1)*24-N(G1457),2))</f>
        <v/>
      </c>
      <c r="I1457" s="33">
        <f>IF(H1457="","",ROUND(MAX(0,H1457-8),2))</f>
        <v/>
      </c>
      <c r="J1457" s="33">
        <f>IF(OR(E1457="",F1457=""),"",ROUND(IF(MOD(F1457,1)&gt;=TIME(22,0,0),(MOD(F1457,1)-TIME(22,0,0))*24,IF(MOD(F1457,1)&lt;TIME(6,0,0),(MOD(F1457,1)+1-TIME(22,0,0))*24,0)),2))</f>
        <v/>
      </c>
      <c r="K1457" s="33">
        <f>IF(H1457="","",ROUND(IF(L1457="휴일근로",MIN(H1457,8)*1.5+MAX(0,H1457-8)*2,I1457*1.5)+N(J1457)*0.5,2))</f>
        <v/>
      </c>
      <c r="L1457" s="18" t="n"/>
      <c r="M1457" s="18" t="n"/>
      <c r="N1457" s="22" t="n"/>
    </row>
    <row r="1458">
      <c r="A1458" s="19" t="n"/>
      <c r="B1458" s="25">
        <f>IF(A1458="","",CHOOSE(WEEKDAY(A1458,2),"월","화","수","목","금","토","일"))</f>
        <v/>
      </c>
      <c r="C1458" s="18" t="n"/>
      <c r="D1458" s="25">
        <f>IFERROR(IF(C1458="","",INDEX(직원명부!$B$5:$B$24,MATCH(C1458,직원명부!$A$5:$A$24,0))),"사번 확인")</f>
        <v/>
      </c>
      <c r="E1458" s="34" t="n"/>
      <c r="F1458" s="34" t="n"/>
      <c r="G1458" s="28" t="n"/>
      <c r="H1458" s="33">
        <f>IF(OR(E1458="",F1458=""),"",ROUND(MOD(F1458-E1458,1)*24-N(G1458),2))</f>
        <v/>
      </c>
      <c r="I1458" s="33">
        <f>IF(H1458="","",ROUND(MAX(0,H1458-8),2))</f>
        <v/>
      </c>
      <c r="J1458" s="33">
        <f>IF(OR(E1458="",F1458=""),"",ROUND(IF(MOD(F1458,1)&gt;=TIME(22,0,0),(MOD(F1458,1)-TIME(22,0,0))*24,IF(MOD(F1458,1)&lt;TIME(6,0,0),(MOD(F1458,1)+1-TIME(22,0,0))*24,0)),2))</f>
        <v/>
      </c>
      <c r="K1458" s="33">
        <f>IF(H1458="","",ROUND(IF(L1458="휴일근로",MIN(H1458,8)*1.5+MAX(0,H1458-8)*2,I1458*1.5)+N(J1458)*0.5,2))</f>
        <v/>
      </c>
      <c r="L1458" s="18" t="n"/>
      <c r="M1458" s="18" t="n"/>
      <c r="N1458" s="22" t="n"/>
    </row>
    <row r="1459">
      <c r="A1459" s="19" t="n"/>
      <c r="B1459" s="25">
        <f>IF(A1459="","",CHOOSE(WEEKDAY(A1459,2),"월","화","수","목","금","토","일"))</f>
        <v/>
      </c>
      <c r="C1459" s="18" t="n"/>
      <c r="D1459" s="25">
        <f>IFERROR(IF(C1459="","",INDEX(직원명부!$B$5:$B$24,MATCH(C1459,직원명부!$A$5:$A$24,0))),"사번 확인")</f>
        <v/>
      </c>
      <c r="E1459" s="34" t="n"/>
      <c r="F1459" s="34" t="n"/>
      <c r="G1459" s="28" t="n"/>
      <c r="H1459" s="33">
        <f>IF(OR(E1459="",F1459=""),"",ROUND(MOD(F1459-E1459,1)*24-N(G1459),2))</f>
        <v/>
      </c>
      <c r="I1459" s="33">
        <f>IF(H1459="","",ROUND(MAX(0,H1459-8),2))</f>
        <v/>
      </c>
      <c r="J1459" s="33">
        <f>IF(OR(E1459="",F1459=""),"",ROUND(IF(MOD(F1459,1)&gt;=TIME(22,0,0),(MOD(F1459,1)-TIME(22,0,0))*24,IF(MOD(F1459,1)&lt;TIME(6,0,0),(MOD(F1459,1)+1-TIME(22,0,0))*24,0)),2))</f>
        <v/>
      </c>
      <c r="K1459" s="33">
        <f>IF(H1459="","",ROUND(IF(L1459="휴일근로",MIN(H1459,8)*1.5+MAX(0,H1459-8)*2,I1459*1.5)+N(J1459)*0.5,2))</f>
        <v/>
      </c>
      <c r="L1459" s="18" t="n"/>
      <c r="M1459" s="18" t="n"/>
      <c r="N1459" s="22" t="n"/>
    </row>
    <row r="1460">
      <c r="A1460" s="19" t="n"/>
      <c r="B1460" s="25">
        <f>IF(A1460="","",CHOOSE(WEEKDAY(A1460,2),"월","화","수","목","금","토","일"))</f>
        <v/>
      </c>
      <c r="C1460" s="18" t="n"/>
      <c r="D1460" s="25">
        <f>IFERROR(IF(C1460="","",INDEX(직원명부!$B$5:$B$24,MATCH(C1460,직원명부!$A$5:$A$24,0))),"사번 확인")</f>
        <v/>
      </c>
      <c r="E1460" s="34" t="n"/>
      <c r="F1460" s="34" t="n"/>
      <c r="G1460" s="28" t="n"/>
      <c r="H1460" s="33">
        <f>IF(OR(E1460="",F1460=""),"",ROUND(MOD(F1460-E1460,1)*24-N(G1460),2))</f>
        <v/>
      </c>
      <c r="I1460" s="33">
        <f>IF(H1460="","",ROUND(MAX(0,H1460-8),2))</f>
        <v/>
      </c>
      <c r="J1460" s="33">
        <f>IF(OR(E1460="",F1460=""),"",ROUND(IF(MOD(F1460,1)&gt;=TIME(22,0,0),(MOD(F1460,1)-TIME(22,0,0))*24,IF(MOD(F1460,1)&lt;TIME(6,0,0),(MOD(F1460,1)+1-TIME(22,0,0))*24,0)),2))</f>
        <v/>
      </c>
      <c r="K1460" s="33">
        <f>IF(H1460="","",ROUND(IF(L1460="휴일근로",MIN(H1460,8)*1.5+MAX(0,H1460-8)*2,I1460*1.5)+N(J1460)*0.5,2))</f>
        <v/>
      </c>
      <c r="L1460" s="18" t="n"/>
      <c r="M1460" s="18" t="n"/>
      <c r="N1460" s="22" t="n"/>
    </row>
    <row r="1461">
      <c r="A1461" s="19" t="n"/>
      <c r="B1461" s="25">
        <f>IF(A1461="","",CHOOSE(WEEKDAY(A1461,2),"월","화","수","목","금","토","일"))</f>
        <v/>
      </c>
      <c r="C1461" s="18" t="n"/>
      <c r="D1461" s="25">
        <f>IFERROR(IF(C1461="","",INDEX(직원명부!$B$5:$B$24,MATCH(C1461,직원명부!$A$5:$A$24,0))),"사번 확인")</f>
        <v/>
      </c>
      <c r="E1461" s="34" t="n"/>
      <c r="F1461" s="34" t="n"/>
      <c r="G1461" s="28" t="n"/>
      <c r="H1461" s="33">
        <f>IF(OR(E1461="",F1461=""),"",ROUND(MOD(F1461-E1461,1)*24-N(G1461),2))</f>
        <v/>
      </c>
      <c r="I1461" s="33">
        <f>IF(H1461="","",ROUND(MAX(0,H1461-8),2))</f>
        <v/>
      </c>
      <c r="J1461" s="33">
        <f>IF(OR(E1461="",F1461=""),"",ROUND(IF(MOD(F1461,1)&gt;=TIME(22,0,0),(MOD(F1461,1)-TIME(22,0,0))*24,IF(MOD(F1461,1)&lt;TIME(6,0,0),(MOD(F1461,1)+1-TIME(22,0,0))*24,0)),2))</f>
        <v/>
      </c>
      <c r="K1461" s="33">
        <f>IF(H1461="","",ROUND(IF(L1461="휴일근로",MIN(H1461,8)*1.5+MAX(0,H1461-8)*2,I1461*1.5)+N(J1461)*0.5,2))</f>
        <v/>
      </c>
      <c r="L1461" s="18" t="n"/>
      <c r="M1461" s="18" t="n"/>
      <c r="N1461" s="22" t="n"/>
    </row>
    <row r="1462">
      <c r="A1462" s="19" t="n"/>
      <c r="B1462" s="25">
        <f>IF(A1462="","",CHOOSE(WEEKDAY(A1462,2),"월","화","수","목","금","토","일"))</f>
        <v/>
      </c>
      <c r="C1462" s="18" t="n"/>
      <c r="D1462" s="25">
        <f>IFERROR(IF(C1462="","",INDEX(직원명부!$B$5:$B$24,MATCH(C1462,직원명부!$A$5:$A$24,0))),"사번 확인")</f>
        <v/>
      </c>
      <c r="E1462" s="34" t="n"/>
      <c r="F1462" s="34" t="n"/>
      <c r="G1462" s="28" t="n"/>
      <c r="H1462" s="33">
        <f>IF(OR(E1462="",F1462=""),"",ROUND(MOD(F1462-E1462,1)*24-N(G1462),2))</f>
        <v/>
      </c>
      <c r="I1462" s="33">
        <f>IF(H1462="","",ROUND(MAX(0,H1462-8),2))</f>
        <v/>
      </c>
      <c r="J1462" s="33">
        <f>IF(OR(E1462="",F1462=""),"",ROUND(IF(MOD(F1462,1)&gt;=TIME(22,0,0),(MOD(F1462,1)-TIME(22,0,0))*24,IF(MOD(F1462,1)&lt;TIME(6,0,0),(MOD(F1462,1)+1-TIME(22,0,0))*24,0)),2))</f>
        <v/>
      </c>
      <c r="K1462" s="33">
        <f>IF(H1462="","",ROUND(IF(L1462="휴일근로",MIN(H1462,8)*1.5+MAX(0,H1462-8)*2,I1462*1.5)+N(J1462)*0.5,2))</f>
        <v/>
      </c>
      <c r="L1462" s="18" t="n"/>
      <c r="M1462" s="18" t="n"/>
      <c r="N1462" s="22" t="n"/>
    </row>
    <row r="1463">
      <c r="A1463" s="19" t="n"/>
      <c r="B1463" s="25">
        <f>IF(A1463="","",CHOOSE(WEEKDAY(A1463,2),"월","화","수","목","금","토","일"))</f>
        <v/>
      </c>
      <c r="C1463" s="18" t="n"/>
      <c r="D1463" s="25">
        <f>IFERROR(IF(C1463="","",INDEX(직원명부!$B$5:$B$24,MATCH(C1463,직원명부!$A$5:$A$24,0))),"사번 확인")</f>
        <v/>
      </c>
      <c r="E1463" s="34" t="n"/>
      <c r="F1463" s="34" t="n"/>
      <c r="G1463" s="28" t="n"/>
      <c r="H1463" s="33">
        <f>IF(OR(E1463="",F1463=""),"",ROUND(MOD(F1463-E1463,1)*24-N(G1463),2))</f>
        <v/>
      </c>
      <c r="I1463" s="33">
        <f>IF(H1463="","",ROUND(MAX(0,H1463-8),2))</f>
        <v/>
      </c>
      <c r="J1463" s="33">
        <f>IF(OR(E1463="",F1463=""),"",ROUND(IF(MOD(F1463,1)&gt;=TIME(22,0,0),(MOD(F1463,1)-TIME(22,0,0))*24,IF(MOD(F1463,1)&lt;TIME(6,0,0),(MOD(F1463,1)+1-TIME(22,0,0))*24,0)),2))</f>
        <v/>
      </c>
      <c r="K1463" s="33">
        <f>IF(H1463="","",ROUND(IF(L1463="휴일근로",MIN(H1463,8)*1.5+MAX(0,H1463-8)*2,I1463*1.5)+N(J1463)*0.5,2))</f>
        <v/>
      </c>
      <c r="L1463" s="18" t="n"/>
      <c r="M1463" s="18" t="n"/>
      <c r="N1463" s="22" t="n"/>
    </row>
    <row r="1464">
      <c r="A1464" s="19" t="n"/>
      <c r="B1464" s="25">
        <f>IF(A1464="","",CHOOSE(WEEKDAY(A1464,2),"월","화","수","목","금","토","일"))</f>
        <v/>
      </c>
      <c r="C1464" s="18" t="n"/>
      <c r="D1464" s="25">
        <f>IFERROR(IF(C1464="","",INDEX(직원명부!$B$5:$B$24,MATCH(C1464,직원명부!$A$5:$A$24,0))),"사번 확인")</f>
        <v/>
      </c>
      <c r="E1464" s="34" t="n"/>
      <c r="F1464" s="34" t="n"/>
      <c r="G1464" s="28" t="n"/>
      <c r="H1464" s="33">
        <f>IF(OR(E1464="",F1464=""),"",ROUND(MOD(F1464-E1464,1)*24-N(G1464),2))</f>
        <v/>
      </c>
      <c r="I1464" s="33">
        <f>IF(H1464="","",ROUND(MAX(0,H1464-8),2))</f>
        <v/>
      </c>
      <c r="J1464" s="33">
        <f>IF(OR(E1464="",F1464=""),"",ROUND(IF(MOD(F1464,1)&gt;=TIME(22,0,0),(MOD(F1464,1)-TIME(22,0,0))*24,IF(MOD(F1464,1)&lt;TIME(6,0,0),(MOD(F1464,1)+1-TIME(22,0,0))*24,0)),2))</f>
        <v/>
      </c>
      <c r="K1464" s="33">
        <f>IF(H1464="","",ROUND(IF(L1464="휴일근로",MIN(H1464,8)*1.5+MAX(0,H1464-8)*2,I1464*1.5)+N(J1464)*0.5,2))</f>
        <v/>
      </c>
      <c r="L1464" s="18" t="n"/>
      <c r="M1464" s="18" t="n"/>
      <c r="N1464" s="22" t="n"/>
    </row>
    <row r="1465">
      <c r="A1465" s="19" t="n"/>
      <c r="B1465" s="25">
        <f>IF(A1465="","",CHOOSE(WEEKDAY(A1465,2),"월","화","수","목","금","토","일"))</f>
        <v/>
      </c>
      <c r="C1465" s="18" t="n"/>
      <c r="D1465" s="25">
        <f>IFERROR(IF(C1465="","",INDEX(직원명부!$B$5:$B$24,MATCH(C1465,직원명부!$A$5:$A$24,0))),"사번 확인")</f>
        <v/>
      </c>
      <c r="E1465" s="34" t="n"/>
      <c r="F1465" s="34" t="n"/>
      <c r="G1465" s="28" t="n"/>
      <c r="H1465" s="33">
        <f>IF(OR(E1465="",F1465=""),"",ROUND(MOD(F1465-E1465,1)*24-N(G1465),2))</f>
        <v/>
      </c>
      <c r="I1465" s="33">
        <f>IF(H1465="","",ROUND(MAX(0,H1465-8),2))</f>
        <v/>
      </c>
      <c r="J1465" s="33">
        <f>IF(OR(E1465="",F1465=""),"",ROUND(IF(MOD(F1465,1)&gt;=TIME(22,0,0),(MOD(F1465,1)-TIME(22,0,0))*24,IF(MOD(F1465,1)&lt;TIME(6,0,0),(MOD(F1465,1)+1-TIME(22,0,0))*24,0)),2))</f>
        <v/>
      </c>
      <c r="K1465" s="33">
        <f>IF(H1465="","",ROUND(IF(L1465="휴일근로",MIN(H1465,8)*1.5+MAX(0,H1465-8)*2,I1465*1.5)+N(J1465)*0.5,2))</f>
        <v/>
      </c>
      <c r="L1465" s="18" t="n"/>
      <c r="M1465" s="18" t="n"/>
      <c r="N1465" s="22" t="n"/>
    </row>
    <row r="1466">
      <c r="A1466" s="19" t="n"/>
      <c r="B1466" s="25">
        <f>IF(A1466="","",CHOOSE(WEEKDAY(A1466,2),"월","화","수","목","금","토","일"))</f>
        <v/>
      </c>
      <c r="C1466" s="18" t="n"/>
      <c r="D1466" s="25">
        <f>IFERROR(IF(C1466="","",INDEX(직원명부!$B$5:$B$24,MATCH(C1466,직원명부!$A$5:$A$24,0))),"사번 확인")</f>
        <v/>
      </c>
      <c r="E1466" s="34" t="n"/>
      <c r="F1466" s="34" t="n"/>
      <c r="G1466" s="28" t="n"/>
      <c r="H1466" s="33">
        <f>IF(OR(E1466="",F1466=""),"",ROUND(MOD(F1466-E1466,1)*24-N(G1466),2))</f>
        <v/>
      </c>
      <c r="I1466" s="33">
        <f>IF(H1466="","",ROUND(MAX(0,H1466-8),2))</f>
        <v/>
      </c>
      <c r="J1466" s="33">
        <f>IF(OR(E1466="",F1466=""),"",ROUND(IF(MOD(F1466,1)&gt;=TIME(22,0,0),(MOD(F1466,1)-TIME(22,0,0))*24,IF(MOD(F1466,1)&lt;TIME(6,0,0),(MOD(F1466,1)+1-TIME(22,0,0))*24,0)),2))</f>
        <v/>
      </c>
      <c r="K1466" s="33">
        <f>IF(H1466="","",ROUND(IF(L1466="휴일근로",MIN(H1466,8)*1.5+MAX(0,H1466-8)*2,I1466*1.5)+N(J1466)*0.5,2))</f>
        <v/>
      </c>
      <c r="L1466" s="18" t="n"/>
      <c r="M1466" s="18" t="n"/>
      <c r="N1466" s="22" t="n"/>
    </row>
    <row r="1467">
      <c r="A1467" s="19" t="n"/>
      <c r="B1467" s="25">
        <f>IF(A1467="","",CHOOSE(WEEKDAY(A1467,2),"월","화","수","목","금","토","일"))</f>
        <v/>
      </c>
      <c r="C1467" s="18" t="n"/>
      <c r="D1467" s="25">
        <f>IFERROR(IF(C1467="","",INDEX(직원명부!$B$5:$B$24,MATCH(C1467,직원명부!$A$5:$A$24,0))),"사번 확인")</f>
        <v/>
      </c>
      <c r="E1467" s="34" t="n"/>
      <c r="F1467" s="34" t="n"/>
      <c r="G1467" s="28" t="n"/>
      <c r="H1467" s="33">
        <f>IF(OR(E1467="",F1467=""),"",ROUND(MOD(F1467-E1467,1)*24-N(G1467),2))</f>
        <v/>
      </c>
      <c r="I1467" s="33">
        <f>IF(H1467="","",ROUND(MAX(0,H1467-8),2))</f>
        <v/>
      </c>
      <c r="J1467" s="33">
        <f>IF(OR(E1467="",F1467=""),"",ROUND(IF(MOD(F1467,1)&gt;=TIME(22,0,0),(MOD(F1467,1)-TIME(22,0,0))*24,IF(MOD(F1467,1)&lt;TIME(6,0,0),(MOD(F1467,1)+1-TIME(22,0,0))*24,0)),2))</f>
        <v/>
      </c>
      <c r="K1467" s="33">
        <f>IF(H1467="","",ROUND(IF(L1467="휴일근로",MIN(H1467,8)*1.5+MAX(0,H1467-8)*2,I1467*1.5)+N(J1467)*0.5,2))</f>
        <v/>
      </c>
      <c r="L1467" s="18" t="n"/>
      <c r="M1467" s="18" t="n"/>
      <c r="N1467" s="22" t="n"/>
    </row>
    <row r="1468">
      <c r="A1468" s="19" t="n"/>
      <c r="B1468" s="25">
        <f>IF(A1468="","",CHOOSE(WEEKDAY(A1468,2),"월","화","수","목","금","토","일"))</f>
        <v/>
      </c>
      <c r="C1468" s="18" t="n"/>
      <c r="D1468" s="25">
        <f>IFERROR(IF(C1468="","",INDEX(직원명부!$B$5:$B$24,MATCH(C1468,직원명부!$A$5:$A$24,0))),"사번 확인")</f>
        <v/>
      </c>
      <c r="E1468" s="34" t="n"/>
      <c r="F1468" s="34" t="n"/>
      <c r="G1468" s="28" t="n"/>
      <c r="H1468" s="33">
        <f>IF(OR(E1468="",F1468=""),"",ROUND(MOD(F1468-E1468,1)*24-N(G1468),2))</f>
        <v/>
      </c>
      <c r="I1468" s="33">
        <f>IF(H1468="","",ROUND(MAX(0,H1468-8),2))</f>
        <v/>
      </c>
      <c r="J1468" s="33">
        <f>IF(OR(E1468="",F1468=""),"",ROUND(IF(MOD(F1468,1)&gt;=TIME(22,0,0),(MOD(F1468,1)-TIME(22,0,0))*24,IF(MOD(F1468,1)&lt;TIME(6,0,0),(MOD(F1468,1)+1-TIME(22,0,0))*24,0)),2))</f>
        <v/>
      </c>
      <c r="K1468" s="33">
        <f>IF(H1468="","",ROUND(IF(L1468="휴일근로",MIN(H1468,8)*1.5+MAX(0,H1468-8)*2,I1468*1.5)+N(J1468)*0.5,2))</f>
        <v/>
      </c>
      <c r="L1468" s="18" t="n"/>
      <c r="M1468" s="18" t="n"/>
      <c r="N1468" s="22" t="n"/>
    </row>
    <row r="1469">
      <c r="A1469" s="19" t="n"/>
      <c r="B1469" s="25">
        <f>IF(A1469="","",CHOOSE(WEEKDAY(A1469,2),"월","화","수","목","금","토","일"))</f>
        <v/>
      </c>
      <c r="C1469" s="18" t="n"/>
      <c r="D1469" s="25">
        <f>IFERROR(IF(C1469="","",INDEX(직원명부!$B$5:$B$24,MATCH(C1469,직원명부!$A$5:$A$24,0))),"사번 확인")</f>
        <v/>
      </c>
      <c r="E1469" s="34" t="n"/>
      <c r="F1469" s="34" t="n"/>
      <c r="G1469" s="28" t="n"/>
      <c r="H1469" s="33">
        <f>IF(OR(E1469="",F1469=""),"",ROUND(MOD(F1469-E1469,1)*24-N(G1469),2))</f>
        <v/>
      </c>
      <c r="I1469" s="33">
        <f>IF(H1469="","",ROUND(MAX(0,H1469-8),2))</f>
        <v/>
      </c>
      <c r="J1469" s="33">
        <f>IF(OR(E1469="",F1469=""),"",ROUND(IF(MOD(F1469,1)&gt;=TIME(22,0,0),(MOD(F1469,1)-TIME(22,0,0))*24,IF(MOD(F1469,1)&lt;TIME(6,0,0),(MOD(F1469,1)+1-TIME(22,0,0))*24,0)),2))</f>
        <v/>
      </c>
      <c r="K1469" s="33">
        <f>IF(H1469="","",ROUND(IF(L1469="휴일근로",MIN(H1469,8)*1.5+MAX(0,H1469-8)*2,I1469*1.5)+N(J1469)*0.5,2))</f>
        <v/>
      </c>
      <c r="L1469" s="18" t="n"/>
      <c r="M1469" s="18" t="n"/>
      <c r="N1469" s="22" t="n"/>
    </row>
    <row r="1470">
      <c r="A1470" s="19" t="n"/>
      <c r="B1470" s="25">
        <f>IF(A1470="","",CHOOSE(WEEKDAY(A1470,2),"월","화","수","목","금","토","일"))</f>
        <v/>
      </c>
      <c r="C1470" s="18" t="n"/>
      <c r="D1470" s="25">
        <f>IFERROR(IF(C1470="","",INDEX(직원명부!$B$5:$B$24,MATCH(C1470,직원명부!$A$5:$A$24,0))),"사번 확인")</f>
        <v/>
      </c>
      <c r="E1470" s="34" t="n"/>
      <c r="F1470" s="34" t="n"/>
      <c r="G1470" s="28" t="n"/>
      <c r="H1470" s="33">
        <f>IF(OR(E1470="",F1470=""),"",ROUND(MOD(F1470-E1470,1)*24-N(G1470),2))</f>
        <v/>
      </c>
      <c r="I1470" s="33">
        <f>IF(H1470="","",ROUND(MAX(0,H1470-8),2))</f>
        <v/>
      </c>
      <c r="J1470" s="33">
        <f>IF(OR(E1470="",F1470=""),"",ROUND(IF(MOD(F1470,1)&gt;=TIME(22,0,0),(MOD(F1470,1)-TIME(22,0,0))*24,IF(MOD(F1470,1)&lt;TIME(6,0,0),(MOD(F1470,1)+1-TIME(22,0,0))*24,0)),2))</f>
        <v/>
      </c>
      <c r="K1470" s="33">
        <f>IF(H1470="","",ROUND(IF(L1470="휴일근로",MIN(H1470,8)*1.5+MAX(0,H1470-8)*2,I1470*1.5)+N(J1470)*0.5,2))</f>
        <v/>
      </c>
      <c r="L1470" s="18" t="n"/>
      <c r="M1470" s="18" t="n"/>
      <c r="N1470" s="22" t="n"/>
    </row>
    <row r="1471">
      <c r="A1471" s="19" t="n"/>
      <c r="B1471" s="25">
        <f>IF(A1471="","",CHOOSE(WEEKDAY(A1471,2),"월","화","수","목","금","토","일"))</f>
        <v/>
      </c>
      <c r="C1471" s="18" t="n"/>
      <c r="D1471" s="25">
        <f>IFERROR(IF(C1471="","",INDEX(직원명부!$B$5:$B$24,MATCH(C1471,직원명부!$A$5:$A$24,0))),"사번 확인")</f>
        <v/>
      </c>
      <c r="E1471" s="34" t="n"/>
      <c r="F1471" s="34" t="n"/>
      <c r="G1471" s="28" t="n"/>
      <c r="H1471" s="33">
        <f>IF(OR(E1471="",F1471=""),"",ROUND(MOD(F1471-E1471,1)*24-N(G1471),2))</f>
        <v/>
      </c>
      <c r="I1471" s="33">
        <f>IF(H1471="","",ROUND(MAX(0,H1471-8),2))</f>
        <v/>
      </c>
      <c r="J1471" s="33">
        <f>IF(OR(E1471="",F1471=""),"",ROUND(IF(MOD(F1471,1)&gt;=TIME(22,0,0),(MOD(F1471,1)-TIME(22,0,0))*24,IF(MOD(F1471,1)&lt;TIME(6,0,0),(MOD(F1471,1)+1-TIME(22,0,0))*24,0)),2))</f>
        <v/>
      </c>
      <c r="K1471" s="33">
        <f>IF(H1471="","",ROUND(IF(L1471="휴일근로",MIN(H1471,8)*1.5+MAX(0,H1471-8)*2,I1471*1.5)+N(J1471)*0.5,2))</f>
        <v/>
      </c>
      <c r="L1471" s="18" t="n"/>
      <c r="M1471" s="18" t="n"/>
      <c r="N1471" s="22" t="n"/>
    </row>
    <row r="1472">
      <c r="A1472" s="19" t="n"/>
      <c r="B1472" s="25">
        <f>IF(A1472="","",CHOOSE(WEEKDAY(A1472,2),"월","화","수","목","금","토","일"))</f>
        <v/>
      </c>
      <c r="C1472" s="18" t="n"/>
      <c r="D1472" s="25">
        <f>IFERROR(IF(C1472="","",INDEX(직원명부!$B$5:$B$24,MATCH(C1472,직원명부!$A$5:$A$24,0))),"사번 확인")</f>
        <v/>
      </c>
      <c r="E1472" s="34" t="n"/>
      <c r="F1472" s="34" t="n"/>
      <c r="G1472" s="28" t="n"/>
      <c r="H1472" s="33">
        <f>IF(OR(E1472="",F1472=""),"",ROUND(MOD(F1472-E1472,1)*24-N(G1472),2))</f>
        <v/>
      </c>
      <c r="I1472" s="33">
        <f>IF(H1472="","",ROUND(MAX(0,H1472-8),2))</f>
        <v/>
      </c>
      <c r="J1472" s="33">
        <f>IF(OR(E1472="",F1472=""),"",ROUND(IF(MOD(F1472,1)&gt;=TIME(22,0,0),(MOD(F1472,1)-TIME(22,0,0))*24,IF(MOD(F1472,1)&lt;TIME(6,0,0),(MOD(F1472,1)+1-TIME(22,0,0))*24,0)),2))</f>
        <v/>
      </c>
      <c r="K1472" s="33">
        <f>IF(H1472="","",ROUND(IF(L1472="휴일근로",MIN(H1472,8)*1.5+MAX(0,H1472-8)*2,I1472*1.5)+N(J1472)*0.5,2))</f>
        <v/>
      </c>
      <c r="L1472" s="18" t="n"/>
      <c r="M1472" s="18" t="n"/>
      <c r="N1472" s="22" t="n"/>
    </row>
    <row r="1473">
      <c r="A1473" s="19" t="n"/>
      <c r="B1473" s="25">
        <f>IF(A1473="","",CHOOSE(WEEKDAY(A1473,2),"월","화","수","목","금","토","일"))</f>
        <v/>
      </c>
      <c r="C1473" s="18" t="n"/>
      <c r="D1473" s="25">
        <f>IFERROR(IF(C1473="","",INDEX(직원명부!$B$5:$B$24,MATCH(C1473,직원명부!$A$5:$A$24,0))),"사번 확인")</f>
        <v/>
      </c>
      <c r="E1473" s="34" t="n"/>
      <c r="F1473" s="34" t="n"/>
      <c r="G1473" s="28" t="n"/>
      <c r="H1473" s="33">
        <f>IF(OR(E1473="",F1473=""),"",ROUND(MOD(F1473-E1473,1)*24-N(G1473),2))</f>
        <v/>
      </c>
      <c r="I1473" s="33">
        <f>IF(H1473="","",ROUND(MAX(0,H1473-8),2))</f>
        <v/>
      </c>
      <c r="J1473" s="33">
        <f>IF(OR(E1473="",F1473=""),"",ROUND(IF(MOD(F1473,1)&gt;=TIME(22,0,0),(MOD(F1473,1)-TIME(22,0,0))*24,IF(MOD(F1473,1)&lt;TIME(6,0,0),(MOD(F1473,1)+1-TIME(22,0,0))*24,0)),2))</f>
        <v/>
      </c>
      <c r="K1473" s="33">
        <f>IF(H1473="","",ROUND(IF(L1473="휴일근로",MIN(H1473,8)*1.5+MAX(0,H1473-8)*2,I1473*1.5)+N(J1473)*0.5,2))</f>
        <v/>
      </c>
      <c r="L1473" s="18" t="n"/>
      <c r="M1473" s="18" t="n"/>
      <c r="N1473" s="22" t="n"/>
    </row>
    <row r="1474">
      <c r="A1474" s="19" t="n"/>
      <c r="B1474" s="25">
        <f>IF(A1474="","",CHOOSE(WEEKDAY(A1474,2),"월","화","수","목","금","토","일"))</f>
        <v/>
      </c>
      <c r="C1474" s="18" t="n"/>
      <c r="D1474" s="25">
        <f>IFERROR(IF(C1474="","",INDEX(직원명부!$B$5:$B$24,MATCH(C1474,직원명부!$A$5:$A$24,0))),"사번 확인")</f>
        <v/>
      </c>
      <c r="E1474" s="34" t="n"/>
      <c r="F1474" s="34" t="n"/>
      <c r="G1474" s="28" t="n"/>
      <c r="H1474" s="33">
        <f>IF(OR(E1474="",F1474=""),"",ROUND(MOD(F1474-E1474,1)*24-N(G1474),2))</f>
        <v/>
      </c>
      <c r="I1474" s="33">
        <f>IF(H1474="","",ROUND(MAX(0,H1474-8),2))</f>
        <v/>
      </c>
      <c r="J1474" s="33">
        <f>IF(OR(E1474="",F1474=""),"",ROUND(IF(MOD(F1474,1)&gt;=TIME(22,0,0),(MOD(F1474,1)-TIME(22,0,0))*24,IF(MOD(F1474,1)&lt;TIME(6,0,0),(MOD(F1474,1)+1-TIME(22,0,0))*24,0)),2))</f>
        <v/>
      </c>
      <c r="K1474" s="33">
        <f>IF(H1474="","",ROUND(IF(L1474="휴일근로",MIN(H1474,8)*1.5+MAX(0,H1474-8)*2,I1474*1.5)+N(J1474)*0.5,2))</f>
        <v/>
      </c>
      <c r="L1474" s="18" t="n"/>
      <c r="M1474" s="18" t="n"/>
      <c r="N1474" s="22" t="n"/>
    </row>
    <row r="1475">
      <c r="A1475" s="19" t="n"/>
      <c r="B1475" s="25">
        <f>IF(A1475="","",CHOOSE(WEEKDAY(A1475,2),"월","화","수","목","금","토","일"))</f>
        <v/>
      </c>
      <c r="C1475" s="18" t="n"/>
      <c r="D1475" s="25">
        <f>IFERROR(IF(C1475="","",INDEX(직원명부!$B$5:$B$24,MATCH(C1475,직원명부!$A$5:$A$24,0))),"사번 확인")</f>
        <v/>
      </c>
      <c r="E1475" s="34" t="n"/>
      <c r="F1475" s="34" t="n"/>
      <c r="G1475" s="28" t="n"/>
      <c r="H1475" s="33">
        <f>IF(OR(E1475="",F1475=""),"",ROUND(MOD(F1475-E1475,1)*24-N(G1475),2))</f>
        <v/>
      </c>
      <c r="I1475" s="33">
        <f>IF(H1475="","",ROUND(MAX(0,H1475-8),2))</f>
        <v/>
      </c>
      <c r="J1475" s="33">
        <f>IF(OR(E1475="",F1475=""),"",ROUND(IF(MOD(F1475,1)&gt;=TIME(22,0,0),(MOD(F1475,1)-TIME(22,0,0))*24,IF(MOD(F1475,1)&lt;TIME(6,0,0),(MOD(F1475,1)+1-TIME(22,0,0))*24,0)),2))</f>
        <v/>
      </c>
      <c r="K1475" s="33">
        <f>IF(H1475="","",ROUND(IF(L1475="휴일근로",MIN(H1475,8)*1.5+MAX(0,H1475-8)*2,I1475*1.5)+N(J1475)*0.5,2))</f>
        <v/>
      </c>
      <c r="L1475" s="18" t="n"/>
      <c r="M1475" s="18" t="n"/>
      <c r="N1475" s="22" t="n"/>
    </row>
    <row r="1476">
      <c r="A1476" s="19" t="n"/>
      <c r="B1476" s="25">
        <f>IF(A1476="","",CHOOSE(WEEKDAY(A1476,2),"월","화","수","목","금","토","일"))</f>
        <v/>
      </c>
      <c r="C1476" s="18" t="n"/>
      <c r="D1476" s="25">
        <f>IFERROR(IF(C1476="","",INDEX(직원명부!$B$5:$B$24,MATCH(C1476,직원명부!$A$5:$A$24,0))),"사번 확인")</f>
        <v/>
      </c>
      <c r="E1476" s="34" t="n"/>
      <c r="F1476" s="34" t="n"/>
      <c r="G1476" s="28" t="n"/>
      <c r="H1476" s="33">
        <f>IF(OR(E1476="",F1476=""),"",ROUND(MOD(F1476-E1476,1)*24-N(G1476),2))</f>
        <v/>
      </c>
      <c r="I1476" s="33">
        <f>IF(H1476="","",ROUND(MAX(0,H1476-8),2))</f>
        <v/>
      </c>
      <c r="J1476" s="33">
        <f>IF(OR(E1476="",F1476=""),"",ROUND(IF(MOD(F1476,1)&gt;=TIME(22,0,0),(MOD(F1476,1)-TIME(22,0,0))*24,IF(MOD(F1476,1)&lt;TIME(6,0,0),(MOD(F1476,1)+1-TIME(22,0,0))*24,0)),2))</f>
        <v/>
      </c>
      <c r="K1476" s="33">
        <f>IF(H1476="","",ROUND(IF(L1476="휴일근로",MIN(H1476,8)*1.5+MAX(0,H1476-8)*2,I1476*1.5)+N(J1476)*0.5,2))</f>
        <v/>
      </c>
      <c r="L1476" s="18" t="n"/>
      <c r="M1476" s="18" t="n"/>
      <c r="N1476" s="22" t="n"/>
    </row>
    <row r="1477">
      <c r="A1477" s="19" t="n"/>
      <c r="B1477" s="25">
        <f>IF(A1477="","",CHOOSE(WEEKDAY(A1477,2),"월","화","수","목","금","토","일"))</f>
        <v/>
      </c>
      <c r="C1477" s="18" t="n"/>
      <c r="D1477" s="25">
        <f>IFERROR(IF(C1477="","",INDEX(직원명부!$B$5:$B$24,MATCH(C1477,직원명부!$A$5:$A$24,0))),"사번 확인")</f>
        <v/>
      </c>
      <c r="E1477" s="34" t="n"/>
      <c r="F1477" s="34" t="n"/>
      <c r="G1477" s="28" t="n"/>
      <c r="H1477" s="33">
        <f>IF(OR(E1477="",F1477=""),"",ROUND(MOD(F1477-E1477,1)*24-N(G1477),2))</f>
        <v/>
      </c>
      <c r="I1477" s="33">
        <f>IF(H1477="","",ROUND(MAX(0,H1477-8),2))</f>
        <v/>
      </c>
      <c r="J1477" s="33">
        <f>IF(OR(E1477="",F1477=""),"",ROUND(IF(MOD(F1477,1)&gt;=TIME(22,0,0),(MOD(F1477,1)-TIME(22,0,0))*24,IF(MOD(F1477,1)&lt;TIME(6,0,0),(MOD(F1477,1)+1-TIME(22,0,0))*24,0)),2))</f>
        <v/>
      </c>
      <c r="K1477" s="33">
        <f>IF(H1477="","",ROUND(IF(L1477="휴일근로",MIN(H1477,8)*1.5+MAX(0,H1477-8)*2,I1477*1.5)+N(J1477)*0.5,2))</f>
        <v/>
      </c>
      <c r="L1477" s="18" t="n"/>
      <c r="M1477" s="18" t="n"/>
      <c r="N1477" s="22" t="n"/>
    </row>
    <row r="1478">
      <c r="A1478" s="19" t="n"/>
      <c r="B1478" s="25">
        <f>IF(A1478="","",CHOOSE(WEEKDAY(A1478,2),"월","화","수","목","금","토","일"))</f>
        <v/>
      </c>
      <c r="C1478" s="18" t="n"/>
      <c r="D1478" s="25">
        <f>IFERROR(IF(C1478="","",INDEX(직원명부!$B$5:$B$24,MATCH(C1478,직원명부!$A$5:$A$24,0))),"사번 확인")</f>
        <v/>
      </c>
      <c r="E1478" s="34" t="n"/>
      <c r="F1478" s="34" t="n"/>
      <c r="G1478" s="28" t="n"/>
      <c r="H1478" s="33">
        <f>IF(OR(E1478="",F1478=""),"",ROUND(MOD(F1478-E1478,1)*24-N(G1478),2))</f>
        <v/>
      </c>
      <c r="I1478" s="33">
        <f>IF(H1478="","",ROUND(MAX(0,H1478-8),2))</f>
        <v/>
      </c>
      <c r="J1478" s="33">
        <f>IF(OR(E1478="",F1478=""),"",ROUND(IF(MOD(F1478,1)&gt;=TIME(22,0,0),(MOD(F1478,1)-TIME(22,0,0))*24,IF(MOD(F1478,1)&lt;TIME(6,0,0),(MOD(F1478,1)+1-TIME(22,0,0))*24,0)),2))</f>
        <v/>
      </c>
      <c r="K1478" s="33">
        <f>IF(H1478="","",ROUND(IF(L1478="휴일근로",MIN(H1478,8)*1.5+MAX(0,H1478-8)*2,I1478*1.5)+N(J1478)*0.5,2))</f>
        <v/>
      </c>
      <c r="L1478" s="18" t="n"/>
      <c r="M1478" s="18" t="n"/>
      <c r="N1478" s="22" t="n"/>
    </row>
    <row r="1479">
      <c r="A1479" s="19" t="n"/>
      <c r="B1479" s="25">
        <f>IF(A1479="","",CHOOSE(WEEKDAY(A1479,2),"월","화","수","목","금","토","일"))</f>
        <v/>
      </c>
      <c r="C1479" s="18" t="n"/>
      <c r="D1479" s="25">
        <f>IFERROR(IF(C1479="","",INDEX(직원명부!$B$5:$B$24,MATCH(C1479,직원명부!$A$5:$A$24,0))),"사번 확인")</f>
        <v/>
      </c>
      <c r="E1479" s="34" t="n"/>
      <c r="F1479" s="34" t="n"/>
      <c r="G1479" s="28" t="n"/>
      <c r="H1479" s="33">
        <f>IF(OR(E1479="",F1479=""),"",ROUND(MOD(F1479-E1479,1)*24-N(G1479),2))</f>
        <v/>
      </c>
      <c r="I1479" s="33">
        <f>IF(H1479="","",ROUND(MAX(0,H1479-8),2))</f>
        <v/>
      </c>
      <c r="J1479" s="33">
        <f>IF(OR(E1479="",F1479=""),"",ROUND(IF(MOD(F1479,1)&gt;=TIME(22,0,0),(MOD(F1479,1)-TIME(22,0,0))*24,IF(MOD(F1479,1)&lt;TIME(6,0,0),(MOD(F1479,1)+1-TIME(22,0,0))*24,0)),2))</f>
        <v/>
      </c>
      <c r="K1479" s="33">
        <f>IF(H1479="","",ROUND(IF(L1479="휴일근로",MIN(H1479,8)*1.5+MAX(0,H1479-8)*2,I1479*1.5)+N(J1479)*0.5,2))</f>
        <v/>
      </c>
      <c r="L1479" s="18" t="n"/>
      <c r="M1479" s="18" t="n"/>
      <c r="N1479" s="22" t="n"/>
    </row>
    <row r="1480">
      <c r="A1480" s="19" t="n"/>
      <c r="B1480" s="25">
        <f>IF(A1480="","",CHOOSE(WEEKDAY(A1480,2),"월","화","수","목","금","토","일"))</f>
        <v/>
      </c>
      <c r="C1480" s="18" t="n"/>
      <c r="D1480" s="25">
        <f>IFERROR(IF(C1480="","",INDEX(직원명부!$B$5:$B$24,MATCH(C1480,직원명부!$A$5:$A$24,0))),"사번 확인")</f>
        <v/>
      </c>
      <c r="E1480" s="34" t="n"/>
      <c r="F1480" s="34" t="n"/>
      <c r="G1480" s="28" t="n"/>
      <c r="H1480" s="33">
        <f>IF(OR(E1480="",F1480=""),"",ROUND(MOD(F1480-E1480,1)*24-N(G1480),2))</f>
        <v/>
      </c>
      <c r="I1480" s="33">
        <f>IF(H1480="","",ROUND(MAX(0,H1480-8),2))</f>
        <v/>
      </c>
      <c r="J1480" s="33">
        <f>IF(OR(E1480="",F1480=""),"",ROUND(IF(MOD(F1480,1)&gt;=TIME(22,0,0),(MOD(F1480,1)-TIME(22,0,0))*24,IF(MOD(F1480,1)&lt;TIME(6,0,0),(MOD(F1480,1)+1-TIME(22,0,0))*24,0)),2))</f>
        <v/>
      </c>
      <c r="K1480" s="33">
        <f>IF(H1480="","",ROUND(IF(L1480="휴일근로",MIN(H1480,8)*1.5+MAX(0,H1480-8)*2,I1480*1.5)+N(J1480)*0.5,2))</f>
        <v/>
      </c>
      <c r="L1480" s="18" t="n"/>
      <c r="M1480" s="18" t="n"/>
      <c r="N1480" s="22" t="n"/>
    </row>
    <row r="1481">
      <c r="A1481" s="19" t="n"/>
      <c r="B1481" s="25">
        <f>IF(A1481="","",CHOOSE(WEEKDAY(A1481,2),"월","화","수","목","금","토","일"))</f>
        <v/>
      </c>
      <c r="C1481" s="18" t="n"/>
      <c r="D1481" s="25">
        <f>IFERROR(IF(C1481="","",INDEX(직원명부!$B$5:$B$24,MATCH(C1481,직원명부!$A$5:$A$24,0))),"사번 확인")</f>
        <v/>
      </c>
      <c r="E1481" s="34" t="n"/>
      <c r="F1481" s="34" t="n"/>
      <c r="G1481" s="28" t="n"/>
      <c r="H1481" s="33">
        <f>IF(OR(E1481="",F1481=""),"",ROUND(MOD(F1481-E1481,1)*24-N(G1481),2))</f>
        <v/>
      </c>
      <c r="I1481" s="33">
        <f>IF(H1481="","",ROUND(MAX(0,H1481-8),2))</f>
        <v/>
      </c>
      <c r="J1481" s="33">
        <f>IF(OR(E1481="",F1481=""),"",ROUND(IF(MOD(F1481,1)&gt;=TIME(22,0,0),(MOD(F1481,1)-TIME(22,0,0))*24,IF(MOD(F1481,1)&lt;TIME(6,0,0),(MOD(F1481,1)+1-TIME(22,0,0))*24,0)),2))</f>
        <v/>
      </c>
      <c r="K1481" s="33">
        <f>IF(H1481="","",ROUND(IF(L1481="휴일근로",MIN(H1481,8)*1.5+MAX(0,H1481-8)*2,I1481*1.5)+N(J1481)*0.5,2))</f>
        <v/>
      </c>
      <c r="L1481" s="18" t="n"/>
      <c r="M1481" s="18" t="n"/>
      <c r="N1481" s="22" t="n"/>
    </row>
    <row r="1482">
      <c r="A1482" s="19" t="n"/>
      <c r="B1482" s="25">
        <f>IF(A1482="","",CHOOSE(WEEKDAY(A1482,2),"월","화","수","목","금","토","일"))</f>
        <v/>
      </c>
      <c r="C1482" s="18" t="n"/>
      <c r="D1482" s="25">
        <f>IFERROR(IF(C1482="","",INDEX(직원명부!$B$5:$B$24,MATCH(C1482,직원명부!$A$5:$A$24,0))),"사번 확인")</f>
        <v/>
      </c>
      <c r="E1482" s="34" t="n"/>
      <c r="F1482" s="34" t="n"/>
      <c r="G1482" s="28" t="n"/>
      <c r="H1482" s="33">
        <f>IF(OR(E1482="",F1482=""),"",ROUND(MOD(F1482-E1482,1)*24-N(G1482),2))</f>
        <v/>
      </c>
      <c r="I1482" s="33">
        <f>IF(H1482="","",ROUND(MAX(0,H1482-8),2))</f>
        <v/>
      </c>
      <c r="J1482" s="33">
        <f>IF(OR(E1482="",F1482=""),"",ROUND(IF(MOD(F1482,1)&gt;=TIME(22,0,0),(MOD(F1482,1)-TIME(22,0,0))*24,IF(MOD(F1482,1)&lt;TIME(6,0,0),(MOD(F1482,1)+1-TIME(22,0,0))*24,0)),2))</f>
        <v/>
      </c>
      <c r="K1482" s="33">
        <f>IF(H1482="","",ROUND(IF(L1482="휴일근로",MIN(H1482,8)*1.5+MAX(0,H1482-8)*2,I1482*1.5)+N(J1482)*0.5,2))</f>
        <v/>
      </c>
      <c r="L1482" s="18" t="n"/>
      <c r="M1482" s="18" t="n"/>
      <c r="N1482" s="22" t="n"/>
    </row>
    <row r="1483">
      <c r="A1483" s="19" t="n"/>
      <c r="B1483" s="25">
        <f>IF(A1483="","",CHOOSE(WEEKDAY(A1483,2),"월","화","수","목","금","토","일"))</f>
        <v/>
      </c>
      <c r="C1483" s="18" t="n"/>
      <c r="D1483" s="25">
        <f>IFERROR(IF(C1483="","",INDEX(직원명부!$B$5:$B$24,MATCH(C1483,직원명부!$A$5:$A$24,0))),"사번 확인")</f>
        <v/>
      </c>
      <c r="E1483" s="34" t="n"/>
      <c r="F1483" s="34" t="n"/>
      <c r="G1483" s="28" t="n"/>
      <c r="H1483" s="33">
        <f>IF(OR(E1483="",F1483=""),"",ROUND(MOD(F1483-E1483,1)*24-N(G1483),2))</f>
        <v/>
      </c>
      <c r="I1483" s="33">
        <f>IF(H1483="","",ROUND(MAX(0,H1483-8),2))</f>
        <v/>
      </c>
      <c r="J1483" s="33">
        <f>IF(OR(E1483="",F1483=""),"",ROUND(IF(MOD(F1483,1)&gt;=TIME(22,0,0),(MOD(F1483,1)-TIME(22,0,0))*24,IF(MOD(F1483,1)&lt;TIME(6,0,0),(MOD(F1483,1)+1-TIME(22,0,0))*24,0)),2))</f>
        <v/>
      </c>
      <c r="K1483" s="33">
        <f>IF(H1483="","",ROUND(IF(L1483="휴일근로",MIN(H1483,8)*1.5+MAX(0,H1483-8)*2,I1483*1.5)+N(J1483)*0.5,2))</f>
        <v/>
      </c>
      <c r="L1483" s="18" t="n"/>
      <c r="M1483" s="18" t="n"/>
      <c r="N1483" s="22" t="n"/>
    </row>
    <row r="1484">
      <c r="A1484" s="19" t="n"/>
      <c r="B1484" s="25">
        <f>IF(A1484="","",CHOOSE(WEEKDAY(A1484,2),"월","화","수","목","금","토","일"))</f>
        <v/>
      </c>
      <c r="C1484" s="18" t="n"/>
      <c r="D1484" s="25">
        <f>IFERROR(IF(C1484="","",INDEX(직원명부!$B$5:$B$24,MATCH(C1484,직원명부!$A$5:$A$24,0))),"사번 확인")</f>
        <v/>
      </c>
      <c r="E1484" s="34" t="n"/>
      <c r="F1484" s="34" t="n"/>
      <c r="G1484" s="28" t="n"/>
      <c r="H1484" s="33">
        <f>IF(OR(E1484="",F1484=""),"",ROUND(MOD(F1484-E1484,1)*24-N(G1484),2))</f>
        <v/>
      </c>
      <c r="I1484" s="33">
        <f>IF(H1484="","",ROUND(MAX(0,H1484-8),2))</f>
        <v/>
      </c>
      <c r="J1484" s="33">
        <f>IF(OR(E1484="",F1484=""),"",ROUND(IF(MOD(F1484,1)&gt;=TIME(22,0,0),(MOD(F1484,1)-TIME(22,0,0))*24,IF(MOD(F1484,1)&lt;TIME(6,0,0),(MOD(F1484,1)+1-TIME(22,0,0))*24,0)),2))</f>
        <v/>
      </c>
      <c r="K1484" s="33">
        <f>IF(H1484="","",ROUND(IF(L1484="휴일근로",MIN(H1484,8)*1.5+MAX(0,H1484-8)*2,I1484*1.5)+N(J1484)*0.5,2))</f>
        <v/>
      </c>
      <c r="L1484" s="18" t="n"/>
      <c r="M1484" s="18" t="n"/>
      <c r="N1484" s="22" t="n"/>
    </row>
    <row r="1485">
      <c r="A1485" s="19" t="n"/>
      <c r="B1485" s="25">
        <f>IF(A1485="","",CHOOSE(WEEKDAY(A1485,2),"월","화","수","목","금","토","일"))</f>
        <v/>
      </c>
      <c r="C1485" s="18" t="n"/>
      <c r="D1485" s="25">
        <f>IFERROR(IF(C1485="","",INDEX(직원명부!$B$5:$B$24,MATCH(C1485,직원명부!$A$5:$A$24,0))),"사번 확인")</f>
        <v/>
      </c>
      <c r="E1485" s="34" t="n"/>
      <c r="F1485" s="34" t="n"/>
      <c r="G1485" s="28" t="n"/>
      <c r="H1485" s="33">
        <f>IF(OR(E1485="",F1485=""),"",ROUND(MOD(F1485-E1485,1)*24-N(G1485),2))</f>
        <v/>
      </c>
      <c r="I1485" s="33">
        <f>IF(H1485="","",ROUND(MAX(0,H1485-8),2))</f>
        <v/>
      </c>
      <c r="J1485" s="33">
        <f>IF(OR(E1485="",F1485=""),"",ROUND(IF(MOD(F1485,1)&gt;=TIME(22,0,0),(MOD(F1485,1)-TIME(22,0,0))*24,IF(MOD(F1485,1)&lt;TIME(6,0,0),(MOD(F1485,1)+1-TIME(22,0,0))*24,0)),2))</f>
        <v/>
      </c>
      <c r="K1485" s="33">
        <f>IF(H1485="","",ROUND(IF(L1485="휴일근로",MIN(H1485,8)*1.5+MAX(0,H1485-8)*2,I1485*1.5)+N(J1485)*0.5,2))</f>
        <v/>
      </c>
      <c r="L1485" s="18" t="n"/>
      <c r="M1485" s="18" t="n"/>
      <c r="N1485" s="22" t="n"/>
    </row>
    <row r="1486">
      <c r="A1486" s="19" t="n"/>
      <c r="B1486" s="25">
        <f>IF(A1486="","",CHOOSE(WEEKDAY(A1486,2),"월","화","수","목","금","토","일"))</f>
        <v/>
      </c>
      <c r="C1486" s="18" t="n"/>
      <c r="D1486" s="25">
        <f>IFERROR(IF(C1486="","",INDEX(직원명부!$B$5:$B$24,MATCH(C1486,직원명부!$A$5:$A$24,0))),"사번 확인")</f>
        <v/>
      </c>
      <c r="E1486" s="34" t="n"/>
      <c r="F1486" s="34" t="n"/>
      <c r="G1486" s="28" t="n"/>
      <c r="H1486" s="33">
        <f>IF(OR(E1486="",F1486=""),"",ROUND(MOD(F1486-E1486,1)*24-N(G1486),2))</f>
        <v/>
      </c>
      <c r="I1486" s="33">
        <f>IF(H1486="","",ROUND(MAX(0,H1486-8),2))</f>
        <v/>
      </c>
      <c r="J1486" s="33">
        <f>IF(OR(E1486="",F1486=""),"",ROUND(IF(MOD(F1486,1)&gt;=TIME(22,0,0),(MOD(F1486,1)-TIME(22,0,0))*24,IF(MOD(F1486,1)&lt;TIME(6,0,0),(MOD(F1486,1)+1-TIME(22,0,0))*24,0)),2))</f>
        <v/>
      </c>
      <c r="K1486" s="33">
        <f>IF(H1486="","",ROUND(IF(L1486="휴일근로",MIN(H1486,8)*1.5+MAX(0,H1486-8)*2,I1486*1.5)+N(J1486)*0.5,2))</f>
        <v/>
      </c>
      <c r="L1486" s="18" t="n"/>
      <c r="M1486" s="18" t="n"/>
      <c r="N1486" s="22" t="n"/>
    </row>
    <row r="1487">
      <c r="A1487" s="19" t="n"/>
      <c r="B1487" s="25">
        <f>IF(A1487="","",CHOOSE(WEEKDAY(A1487,2),"월","화","수","목","금","토","일"))</f>
        <v/>
      </c>
      <c r="C1487" s="18" t="n"/>
      <c r="D1487" s="25">
        <f>IFERROR(IF(C1487="","",INDEX(직원명부!$B$5:$B$24,MATCH(C1487,직원명부!$A$5:$A$24,0))),"사번 확인")</f>
        <v/>
      </c>
      <c r="E1487" s="34" t="n"/>
      <c r="F1487" s="34" t="n"/>
      <c r="G1487" s="28" t="n"/>
      <c r="H1487" s="33">
        <f>IF(OR(E1487="",F1487=""),"",ROUND(MOD(F1487-E1487,1)*24-N(G1487),2))</f>
        <v/>
      </c>
      <c r="I1487" s="33">
        <f>IF(H1487="","",ROUND(MAX(0,H1487-8),2))</f>
        <v/>
      </c>
      <c r="J1487" s="33">
        <f>IF(OR(E1487="",F1487=""),"",ROUND(IF(MOD(F1487,1)&gt;=TIME(22,0,0),(MOD(F1487,1)-TIME(22,0,0))*24,IF(MOD(F1487,1)&lt;TIME(6,0,0),(MOD(F1487,1)+1-TIME(22,0,0))*24,0)),2))</f>
        <v/>
      </c>
      <c r="K1487" s="33">
        <f>IF(H1487="","",ROUND(IF(L1487="휴일근로",MIN(H1487,8)*1.5+MAX(0,H1487-8)*2,I1487*1.5)+N(J1487)*0.5,2))</f>
        <v/>
      </c>
      <c r="L1487" s="18" t="n"/>
      <c r="M1487" s="18" t="n"/>
      <c r="N1487" s="22" t="n"/>
    </row>
    <row r="1488">
      <c r="A1488" s="19" t="n"/>
      <c r="B1488" s="25">
        <f>IF(A1488="","",CHOOSE(WEEKDAY(A1488,2),"월","화","수","목","금","토","일"))</f>
        <v/>
      </c>
      <c r="C1488" s="18" t="n"/>
      <c r="D1488" s="25">
        <f>IFERROR(IF(C1488="","",INDEX(직원명부!$B$5:$B$24,MATCH(C1488,직원명부!$A$5:$A$24,0))),"사번 확인")</f>
        <v/>
      </c>
      <c r="E1488" s="34" t="n"/>
      <c r="F1488" s="34" t="n"/>
      <c r="G1488" s="28" t="n"/>
      <c r="H1488" s="33">
        <f>IF(OR(E1488="",F1488=""),"",ROUND(MOD(F1488-E1488,1)*24-N(G1488),2))</f>
        <v/>
      </c>
      <c r="I1488" s="33">
        <f>IF(H1488="","",ROUND(MAX(0,H1488-8),2))</f>
        <v/>
      </c>
      <c r="J1488" s="33">
        <f>IF(OR(E1488="",F1488=""),"",ROUND(IF(MOD(F1488,1)&gt;=TIME(22,0,0),(MOD(F1488,1)-TIME(22,0,0))*24,IF(MOD(F1488,1)&lt;TIME(6,0,0),(MOD(F1488,1)+1-TIME(22,0,0))*24,0)),2))</f>
        <v/>
      </c>
      <c r="K1488" s="33">
        <f>IF(H1488="","",ROUND(IF(L1488="휴일근로",MIN(H1488,8)*1.5+MAX(0,H1488-8)*2,I1488*1.5)+N(J1488)*0.5,2))</f>
        <v/>
      </c>
      <c r="L1488" s="18" t="n"/>
      <c r="M1488" s="18" t="n"/>
      <c r="N1488" s="22" t="n"/>
    </row>
    <row r="1489">
      <c r="A1489" s="19" t="n"/>
      <c r="B1489" s="25">
        <f>IF(A1489="","",CHOOSE(WEEKDAY(A1489,2),"월","화","수","목","금","토","일"))</f>
        <v/>
      </c>
      <c r="C1489" s="18" t="n"/>
      <c r="D1489" s="25">
        <f>IFERROR(IF(C1489="","",INDEX(직원명부!$B$5:$B$24,MATCH(C1489,직원명부!$A$5:$A$24,0))),"사번 확인")</f>
        <v/>
      </c>
      <c r="E1489" s="34" t="n"/>
      <c r="F1489" s="34" t="n"/>
      <c r="G1489" s="28" t="n"/>
      <c r="H1489" s="33">
        <f>IF(OR(E1489="",F1489=""),"",ROUND(MOD(F1489-E1489,1)*24-N(G1489),2))</f>
        <v/>
      </c>
      <c r="I1489" s="33">
        <f>IF(H1489="","",ROUND(MAX(0,H1489-8),2))</f>
        <v/>
      </c>
      <c r="J1489" s="33">
        <f>IF(OR(E1489="",F1489=""),"",ROUND(IF(MOD(F1489,1)&gt;=TIME(22,0,0),(MOD(F1489,1)-TIME(22,0,0))*24,IF(MOD(F1489,1)&lt;TIME(6,0,0),(MOD(F1489,1)+1-TIME(22,0,0))*24,0)),2))</f>
        <v/>
      </c>
      <c r="K1489" s="33">
        <f>IF(H1489="","",ROUND(IF(L1489="휴일근로",MIN(H1489,8)*1.5+MAX(0,H1489-8)*2,I1489*1.5)+N(J1489)*0.5,2))</f>
        <v/>
      </c>
      <c r="L1489" s="18" t="n"/>
      <c r="M1489" s="18" t="n"/>
      <c r="N1489" s="22" t="n"/>
    </row>
    <row r="1490">
      <c r="A1490" s="19" t="n"/>
      <c r="B1490" s="25">
        <f>IF(A1490="","",CHOOSE(WEEKDAY(A1490,2),"월","화","수","목","금","토","일"))</f>
        <v/>
      </c>
      <c r="C1490" s="18" t="n"/>
      <c r="D1490" s="25">
        <f>IFERROR(IF(C1490="","",INDEX(직원명부!$B$5:$B$24,MATCH(C1490,직원명부!$A$5:$A$24,0))),"사번 확인")</f>
        <v/>
      </c>
      <c r="E1490" s="34" t="n"/>
      <c r="F1490" s="34" t="n"/>
      <c r="G1490" s="28" t="n"/>
      <c r="H1490" s="33">
        <f>IF(OR(E1490="",F1490=""),"",ROUND(MOD(F1490-E1490,1)*24-N(G1490),2))</f>
        <v/>
      </c>
      <c r="I1490" s="33">
        <f>IF(H1490="","",ROUND(MAX(0,H1490-8),2))</f>
        <v/>
      </c>
      <c r="J1490" s="33">
        <f>IF(OR(E1490="",F1490=""),"",ROUND(IF(MOD(F1490,1)&gt;=TIME(22,0,0),(MOD(F1490,1)-TIME(22,0,0))*24,IF(MOD(F1490,1)&lt;TIME(6,0,0),(MOD(F1490,1)+1-TIME(22,0,0))*24,0)),2))</f>
        <v/>
      </c>
      <c r="K1490" s="33">
        <f>IF(H1490="","",ROUND(IF(L1490="휴일근로",MIN(H1490,8)*1.5+MAX(0,H1490-8)*2,I1490*1.5)+N(J1490)*0.5,2))</f>
        <v/>
      </c>
      <c r="L1490" s="18" t="n"/>
      <c r="M1490" s="18" t="n"/>
      <c r="N1490" s="22" t="n"/>
    </row>
    <row r="1491">
      <c r="A1491" s="19" t="n"/>
      <c r="B1491" s="25">
        <f>IF(A1491="","",CHOOSE(WEEKDAY(A1491,2),"월","화","수","목","금","토","일"))</f>
        <v/>
      </c>
      <c r="C1491" s="18" t="n"/>
      <c r="D1491" s="25">
        <f>IFERROR(IF(C1491="","",INDEX(직원명부!$B$5:$B$24,MATCH(C1491,직원명부!$A$5:$A$24,0))),"사번 확인")</f>
        <v/>
      </c>
      <c r="E1491" s="34" t="n"/>
      <c r="F1491" s="34" t="n"/>
      <c r="G1491" s="28" t="n"/>
      <c r="H1491" s="33">
        <f>IF(OR(E1491="",F1491=""),"",ROUND(MOD(F1491-E1491,1)*24-N(G1491),2))</f>
        <v/>
      </c>
      <c r="I1491" s="33">
        <f>IF(H1491="","",ROUND(MAX(0,H1491-8),2))</f>
        <v/>
      </c>
      <c r="J1491" s="33">
        <f>IF(OR(E1491="",F1491=""),"",ROUND(IF(MOD(F1491,1)&gt;=TIME(22,0,0),(MOD(F1491,1)-TIME(22,0,0))*24,IF(MOD(F1491,1)&lt;TIME(6,0,0),(MOD(F1491,1)+1-TIME(22,0,0))*24,0)),2))</f>
        <v/>
      </c>
      <c r="K1491" s="33">
        <f>IF(H1491="","",ROUND(IF(L1491="휴일근로",MIN(H1491,8)*1.5+MAX(0,H1491-8)*2,I1491*1.5)+N(J1491)*0.5,2))</f>
        <v/>
      </c>
      <c r="L1491" s="18" t="n"/>
      <c r="M1491" s="18" t="n"/>
      <c r="N1491" s="22" t="n"/>
    </row>
    <row r="1492">
      <c r="A1492" s="19" t="n"/>
      <c r="B1492" s="25">
        <f>IF(A1492="","",CHOOSE(WEEKDAY(A1492,2),"월","화","수","목","금","토","일"))</f>
        <v/>
      </c>
      <c r="C1492" s="18" t="n"/>
      <c r="D1492" s="25">
        <f>IFERROR(IF(C1492="","",INDEX(직원명부!$B$5:$B$24,MATCH(C1492,직원명부!$A$5:$A$24,0))),"사번 확인")</f>
        <v/>
      </c>
      <c r="E1492" s="34" t="n"/>
      <c r="F1492" s="34" t="n"/>
      <c r="G1492" s="28" t="n"/>
      <c r="H1492" s="33">
        <f>IF(OR(E1492="",F1492=""),"",ROUND(MOD(F1492-E1492,1)*24-N(G1492),2))</f>
        <v/>
      </c>
      <c r="I1492" s="33">
        <f>IF(H1492="","",ROUND(MAX(0,H1492-8),2))</f>
        <v/>
      </c>
      <c r="J1492" s="33">
        <f>IF(OR(E1492="",F1492=""),"",ROUND(IF(MOD(F1492,1)&gt;=TIME(22,0,0),(MOD(F1492,1)-TIME(22,0,0))*24,IF(MOD(F1492,1)&lt;TIME(6,0,0),(MOD(F1492,1)+1-TIME(22,0,0))*24,0)),2))</f>
        <v/>
      </c>
      <c r="K1492" s="33">
        <f>IF(H1492="","",ROUND(IF(L1492="휴일근로",MIN(H1492,8)*1.5+MAX(0,H1492-8)*2,I1492*1.5)+N(J1492)*0.5,2))</f>
        <v/>
      </c>
      <c r="L1492" s="18" t="n"/>
      <c r="M1492" s="18" t="n"/>
      <c r="N1492" s="22" t="n"/>
    </row>
    <row r="1493">
      <c r="A1493" s="19" t="n"/>
      <c r="B1493" s="25">
        <f>IF(A1493="","",CHOOSE(WEEKDAY(A1493,2),"월","화","수","목","금","토","일"))</f>
        <v/>
      </c>
      <c r="C1493" s="18" t="n"/>
      <c r="D1493" s="25">
        <f>IFERROR(IF(C1493="","",INDEX(직원명부!$B$5:$B$24,MATCH(C1493,직원명부!$A$5:$A$24,0))),"사번 확인")</f>
        <v/>
      </c>
      <c r="E1493" s="34" t="n"/>
      <c r="F1493" s="34" t="n"/>
      <c r="G1493" s="28" t="n"/>
      <c r="H1493" s="33">
        <f>IF(OR(E1493="",F1493=""),"",ROUND(MOD(F1493-E1493,1)*24-N(G1493),2))</f>
        <v/>
      </c>
      <c r="I1493" s="33">
        <f>IF(H1493="","",ROUND(MAX(0,H1493-8),2))</f>
        <v/>
      </c>
      <c r="J1493" s="33">
        <f>IF(OR(E1493="",F1493=""),"",ROUND(IF(MOD(F1493,1)&gt;=TIME(22,0,0),(MOD(F1493,1)-TIME(22,0,0))*24,IF(MOD(F1493,1)&lt;TIME(6,0,0),(MOD(F1493,1)+1-TIME(22,0,0))*24,0)),2))</f>
        <v/>
      </c>
      <c r="K1493" s="33">
        <f>IF(H1493="","",ROUND(IF(L1493="휴일근로",MIN(H1493,8)*1.5+MAX(0,H1493-8)*2,I1493*1.5)+N(J1493)*0.5,2))</f>
        <v/>
      </c>
      <c r="L1493" s="18" t="n"/>
      <c r="M1493" s="18" t="n"/>
      <c r="N1493" s="22" t="n"/>
    </row>
    <row r="1494">
      <c r="A1494" s="19" t="n"/>
      <c r="B1494" s="25">
        <f>IF(A1494="","",CHOOSE(WEEKDAY(A1494,2),"월","화","수","목","금","토","일"))</f>
        <v/>
      </c>
      <c r="C1494" s="18" t="n"/>
      <c r="D1494" s="25">
        <f>IFERROR(IF(C1494="","",INDEX(직원명부!$B$5:$B$24,MATCH(C1494,직원명부!$A$5:$A$24,0))),"사번 확인")</f>
        <v/>
      </c>
      <c r="E1494" s="34" t="n"/>
      <c r="F1494" s="34" t="n"/>
      <c r="G1494" s="28" t="n"/>
      <c r="H1494" s="33">
        <f>IF(OR(E1494="",F1494=""),"",ROUND(MOD(F1494-E1494,1)*24-N(G1494),2))</f>
        <v/>
      </c>
      <c r="I1494" s="33">
        <f>IF(H1494="","",ROUND(MAX(0,H1494-8),2))</f>
        <v/>
      </c>
      <c r="J1494" s="33">
        <f>IF(OR(E1494="",F1494=""),"",ROUND(IF(MOD(F1494,1)&gt;=TIME(22,0,0),(MOD(F1494,1)-TIME(22,0,0))*24,IF(MOD(F1494,1)&lt;TIME(6,0,0),(MOD(F1494,1)+1-TIME(22,0,0))*24,0)),2))</f>
        <v/>
      </c>
      <c r="K1494" s="33">
        <f>IF(H1494="","",ROUND(IF(L1494="휴일근로",MIN(H1494,8)*1.5+MAX(0,H1494-8)*2,I1494*1.5)+N(J1494)*0.5,2))</f>
        <v/>
      </c>
      <c r="L1494" s="18" t="n"/>
      <c r="M1494" s="18" t="n"/>
      <c r="N1494" s="22" t="n"/>
    </row>
    <row r="1495">
      <c r="A1495" s="19" t="n"/>
      <c r="B1495" s="25">
        <f>IF(A1495="","",CHOOSE(WEEKDAY(A1495,2),"월","화","수","목","금","토","일"))</f>
        <v/>
      </c>
      <c r="C1495" s="18" t="n"/>
      <c r="D1495" s="25">
        <f>IFERROR(IF(C1495="","",INDEX(직원명부!$B$5:$B$24,MATCH(C1495,직원명부!$A$5:$A$24,0))),"사번 확인")</f>
        <v/>
      </c>
      <c r="E1495" s="34" t="n"/>
      <c r="F1495" s="34" t="n"/>
      <c r="G1495" s="28" t="n"/>
      <c r="H1495" s="33">
        <f>IF(OR(E1495="",F1495=""),"",ROUND(MOD(F1495-E1495,1)*24-N(G1495),2))</f>
        <v/>
      </c>
      <c r="I1495" s="33">
        <f>IF(H1495="","",ROUND(MAX(0,H1495-8),2))</f>
        <v/>
      </c>
      <c r="J1495" s="33">
        <f>IF(OR(E1495="",F1495=""),"",ROUND(IF(MOD(F1495,1)&gt;=TIME(22,0,0),(MOD(F1495,1)-TIME(22,0,0))*24,IF(MOD(F1495,1)&lt;TIME(6,0,0),(MOD(F1495,1)+1-TIME(22,0,0))*24,0)),2))</f>
        <v/>
      </c>
      <c r="K1495" s="33">
        <f>IF(H1495="","",ROUND(IF(L1495="휴일근로",MIN(H1495,8)*1.5+MAX(0,H1495-8)*2,I1495*1.5)+N(J1495)*0.5,2))</f>
        <v/>
      </c>
      <c r="L1495" s="18" t="n"/>
      <c r="M1495" s="18" t="n"/>
      <c r="N1495" s="22" t="n"/>
    </row>
    <row r="1496">
      <c r="A1496" s="19" t="n"/>
      <c r="B1496" s="25">
        <f>IF(A1496="","",CHOOSE(WEEKDAY(A1496,2),"월","화","수","목","금","토","일"))</f>
        <v/>
      </c>
      <c r="C1496" s="18" t="n"/>
      <c r="D1496" s="25">
        <f>IFERROR(IF(C1496="","",INDEX(직원명부!$B$5:$B$24,MATCH(C1496,직원명부!$A$5:$A$24,0))),"사번 확인")</f>
        <v/>
      </c>
      <c r="E1496" s="34" t="n"/>
      <c r="F1496" s="34" t="n"/>
      <c r="G1496" s="28" t="n"/>
      <c r="H1496" s="33">
        <f>IF(OR(E1496="",F1496=""),"",ROUND(MOD(F1496-E1496,1)*24-N(G1496),2))</f>
        <v/>
      </c>
      <c r="I1496" s="33">
        <f>IF(H1496="","",ROUND(MAX(0,H1496-8),2))</f>
        <v/>
      </c>
      <c r="J1496" s="33">
        <f>IF(OR(E1496="",F1496=""),"",ROUND(IF(MOD(F1496,1)&gt;=TIME(22,0,0),(MOD(F1496,1)-TIME(22,0,0))*24,IF(MOD(F1496,1)&lt;TIME(6,0,0),(MOD(F1496,1)+1-TIME(22,0,0))*24,0)),2))</f>
        <v/>
      </c>
      <c r="K1496" s="33">
        <f>IF(H1496="","",ROUND(IF(L1496="휴일근로",MIN(H1496,8)*1.5+MAX(0,H1496-8)*2,I1496*1.5)+N(J1496)*0.5,2))</f>
        <v/>
      </c>
      <c r="L1496" s="18" t="n"/>
      <c r="M1496" s="18" t="n"/>
      <c r="N1496" s="22" t="n"/>
    </row>
    <row r="1497">
      <c r="A1497" s="19" t="n"/>
      <c r="B1497" s="25">
        <f>IF(A1497="","",CHOOSE(WEEKDAY(A1497,2),"월","화","수","목","금","토","일"))</f>
        <v/>
      </c>
      <c r="C1497" s="18" t="n"/>
      <c r="D1497" s="25">
        <f>IFERROR(IF(C1497="","",INDEX(직원명부!$B$5:$B$24,MATCH(C1497,직원명부!$A$5:$A$24,0))),"사번 확인")</f>
        <v/>
      </c>
      <c r="E1497" s="34" t="n"/>
      <c r="F1497" s="34" t="n"/>
      <c r="G1497" s="28" t="n"/>
      <c r="H1497" s="33">
        <f>IF(OR(E1497="",F1497=""),"",ROUND(MOD(F1497-E1497,1)*24-N(G1497),2))</f>
        <v/>
      </c>
      <c r="I1497" s="33">
        <f>IF(H1497="","",ROUND(MAX(0,H1497-8),2))</f>
        <v/>
      </c>
      <c r="J1497" s="33">
        <f>IF(OR(E1497="",F1497=""),"",ROUND(IF(MOD(F1497,1)&gt;=TIME(22,0,0),(MOD(F1497,1)-TIME(22,0,0))*24,IF(MOD(F1497,1)&lt;TIME(6,0,0),(MOD(F1497,1)+1-TIME(22,0,0))*24,0)),2))</f>
        <v/>
      </c>
      <c r="K1497" s="33">
        <f>IF(H1497="","",ROUND(IF(L1497="휴일근로",MIN(H1497,8)*1.5+MAX(0,H1497-8)*2,I1497*1.5)+N(J1497)*0.5,2))</f>
        <v/>
      </c>
      <c r="L1497" s="18" t="n"/>
      <c r="M1497" s="18" t="n"/>
      <c r="N1497" s="22" t="n"/>
    </row>
    <row r="1498">
      <c r="A1498" s="19" t="n"/>
      <c r="B1498" s="25">
        <f>IF(A1498="","",CHOOSE(WEEKDAY(A1498,2),"월","화","수","목","금","토","일"))</f>
        <v/>
      </c>
      <c r="C1498" s="18" t="n"/>
      <c r="D1498" s="25">
        <f>IFERROR(IF(C1498="","",INDEX(직원명부!$B$5:$B$24,MATCH(C1498,직원명부!$A$5:$A$24,0))),"사번 확인")</f>
        <v/>
      </c>
      <c r="E1498" s="34" t="n"/>
      <c r="F1498" s="34" t="n"/>
      <c r="G1498" s="28" t="n"/>
      <c r="H1498" s="33">
        <f>IF(OR(E1498="",F1498=""),"",ROUND(MOD(F1498-E1498,1)*24-N(G1498),2))</f>
        <v/>
      </c>
      <c r="I1498" s="33">
        <f>IF(H1498="","",ROUND(MAX(0,H1498-8),2))</f>
        <v/>
      </c>
      <c r="J1498" s="33">
        <f>IF(OR(E1498="",F1498=""),"",ROUND(IF(MOD(F1498,1)&gt;=TIME(22,0,0),(MOD(F1498,1)-TIME(22,0,0))*24,IF(MOD(F1498,1)&lt;TIME(6,0,0),(MOD(F1498,1)+1-TIME(22,0,0))*24,0)),2))</f>
        <v/>
      </c>
      <c r="K1498" s="33">
        <f>IF(H1498="","",ROUND(IF(L1498="휴일근로",MIN(H1498,8)*1.5+MAX(0,H1498-8)*2,I1498*1.5)+N(J1498)*0.5,2))</f>
        <v/>
      </c>
      <c r="L1498" s="18" t="n"/>
      <c r="M1498" s="18" t="n"/>
      <c r="N1498" s="22" t="n"/>
    </row>
    <row r="1499">
      <c r="A1499" s="19" t="n"/>
      <c r="B1499" s="25">
        <f>IF(A1499="","",CHOOSE(WEEKDAY(A1499,2),"월","화","수","목","금","토","일"))</f>
        <v/>
      </c>
      <c r="C1499" s="18" t="n"/>
      <c r="D1499" s="25">
        <f>IFERROR(IF(C1499="","",INDEX(직원명부!$B$5:$B$24,MATCH(C1499,직원명부!$A$5:$A$24,0))),"사번 확인")</f>
        <v/>
      </c>
      <c r="E1499" s="34" t="n"/>
      <c r="F1499" s="34" t="n"/>
      <c r="G1499" s="28" t="n"/>
      <c r="H1499" s="33">
        <f>IF(OR(E1499="",F1499=""),"",ROUND(MOD(F1499-E1499,1)*24-N(G1499),2))</f>
        <v/>
      </c>
      <c r="I1499" s="33">
        <f>IF(H1499="","",ROUND(MAX(0,H1499-8),2))</f>
        <v/>
      </c>
      <c r="J1499" s="33">
        <f>IF(OR(E1499="",F1499=""),"",ROUND(IF(MOD(F1499,1)&gt;=TIME(22,0,0),(MOD(F1499,1)-TIME(22,0,0))*24,IF(MOD(F1499,1)&lt;TIME(6,0,0),(MOD(F1499,1)+1-TIME(22,0,0))*24,0)),2))</f>
        <v/>
      </c>
      <c r="K1499" s="33">
        <f>IF(H1499="","",ROUND(IF(L1499="휴일근로",MIN(H1499,8)*1.5+MAX(0,H1499-8)*2,I1499*1.5)+N(J1499)*0.5,2))</f>
        <v/>
      </c>
      <c r="L1499" s="18" t="n"/>
      <c r="M1499" s="18" t="n"/>
      <c r="N1499" s="22" t="n"/>
    </row>
    <row r="1500">
      <c r="A1500" s="19" t="n"/>
      <c r="B1500" s="25">
        <f>IF(A1500="","",CHOOSE(WEEKDAY(A1500,2),"월","화","수","목","금","토","일"))</f>
        <v/>
      </c>
      <c r="C1500" s="18" t="n"/>
      <c r="D1500" s="25">
        <f>IFERROR(IF(C1500="","",INDEX(직원명부!$B$5:$B$24,MATCH(C1500,직원명부!$A$5:$A$24,0))),"사번 확인")</f>
        <v/>
      </c>
      <c r="E1500" s="34" t="n"/>
      <c r="F1500" s="34" t="n"/>
      <c r="G1500" s="28" t="n"/>
      <c r="H1500" s="33">
        <f>IF(OR(E1500="",F1500=""),"",ROUND(MOD(F1500-E1500,1)*24-N(G1500),2))</f>
        <v/>
      </c>
      <c r="I1500" s="33">
        <f>IF(H1500="","",ROUND(MAX(0,H1500-8),2))</f>
        <v/>
      </c>
      <c r="J1500" s="33">
        <f>IF(OR(E1500="",F1500=""),"",ROUND(IF(MOD(F1500,1)&gt;=TIME(22,0,0),(MOD(F1500,1)-TIME(22,0,0))*24,IF(MOD(F1500,1)&lt;TIME(6,0,0),(MOD(F1500,1)+1-TIME(22,0,0))*24,0)),2))</f>
        <v/>
      </c>
      <c r="K1500" s="33">
        <f>IF(H1500="","",ROUND(IF(L1500="휴일근로",MIN(H1500,8)*1.5+MAX(0,H1500-8)*2,I1500*1.5)+N(J1500)*0.5,2))</f>
        <v/>
      </c>
      <c r="L1500" s="18" t="n"/>
      <c r="M1500" s="18" t="n"/>
      <c r="N1500" s="22" t="n"/>
    </row>
    <row r="1501">
      <c r="A1501" s="19" t="n"/>
      <c r="B1501" s="25">
        <f>IF(A1501="","",CHOOSE(WEEKDAY(A1501,2),"월","화","수","목","금","토","일"))</f>
        <v/>
      </c>
      <c r="C1501" s="18" t="n"/>
      <c r="D1501" s="25">
        <f>IFERROR(IF(C1501="","",INDEX(직원명부!$B$5:$B$24,MATCH(C1501,직원명부!$A$5:$A$24,0))),"사번 확인")</f>
        <v/>
      </c>
      <c r="E1501" s="34" t="n"/>
      <c r="F1501" s="34" t="n"/>
      <c r="G1501" s="28" t="n"/>
      <c r="H1501" s="33">
        <f>IF(OR(E1501="",F1501=""),"",ROUND(MOD(F1501-E1501,1)*24-N(G1501),2))</f>
        <v/>
      </c>
      <c r="I1501" s="33">
        <f>IF(H1501="","",ROUND(MAX(0,H1501-8),2))</f>
        <v/>
      </c>
      <c r="J1501" s="33">
        <f>IF(OR(E1501="",F1501=""),"",ROUND(IF(MOD(F1501,1)&gt;=TIME(22,0,0),(MOD(F1501,1)-TIME(22,0,0))*24,IF(MOD(F1501,1)&lt;TIME(6,0,0),(MOD(F1501,1)+1-TIME(22,0,0))*24,0)),2))</f>
        <v/>
      </c>
      <c r="K1501" s="33">
        <f>IF(H1501="","",ROUND(IF(L1501="휴일근로",MIN(H1501,8)*1.5+MAX(0,H1501-8)*2,I1501*1.5)+N(J1501)*0.5,2))</f>
        <v/>
      </c>
      <c r="L1501" s="18" t="n"/>
      <c r="M1501" s="18" t="n"/>
      <c r="N1501" s="22" t="n"/>
    </row>
    <row r="1502">
      <c r="A1502" s="19" t="n"/>
      <c r="B1502" s="25">
        <f>IF(A1502="","",CHOOSE(WEEKDAY(A1502,2),"월","화","수","목","금","토","일"))</f>
        <v/>
      </c>
      <c r="C1502" s="18" t="n"/>
      <c r="D1502" s="25">
        <f>IFERROR(IF(C1502="","",INDEX(직원명부!$B$5:$B$24,MATCH(C1502,직원명부!$A$5:$A$24,0))),"사번 확인")</f>
        <v/>
      </c>
      <c r="E1502" s="34" t="n"/>
      <c r="F1502" s="34" t="n"/>
      <c r="G1502" s="28" t="n"/>
      <c r="H1502" s="33">
        <f>IF(OR(E1502="",F1502=""),"",ROUND(MOD(F1502-E1502,1)*24-N(G1502),2))</f>
        <v/>
      </c>
      <c r="I1502" s="33">
        <f>IF(H1502="","",ROUND(MAX(0,H1502-8),2))</f>
        <v/>
      </c>
      <c r="J1502" s="33">
        <f>IF(OR(E1502="",F1502=""),"",ROUND(IF(MOD(F1502,1)&gt;=TIME(22,0,0),(MOD(F1502,1)-TIME(22,0,0))*24,IF(MOD(F1502,1)&lt;TIME(6,0,0),(MOD(F1502,1)+1-TIME(22,0,0))*24,0)),2))</f>
        <v/>
      </c>
      <c r="K1502" s="33">
        <f>IF(H1502="","",ROUND(IF(L1502="휴일근로",MIN(H1502,8)*1.5+MAX(0,H1502-8)*2,I1502*1.5)+N(J1502)*0.5,2))</f>
        <v/>
      </c>
      <c r="L1502" s="18" t="n"/>
      <c r="M1502" s="18" t="n"/>
      <c r="N1502" s="22" t="n"/>
    </row>
    <row r="1503">
      <c r="A1503" s="19" t="n"/>
      <c r="B1503" s="25">
        <f>IF(A1503="","",CHOOSE(WEEKDAY(A1503,2),"월","화","수","목","금","토","일"))</f>
        <v/>
      </c>
      <c r="C1503" s="18" t="n"/>
      <c r="D1503" s="25">
        <f>IFERROR(IF(C1503="","",INDEX(직원명부!$B$5:$B$24,MATCH(C1503,직원명부!$A$5:$A$24,0))),"사번 확인")</f>
        <v/>
      </c>
      <c r="E1503" s="34" t="n"/>
      <c r="F1503" s="34" t="n"/>
      <c r="G1503" s="28" t="n"/>
      <c r="H1503" s="33">
        <f>IF(OR(E1503="",F1503=""),"",ROUND(MOD(F1503-E1503,1)*24-N(G1503),2))</f>
        <v/>
      </c>
      <c r="I1503" s="33">
        <f>IF(H1503="","",ROUND(MAX(0,H1503-8),2))</f>
        <v/>
      </c>
      <c r="J1503" s="33">
        <f>IF(OR(E1503="",F1503=""),"",ROUND(IF(MOD(F1503,1)&gt;=TIME(22,0,0),(MOD(F1503,1)-TIME(22,0,0))*24,IF(MOD(F1503,1)&lt;TIME(6,0,0),(MOD(F1503,1)+1-TIME(22,0,0))*24,0)),2))</f>
        <v/>
      </c>
      <c r="K1503" s="33">
        <f>IF(H1503="","",ROUND(IF(L1503="휴일근로",MIN(H1503,8)*1.5+MAX(0,H1503-8)*2,I1503*1.5)+N(J1503)*0.5,2))</f>
        <v/>
      </c>
      <c r="L1503" s="18" t="n"/>
      <c r="M1503" s="18" t="n"/>
      <c r="N1503" s="22" t="n"/>
    </row>
    <row r="1504">
      <c r="A1504" s="19" t="n"/>
      <c r="B1504" s="25">
        <f>IF(A1504="","",CHOOSE(WEEKDAY(A1504,2),"월","화","수","목","금","토","일"))</f>
        <v/>
      </c>
      <c r="C1504" s="18" t="n"/>
      <c r="D1504" s="25">
        <f>IFERROR(IF(C1504="","",INDEX(직원명부!$B$5:$B$24,MATCH(C1504,직원명부!$A$5:$A$24,0))),"사번 확인")</f>
        <v/>
      </c>
      <c r="E1504" s="34" t="n"/>
      <c r="F1504" s="34" t="n"/>
      <c r="G1504" s="28" t="n"/>
      <c r="H1504" s="33">
        <f>IF(OR(E1504="",F1504=""),"",ROUND(MOD(F1504-E1504,1)*24-N(G1504),2))</f>
        <v/>
      </c>
      <c r="I1504" s="33">
        <f>IF(H1504="","",ROUND(MAX(0,H1504-8),2))</f>
        <v/>
      </c>
      <c r="J1504" s="33">
        <f>IF(OR(E1504="",F1504=""),"",ROUND(IF(MOD(F1504,1)&gt;=TIME(22,0,0),(MOD(F1504,1)-TIME(22,0,0))*24,IF(MOD(F1504,1)&lt;TIME(6,0,0),(MOD(F1504,1)+1-TIME(22,0,0))*24,0)),2))</f>
        <v/>
      </c>
      <c r="K1504" s="33">
        <f>IF(H1504="","",ROUND(IF(L1504="휴일근로",MIN(H1504,8)*1.5+MAX(0,H1504-8)*2,I1504*1.5)+N(J1504)*0.5,2))</f>
        <v/>
      </c>
      <c r="L1504" s="18" t="n"/>
      <c r="M1504" s="18" t="n"/>
      <c r="N1504" s="22" t="n"/>
    </row>
    <row r="1505">
      <c r="A1505" s="19" t="n"/>
      <c r="B1505" s="25">
        <f>IF(A1505="","",CHOOSE(WEEKDAY(A1505,2),"월","화","수","목","금","토","일"))</f>
        <v/>
      </c>
      <c r="C1505" s="18" t="n"/>
      <c r="D1505" s="25">
        <f>IFERROR(IF(C1505="","",INDEX(직원명부!$B$5:$B$24,MATCH(C1505,직원명부!$A$5:$A$24,0))),"사번 확인")</f>
        <v/>
      </c>
      <c r="E1505" s="34" t="n"/>
      <c r="F1505" s="34" t="n"/>
      <c r="G1505" s="28" t="n"/>
      <c r="H1505" s="33">
        <f>IF(OR(E1505="",F1505=""),"",ROUND(MOD(F1505-E1505,1)*24-N(G1505),2))</f>
        <v/>
      </c>
      <c r="I1505" s="33">
        <f>IF(H1505="","",ROUND(MAX(0,H1505-8),2))</f>
        <v/>
      </c>
      <c r="J1505" s="33">
        <f>IF(OR(E1505="",F1505=""),"",ROUND(IF(MOD(F1505,1)&gt;=TIME(22,0,0),(MOD(F1505,1)-TIME(22,0,0))*24,IF(MOD(F1505,1)&lt;TIME(6,0,0),(MOD(F1505,1)+1-TIME(22,0,0))*24,0)),2))</f>
        <v/>
      </c>
      <c r="K1505" s="33">
        <f>IF(H1505="","",ROUND(IF(L1505="휴일근로",MIN(H1505,8)*1.5+MAX(0,H1505-8)*2,I1505*1.5)+N(J1505)*0.5,2))</f>
        <v/>
      </c>
      <c r="L1505" s="18" t="n"/>
      <c r="M1505" s="18" t="n"/>
      <c r="N1505" s="22" t="n"/>
    </row>
    <row r="1506">
      <c r="A1506" s="19" t="n"/>
      <c r="B1506" s="25">
        <f>IF(A1506="","",CHOOSE(WEEKDAY(A1506,2),"월","화","수","목","금","토","일"))</f>
        <v/>
      </c>
      <c r="C1506" s="18" t="n"/>
      <c r="D1506" s="25">
        <f>IFERROR(IF(C1506="","",INDEX(직원명부!$B$5:$B$24,MATCH(C1506,직원명부!$A$5:$A$24,0))),"사번 확인")</f>
        <v/>
      </c>
      <c r="E1506" s="34" t="n"/>
      <c r="F1506" s="34" t="n"/>
      <c r="G1506" s="28" t="n"/>
      <c r="H1506" s="33">
        <f>IF(OR(E1506="",F1506=""),"",ROUND(MOD(F1506-E1506,1)*24-N(G1506),2))</f>
        <v/>
      </c>
      <c r="I1506" s="33">
        <f>IF(H1506="","",ROUND(MAX(0,H1506-8),2))</f>
        <v/>
      </c>
      <c r="J1506" s="33">
        <f>IF(OR(E1506="",F1506=""),"",ROUND(IF(MOD(F1506,1)&gt;=TIME(22,0,0),(MOD(F1506,1)-TIME(22,0,0))*24,IF(MOD(F1506,1)&lt;TIME(6,0,0),(MOD(F1506,1)+1-TIME(22,0,0))*24,0)),2))</f>
        <v/>
      </c>
      <c r="K1506" s="33">
        <f>IF(H1506="","",ROUND(IF(L1506="휴일근로",MIN(H1506,8)*1.5+MAX(0,H1506-8)*2,I1506*1.5)+N(J1506)*0.5,2))</f>
        <v/>
      </c>
      <c r="L1506" s="18" t="n"/>
      <c r="M1506" s="18" t="n"/>
      <c r="N1506" s="22" t="n"/>
    </row>
    <row r="1507">
      <c r="A1507" s="19" t="n"/>
      <c r="B1507" s="25">
        <f>IF(A1507="","",CHOOSE(WEEKDAY(A1507,2),"월","화","수","목","금","토","일"))</f>
        <v/>
      </c>
      <c r="C1507" s="18" t="n"/>
      <c r="D1507" s="25">
        <f>IFERROR(IF(C1507="","",INDEX(직원명부!$B$5:$B$24,MATCH(C1507,직원명부!$A$5:$A$24,0))),"사번 확인")</f>
        <v/>
      </c>
      <c r="E1507" s="34" t="n"/>
      <c r="F1507" s="34" t="n"/>
      <c r="G1507" s="28" t="n"/>
      <c r="H1507" s="33">
        <f>IF(OR(E1507="",F1507=""),"",ROUND(MOD(F1507-E1507,1)*24-N(G1507),2))</f>
        <v/>
      </c>
      <c r="I1507" s="33">
        <f>IF(H1507="","",ROUND(MAX(0,H1507-8),2))</f>
        <v/>
      </c>
      <c r="J1507" s="33">
        <f>IF(OR(E1507="",F1507=""),"",ROUND(IF(MOD(F1507,1)&gt;=TIME(22,0,0),(MOD(F1507,1)-TIME(22,0,0))*24,IF(MOD(F1507,1)&lt;TIME(6,0,0),(MOD(F1507,1)+1-TIME(22,0,0))*24,0)),2))</f>
        <v/>
      </c>
      <c r="K1507" s="33">
        <f>IF(H1507="","",ROUND(IF(L1507="휴일근로",MIN(H1507,8)*1.5+MAX(0,H1507-8)*2,I1507*1.5)+N(J1507)*0.5,2))</f>
        <v/>
      </c>
      <c r="L1507" s="18" t="n"/>
      <c r="M1507" s="18" t="n"/>
      <c r="N1507" s="22" t="n"/>
    </row>
    <row r="1508">
      <c r="A1508" s="19" t="n"/>
      <c r="B1508" s="25">
        <f>IF(A1508="","",CHOOSE(WEEKDAY(A1508,2),"월","화","수","목","금","토","일"))</f>
        <v/>
      </c>
      <c r="C1508" s="18" t="n"/>
      <c r="D1508" s="25">
        <f>IFERROR(IF(C1508="","",INDEX(직원명부!$B$5:$B$24,MATCH(C1508,직원명부!$A$5:$A$24,0))),"사번 확인")</f>
        <v/>
      </c>
      <c r="E1508" s="34" t="n"/>
      <c r="F1508" s="34" t="n"/>
      <c r="G1508" s="28" t="n"/>
      <c r="H1508" s="33">
        <f>IF(OR(E1508="",F1508=""),"",ROUND(MOD(F1508-E1508,1)*24-N(G1508),2))</f>
        <v/>
      </c>
      <c r="I1508" s="33">
        <f>IF(H1508="","",ROUND(MAX(0,H1508-8),2))</f>
        <v/>
      </c>
      <c r="J1508" s="33">
        <f>IF(OR(E1508="",F1508=""),"",ROUND(IF(MOD(F1508,1)&gt;=TIME(22,0,0),(MOD(F1508,1)-TIME(22,0,0))*24,IF(MOD(F1508,1)&lt;TIME(6,0,0),(MOD(F1508,1)+1-TIME(22,0,0))*24,0)),2))</f>
        <v/>
      </c>
      <c r="K1508" s="33">
        <f>IF(H1508="","",ROUND(IF(L1508="휴일근로",MIN(H1508,8)*1.5+MAX(0,H1508-8)*2,I1508*1.5)+N(J1508)*0.5,2))</f>
        <v/>
      </c>
      <c r="L1508" s="18" t="n"/>
      <c r="M1508" s="18" t="n"/>
      <c r="N1508" s="22" t="n"/>
    </row>
    <row r="1509">
      <c r="A1509" s="19" t="n"/>
      <c r="B1509" s="25">
        <f>IF(A1509="","",CHOOSE(WEEKDAY(A1509,2),"월","화","수","목","금","토","일"))</f>
        <v/>
      </c>
      <c r="C1509" s="18" t="n"/>
      <c r="D1509" s="25">
        <f>IFERROR(IF(C1509="","",INDEX(직원명부!$B$5:$B$24,MATCH(C1509,직원명부!$A$5:$A$24,0))),"사번 확인")</f>
        <v/>
      </c>
      <c r="E1509" s="34" t="n"/>
      <c r="F1509" s="34" t="n"/>
      <c r="G1509" s="28" t="n"/>
      <c r="H1509" s="33">
        <f>IF(OR(E1509="",F1509=""),"",ROUND(MOD(F1509-E1509,1)*24-N(G1509),2))</f>
        <v/>
      </c>
      <c r="I1509" s="33">
        <f>IF(H1509="","",ROUND(MAX(0,H1509-8),2))</f>
        <v/>
      </c>
      <c r="J1509" s="33">
        <f>IF(OR(E1509="",F1509=""),"",ROUND(IF(MOD(F1509,1)&gt;=TIME(22,0,0),(MOD(F1509,1)-TIME(22,0,0))*24,IF(MOD(F1509,1)&lt;TIME(6,0,0),(MOD(F1509,1)+1-TIME(22,0,0))*24,0)),2))</f>
        <v/>
      </c>
      <c r="K1509" s="33">
        <f>IF(H1509="","",ROUND(IF(L1509="휴일근로",MIN(H1509,8)*1.5+MAX(0,H1509-8)*2,I1509*1.5)+N(J1509)*0.5,2))</f>
        <v/>
      </c>
      <c r="L1509" s="18" t="n"/>
      <c r="M1509" s="18" t="n"/>
      <c r="N1509" s="22" t="n"/>
    </row>
    <row r="1510">
      <c r="A1510" s="19" t="n"/>
      <c r="B1510" s="25">
        <f>IF(A1510="","",CHOOSE(WEEKDAY(A1510,2),"월","화","수","목","금","토","일"))</f>
        <v/>
      </c>
      <c r="C1510" s="18" t="n"/>
      <c r="D1510" s="25">
        <f>IFERROR(IF(C1510="","",INDEX(직원명부!$B$5:$B$24,MATCH(C1510,직원명부!$A$5:$A$24,0))),"사번 확인")</f>
        <v/>
      </c>
      <c r="E1510" s="34" t="n"/>
      <c r="F1510" s="34" t="n"/>
      <c r="G1510" s="28" t="n"/>
      <c r="H1510" s="33">
        <f>IF(OR(E1510="",F1510=""),"",ROUND(MOD(F1510-E1510,1)*24-N(G1510),2))</f>
        <v/>
      </c>
      <c r="I1510" s="33">
        <f>IF(H1510="","",ROUND(MAX(0,H1510-8),2))</f>
        <v/>
      </c>
      <c r="J1510" s="33">
        <f>IF(OR(E1510="",F1510=""),"",ROUND(IF(MOD(F1510,1)&gt;=TIME(22,0,0),(MOD(F1510,1)-TIME(22,0,0))*24,IF(MOD(F1510,1)&lt;TIME(6,0,0),(MOD(F1510,1)+1-TIME(22,0,0))*24,0)),2))</f>
        <v/>
      </c>
      <c r="K1510" s="33">
        <f>IF(H1510="","",ROUND(IF(L1510="휴일근로",MIN(H1510,8)*1.5+MAX(0,H1510-8)*2,I1510*1.5)+N(J1510)*0.5,2))</f>
        <v/>
      </c>
      <c r="L1510" s="18" t="n"/>
      <c r="M1510" s="18" t="n"/>
      <c r="N1510" s="22" t="n"/>
    </row>
    <row r="1511">
      <c r="A1511" s="19" t="n"/>
      <c r="B1511" s="25">
        <f>IF(A1511="","",CHOOSE(WEEKDAY(A1511,2),"월","화","수","목","금","토","일"))</f>
        <v/>
      </c>
      <c r="C1511" s="18" t="n"/>
      <c r="D1511" s="25">
        <f>IFERROR(IF(C1511="","",INDEX(직원명부!$B$5:$B$24,MATCH(C1511,직원명부!$A$5:$A$24,0))),"사번 확인")</f>
        <v/>
      </c>
      <c r="E1511" s="34" t="n"/>
      <c r="F1511" s="34" t="n"/>
      <c r="G1511" s="28" t="n"/>
      <c r="H1511" s="33">
        <f>IF(OR(E1511="",F1511=""),"",ROUND(MOD(F1511-E1511,1)*24-N(G1511),2))</f>
        <v/>
      </c>
      <c r="I1511" s="33">
        <f>IF(H1511="","",ROUND(MAX(0,H1511-8),2))</f>
        <v/>
      </c>
      <c r="J1511" s="33">
        <f>IF(OR(E1511="",F1511=""),"",ROUND(IF(MOD(F1511,1)&gt;=TIME(22,0,0),(MOD(F1511,1)-TIME(22,0,0))*24,IF(MOD(F1511,1)&lt;TIME(6,0,0),(MOD(F1511,1)+1-TIME(22,0,0))*24,0)),2))</f>
        <v/>
      </c>
      <c r="K1511" s="33">
        <f>IF(H1511="","",ROUND(IF(L1511="휴일근로",MIN(H1511,8)*1.5+MAX(0,H1511-8)*2,I1511*1.5)+N(J1511)*0.5,2))</f>
        <v/>
      </c>
      <c r="L1511" s="18" t="n"/>
      <c r="M1511" s="18" t="n"/>
      <c r="N1511" s="22" t="n"/>
    </row>
    <row r="1512">
      <c r="A1512" s="19" t="n"/>
      <c r="B1512" s="25">
        <f>IF(A1512="","",CHOOSE(WEEKDAY(A1512,2),"월","화","수","목","금","토","일"))</f>
        <v/>
      </c>
      <c r="C1512" s="18" t="n"/>
      <c r="D1512" s="25">
        <f>IFERROR(IF(C1512="","",INDEX(직원명부!$B$5:$B$24,MATCH(C1512,직원명부!$A$5:$A$24,0))),"사번 확인")</f>
        <v/>
      </c>
      <c r="E1512" s="34" t="n"/>
      <c r="F1512" s="34" t="n"/>
      <c r="G1512" s="28" t="n"/>
      <c r="H1512" s="33">
        <f>IF(OR(E1512="",F1512=""),"",ROUND(MOD(F1512-E1512,1)*24-N(G1512),2))</f>
        <v/>
      </c>
      <c r="I1512" s="33">
        <f>IF(H1512="","",ROUND(MAX(0,H1512-8),2))</f>
        <v/>
      </c>
      <c r="J1512" s="33">
        <f>IF(OR(E1512="",F1512=""),"",ROUND(IF(MOD(F1512,1)&gt;=TIME(22,0,0),(MOD(F1512,1)-TIME(22,0,0))*24,IF(MOD(F1512,1)&lt;TIME(6,0,0),(MOD(F1512,1)+1-TIME(22,0,0))*24,0)),2))</f>
        <v/>
      </c>
      <c r="K1512" s="33">
        <f>IF(H1512="","",ROUND(IF(L1512="휴일근로",MIN(H1512,8)*1.5+MAX(0,H1512-8)*2,I1512*1.5)+N(J1512)*0.5,2))</f>
        <v/>
      </c>
      <c r="L1512" s="18" t="n"/>
      <c r="M1512" s="18" t="n"/>
      <c r="N1512" s="22" t="n"/>
    </row>
    <row r="1513">
      <c r="A1513" s="19" t="n"/>
      <c r="B1513" s="25">
        <f>IF(A1513="","",CHOOSE(WEEKDAY(A1513,2),"월","화","수","목","금","토","일"))</f>
        <v/>
      </c>
      <c r="C1513" s="18" t="n"/>
      <c r="D1513" s="25">
        <f>IFERROR(IF(C1513="","",INDEX(직원명부!$B$5:$B$24,MATCH(C1513,직원명부!$A$5:$A$24,0))),"사번 확인")</f>
        <v/>
      </c>
      <c r="E1513" s="34" t="n"/>
      <c r="F1513" s="34" t="n"/>
      <c r="G1513" s="28" t="n"/>
      <c r="H1513" s="33">
        <f>IF(OR(E1513="",F1513=""),"",ROUND(MOD(F1513-E1513,1)*24-N(G1513),2))</f>
        <v/>
      </c>
      <c r="I1513" s="33">
        <f>IF(H1513="","",ROUND(MAX(0,H1513-8),2))</f>
        <v/>
      </c>
      <c r="J1513" s="33">
        <f>IF(OR(E1513="",F1513=""),"",ROUND(IF(MOD(F1513,1)&gt;=TIME(22,0,0),(MOD(F1513,1)-TIME(22,0,0))*24,IF(MOD(F1513,1)&lt;TIME(6,0,0),(MOD(F1513,1)+1-TIME(22,0,0))*24,0)),2))</f>
        <v/>
      </c>
      <c r="K1513" s="33">
        <f>IF(H1513="","",ROUND(IF(L1513="휴일근로",MIN(H1513,8)*1.5+MAX(0,H1513-8)*2,I1513*1.5)+N(J1513)*0.5,2))</f>
        <v/>
      </c>
      <c r="L1513" s="18" t="n"/>
      <c r="M1513" s="18" t="n"/>
      <c r="N1513" s="22" t="n"/>
    </row>
    <row r="1514">
      <c r="A1514" s="19" t="n"/>
      <c r="B1514" s="25">
        <f>IF(A1514="","",CHOOSE(WEEKDAY(A1514,2),"월","화","수","목","금","토","일"))</f>
        <v/>
      </c>
      <c r="C1514" s="18" t="n"/>
      <c r="D1514" s="25">
        <f>IFERROR(IF(C1514="","",INDEX(직원명부!$B$5:$B$24,MATCH(C1514,직원명부!$A$5:$A$24,0))),"사번 확인")</f>
        <v/>
      </c>
      <c r="E1514" s="34" t="n"/>
      <c r="F1514" s="34" t="n"/>
      <c r="G1514" s="28" t="n"/>
      <c r="H1514" s="33">
        <f>IF(OR(E1514="",F1514=""),"",ROUND(MOD(F1514-E1514,1)*24-N(G1514),2))</f>
        <v/>
      </c>
      <c r="I1514" s="33">
        <f>IF(H1514="","",ROUND(MAX(0,H1514-8),2))</f>
        <v/>
      </c>
      <c r="J1514" s="33">
        <f>IF(OR(E1514="",F1514=""),"",ROUND(IF(MOD(F1514,1)&gt;=TIME(22,0,0),(MOD(F1514,1)-TIME(22,0,0))*24,IF(MOD(F1514,1)&lt;TIME(6,0,0),(MOD(F1514,1)+1-TIME(22,0,0))*24,0)),2))</f>
        <v/>
      </c>
      <c r="K1514" s="33">
        <f>IF(H1514="","",ROUND(IF(L1514="휴일근로",MIN(H1514,8)*1.5+MAX(0,H1514-8)*2,I1514*1.5)+N(J1514)*0.5,2))</f>
        <v/>
      </c>
      <c r="L1514" s="18" t="n"/>
      <c r="M1514" s="18" t="n"/>
      <c r="N1514" s="22" t="n"/>
    </row>
    <row r="1515">
      <c r="A1515" s="19" t="n"/>
      <c r="B1515" s="25">
        <f>IF(A1515="","",CHOOSE(WEEKDAY(A1515,2),"월","화","수","목","금","토","일"))</f>
        <v/>
      </c>
      <c r="C1515" s="18" t="n"/>
      <c r="D1515" s="25">
        <f>IFERROR(IF(C1515="","",INDEX(직원명부!$B$5:$B$24,MATCH(C1515,직원명부!$A$5:$A$24,0))),"사번 확인")</f>
        <v/>
      </c>
      <c r="E1515" s="34" t="n"/>
      <c r="F1515" s="34" t="n"/>
      <c r="G1515" s="28" t="n"/>
      <c r="H1515" s="33">
        <f>IF(OR(E1515="",F1515=""),"",ROUND(MOD(F1515-E1515,1)*24-N(G1515),2))</f>
        <v/>
      </c>
      <c r="I1515" s="33">
        <f>IF(H1515="","",ROUND(MAX(0,H1515-8),2))</f>
        <v/>
      </c>
      <c r="J1515" s="33">
        <f>IF(OR(E1515="",F1515=""),"",ROUND(IF(MOD(F1515,1)&gt;=TIME(22,0,0),(MOD(F1515,1)-TIME(22,0,0))*24,IF(MOD(F1515,1)&lt;TIME(6,0,0),(MOD(F1515,1)+1-TIME(22,0,0))*24,0)),2))</f>
        <v/>
      </c>
      <c r="K1515" s="33">
        <f>IF(H1515="","",ROUND(IF(L1515="휴일근로",MIN(H1515,8)*1.5+MAX(0,H1515-8)*2,I1515*1.5)+N(J1515)*0.5,2))</f>
        <v/>
      </c>
      <c r="L1515" s="18" t="n"/>
      <c r="M1515" s="18" t="n"/>
      <c r="N1515" s="22" t="n"/>
    </row>
    <row r="1516">
      <c r="A1516" s="19" t="n"/>
      <c r="B1516" s="25">
        <f>IF(A1516="","",CHOOSE(WEEKDAY(A1516,2),"월","화","수","목","금","토","일"))</f>
        <v/>
      </c>
      <c r="C1516" s="18" t="n"/>
      <c r="D1516" s="25">
        <f>IFERROR(IF(C1516="","",INDEX(직원명부!$B$5:$B$24,MATCH(C1516,직원명부!$A$5:$A$24,0))),"사번 확인")</f>
        <v/>
      </c>
      <c r="E1516" s="34" t="n"/>
      <c r="F1516" s="34" t="n"/>
      <c r="G1516" s="28" t="n"/>
      <c r="H1516" s="33">
        <f>IF(OR(E1516="",F1516=""),"",ROUND(MOD(F1516-E1516,1)*24-N(G1516),2))</f>
        <v/>
      </c>
      <c r="I1516" s="33">
        <f>IF(H1516="","",ROUND(MAX(0,H1516-8),2))</f>
        <v/>
      </c>
      <c r="J1516" s="33">
        <f>IF(OR(E1516="",F1516=""),"",ROUND(IF(MOD(F1516,1)&gt;=TIME(22,0,0),(MOD(F1516,1)-TIME(22,0,0))*24,IF(MOD(F1516,1)&lt;TIME(6,0,0),(MOD(F1516,1)+1-TIME(22,0,0))*24,0)),2))</f>
        <v/>
      </c>
      <c r="K1516" s="33">
        <f>IF(H1516="","",ROUND(IF(L1516="휴일근로",MIN(H1516,8)*1.5+MAX(0,H1516-8)*2,I1516*1.5)+N(J1516)*0.5,2))</f>
        <v/>
      </c>
      <c r="L1516" s="18" t="n"/>
      <c r="M1516" s="18" t="n"/>
      <c r="N1516" s="22" t="n"/>
    </row>
    <row r="1517">
      <c r="A1517" s="19" t="n"/>
      <c r="B1517" s="25">
        <f>IF(A1517="","",CHOOSE(WEEKDAY(A1517,2),"월","화","수","목","금","토","일"))</f>
        <v/>
      </c>
      <c r="C1517" s="18" t="n"/>
      <c r="D1517" s="25">
        <f>IFERROR(IF(C1517="","",INDEX(직원명부!$B$5:$B$24,MATCH(C1517,직원명부!$A$5:$A$24,0))),"사번 확인")</f>
        <v/>
      </c>
      <c r="E1517" s="34" t="n"/>
      <c r="F1517" s="34" t="n"/>
      <c r="G1517" s="28" t="n"/>
      <c r="H1517" s="33">
        <f>IF(OR(E1517="",F1517=""),"",ROUND(MOD(F1517-E1517,1)*24-N(G1517),2))</f>
        <v/>
      </c>
      <c r="I1517" s="33">
        <f>IF(H1517="","",ROUND(MAX(0,H1517-8),2))</f>
        <v/>
      </c>
      <c r="J1517" s="33">
        <f>IF(OR(E1517="",F1517=""),"",ROUND(IF(MOD(F1517,1)&gt;=TIME(22,0,0),(MOD(F1517,1)-TIME(22,0,0))*24,IF(MOD(F1517,1)&lt;TIME(6,0,0),(MOD(F1517,1)+1-TIME(22,0,0))*24,0)),2))</f>
        <v/>
      </c>
      <c r="K1517" s="33">
        <f>IF(H1517="","",ROUND(IF(L1517="휴일근로",MIN(H1517,8)*1.5+MAX(0,H1517-8)*2,I1517*1.5)+N(J1517)*0.5,2))</f>
        <v/>
      </c>
      <c r="L1517" s="18" t="n"/>
      <c r="M1517" s="18" t="n"/>
      <c r="N1517" s="22" t="n"/>
    </row>
    <row r="1518">
      <c r="A1518" s="19" t="n"/>
      <c r="B1518" s="25">
        <f>IF(A1518="","",CHOOSE(WEEKDAY(A1518,2),"월","화","수","목","금","토","일"))</f>
        <v/>
      </c>
      <c r="C1518" s="18" t="n"/>
      <c r="D1518" s="25">
        <f>IFERROR(IF(C1518="","",INDEX(직원명부!$B$5:$B$24,MATCH(C1518,직원명부!$A$5:$A$24,0))),"사번 확인")</f>
        <v/>
      </c>
      <c r="E1518" s="34" t="n"/>
      <c r="F1518" s="34" t="n"/>
      <c r="G1518" s="28" t="n"/>
      <c r="H1518" s="33">
        <f>IF(OR(E1518="",F1518=""),"",ROUND(MOD(F1518-E1518,1)*24-N(G1518),2))</f>
        <v/>
      </c>
      <c r="I1518" s="33">
        <f>IF(H1518="","",ROUND(MAX(0,H1518-8),2))</f>
        <v/>
      </c>
      <c r="J1518" s="33">
        <f>IF(OR(E1518="",F1518=""),"",ROUND(IF(MOD(F1518,1)&gt;=TIME(22,0,0),(MOD(F1518,1)-TIME(22,0,0))*24,IF(MOD(F1518,1)&lt;TIME(6,0,0),(MOD(F1518,1)+1-TIME(22,0,0))*24,0)),2))</f>
        <v/>
      </c>
      <c r="K1518" s="33">
        <f>IF(H1518="","",ROUND(IF(L1518="휴일근로",MIN(H1518,8)*1.5+MAX(0,H1518-8)*2,I1518*1.5)+N(J1518)*0.5,2))</f>
        <v/>
      </c>
      <c r="L1518" s="18" t="n"/>
      <c r="M1518" s="18" t="n"/>
      <c r="N1518" s="22" t="n"/>
    </row>
    <row r="1519">
      <c r="A1519" s="19" t="n"/>
      <c r="B1519" s="25">
        <f>IF(A1519="","",CHOOSE(WEEKDAY(A1519,2),"월","화","수","목","금","토","일"))</f>
        <v/>
      </c>
      <c r="C1519" s="18" t="n"/>
      <c r="D1519" s="25">
        <f>IFERROR(IF(C1519="","",INDEX(직원명부!$B$5:$B$24,MATCH(C1519,직원명부!$A$5:$A$24,0))),"사번 확인")</f>
        <v/>
      </c>
      <c r="E1519" s="34" t="n"/>
      <c r="F1519" s="34" t="n"/>
      <c r="G1519" s="28" t="n"/>
      <c r="H1519" s="33">
        <f>IF(OR(E1519="",F1519=""),"",ROUND(MOD(F1519-E1519,1)*24-N(G1519),2))</f>
        <v/>
      </c>
      <c r="I1519" s="33">
        <f>IF(H1519="","",ROUND(MAX(0,H1519-8),2))</f>
        <v/>
      </c>
      <c r="J1519" s="33">
        <f>IF(OR(E1519="",F1519=""),"",ROUND(IF(MOD(F1519,1)&gt;=TIME(22,0,0),(MOD(F1519,1)-TIME(22,0,0))*24,IF(MOD(F1519,1)&lt;TIME(6,0,0),(MOD(F1519,1)+1-TIME(22,0,0))*24,0)),2))</f>
        <v/>
      </c>
      <c r="K1519" s="33">
        <f>IF(H1519="","",ROUND(IF(L1519="휴일근로",MIN(H1519,8)*1.5+MAX(0,H1519-8)*2,I1519*1.5)+N(J1519)*0.5,2))</f>
        <v/>
      </c>
      <c r="L1519" s="18" t="n"/>
      <c r="M1519" s="18" t="n"/>
      <c r="N1519" s="22" t="n"/>
    </row>
    <row r="1520">
      <c r="A1520" s="19" t="n"/>
      <c r="B1520" s="25">
        <f>IF(A1520="","",CHOOSE(WEEKDAY(A1520,2),"월","화","수","목","금","토","일"))</f>
        <v/>
      </c>
      <c r="C1520" s="18" t="n"/>
      <c r="D1520" s="25">
        <f>IFERROR(IF(C1520="","",INDEX(직원명부!$B$5:$B$24,MATCH(C1520,직원명부!$A$5:$A$24,0))),"사번 확인")</f>
        <v/>
      </c>
      <c r="E1520" s="34" t="n"/>
      <c r="F1520" s="34" t="n"/>
      <c r="G1520" s="28" t="n"/>
      <c r="H1520" s="33">
        <f>IF(OR(E1520="",F1520=""),"",ROUND(MOD(F1520-E1520,1)*24-N(G1520),2))</f>
        <v/>
      </c>
      <c r="I1520" s="33">
        <f>IF(H1520="","",ROUND(MAX(0,H1520-8),2))</f>
        <v/>
      </c>
      <c r="J1520" s="33">
        <f>IF(OR(E1520="",F1520=""),"",ROUND(IF(MOD(F1520,1)&gt;=TIME(22,0,0),(MOD(F1520,1)-TIME(22,0,0))*24,IF(MOD(F1520,1)&lt;TIME(6,0,0),(MOD(F1520,1)+1-TIME(22,0,0))*24,0)),2))</f>
        <v/>
      </c>
      <c r="K1520" s="33">
        <f>IF(H1520="","",ROUND(IF(L1520="휴일근로",MIN(H1520,8)*1.5+MAX(0,H1520-8)*2,I1520*1.5)+N(J1520)*0.5,2))</f>
        <v/>
      </c>
      <c r="L1520" s="18" t="n"/>
      <c r="M1520" s="18" t="n"/>
      <c r="N1520" s="22" t="n"/>
    </row>
    <row r="1521">
      <c r="A1521" s="19" t="n"/>
      <c r="B1521" s="25">
        <f>IF(A1521="","",CHOOSE(WEEKDAY(A1521,2),"월","화","수","목","금","토","일"))</f>
        <v/>
      </c>
      <c r="C1521" s="18" t="n"/>
      <c r="D1521" s="25">
        <f>IFERROR(IF(C1521="","",INDEX(직원명부!$B$5:$B$24,MATCH(C1521,직원명부!$A$5:$A$24,0))),"사번 확인")</f>
        <v/>
      </c>
      <c r="E1521" s="34" t="n"/>
      <c r="F1521" s="34" t="n"/>
      <c r="G1521" s="28" t="n"/>
      <c r="H1521" s="33">
        <f>IF(OR(E1521="",F1521=""),"",ROUND(MOD(F1521-E1521,1)*24-N(G1521),2))</f>
        <v/>
      </c>
      <c r="I1521" s="33">
        <f>IF(H1521="","",ROUND(MAX(0,H1521-8),2))</f>
        <v/>
      </c>
      <c r="J1521" s="33">
        <f>IF(OR(E1521="",F1521=""),"",ROUND(IF(MOD(F1521,1)&gt;=TIME(22,0,0),(MOD(F1521,1)-TIME(22,0,0))*24,IF(MOD(F1521,1)&lt;TIME(6,0,0),(MOD(F1521,1)+1-TIME(22,0,0))*24,0)),2))</f>
        <v/>
      </c>
      <c r="K1521" s="33">
        <f>IF(H1521="","",ROUND(IF(L1521="휴일근로",MIN(H1521,8)*1.5+MAX(0,H1521-8)*2,I1521*1.5)+N(J1521)*0.5,2))</f>
        <v/>
      </c>
      <c r="L1521" s="18" t="n"/>
      <c r="M1521" s="18" t="n"/>
      <c r="N1521" s="22" t="n"/>
    </row>
    <row r="1522">
      <c r="A1522" s="19" t="n"/>
      <c r="B1522" s="25">
        <f>IF(A1522="","",CHOOSE(WEEKDAY(A1522,2),"월","화","수","목","금","토","일"))</f>
        <v/>
      </c>
      <c r="C1522" s="18" t="n"/>
      <c r="D1522" s="25">
        <f>IFERROR(IF(C1522="","",INDEX(직원명부!$B$5:$B$24,MATCH(C1522,직원명부!$A$5:$A$24,0))),"사번 확인")</f>
        <v/>
      </c>
      <c r="E1522" s="34" t="n"/>
      <c r="F1522" s="34" t="n"/>
      <c r="G1522" s="28" t="n"/>
      <c r="H1522" s="33">
        <f>IF(OR(E1522="",F1522=""),"",ROUND(MOD(F1522-E1522,1)*24-N(G1522),2))</f>
        <v/>
      </c>
      <c r="I1522" s="33">
        <f>IF(H1522="","",ROUND(MAX(0,H1522-8),2))</f>
        <v/>
      </c>
      <c r="J1522" s="33">
        <f>IF(OR(E1522="",F1522=""),"",ROUND(IF(MOD(F1522,1)&gt;=TIME(22,0,0),(MOD(F1522,1)-TIME(22,0,0))*24,IF(MOD(F1522,1)&lt;TIME(6,0,0),(MOD(F1522,1)+1-TIME(22,0,0))*24,0)),2))</f>
        <v/>
      </c>
      <c r="K1522" s="33">
        <f>IF(H1522="","",ROUND(IF(L1522="휴일근로",MIN(H1522,8)*1.5+MAX(0,H1522-8)*2,I1522*1.5)+N(J1522)*0.5,2))</f>
        <v/>
      </c>
      <c r="L1522" s="18" t="n"/>
      <c r="M1522" s="18" t="n"/>
      <c r="N1522" s="22" t="n"/>
    </row>
    <row r="1523">
      <c r="A1523" s="19" t="n"/>
      <c r="B1523" s="25">
        <f>IF(A1523="","",CHOOSE(WEEKDAY(A1523,2),"월","화","수","목","금","토","일"))</f>
        <v/>
      </c>
      <c r="C1523" s="18" t="n"/>
      <c r="D1523" s="25">
        <f>IFERROR(IF(C1523="","",INDEX(직원명부!$B$5:$B$24,MATCH(C1523,직원명부!$A$5:$A$24,0))),"사번 확인")</f>
        <v/>
      </c>
      <c r="E1523" s="34" t="n"/>
      <c r="F1523" s="34" t="n"/>
      <c r="G1523" s="28" t="n"/>
      <c r="H1523" s="33">
        <f>IF(OR(E1523="",F1523=""),"",ROUND(MOD(F1523-E1523,1)*24-N(G1523),2))</f>
        <v/>
      </c>
      <c r="I1523" s="33">
        <f>IF(H1523="","",ROUND(MAX(0,H1523-8),2))</f>
        <v/>
      </c>
      <c r="J1523" s="33">
        <f>IF(OR(E1523="",F1523=""),"",ROUND(IF(MOD(F1523,1)&gt;=TIME(22,0,0),(MOD(F1523,1)-TIME(22,0,0))*24,IF(MOD(F1523,1)&lt;TIME(6,0,0),(MOD(F1523,1)+1-TIME(22,0,0))*24,0)),2))</f>
        <v/>
      </c>
      <c r="K1523" s="33">
        <f>IF(H1523="","",ROUND(IF(L1523="휴일근로",MIN(H1523,8)*1.5+MAX(0,H1523-8)*2,I1523*1.5)+N(J1523)*0.5,2))</f>
        <v/>
      </c>
      <c r="L1523" s="18" t="n"/>
      <c r="M1523" s="18" t="n"/>
      <c r="N1523" s="22" t="n"/>
    </row>
    <row r="1524">
      <c r="A1524" s="19" t="n"/>
      <c r="B1524" s="25">
        <f>IF(A1524="","",CHOOSE(WEEKDAY(A1524,2),"월","화","수","목","금","토","일"))</f>
        <v/>
      </c>
      <c r="C1524" s="18" t="n"/>
      <c r="D1524" s="25">
        <f>IFERROR(IF(C1524="","",INDEX(직원명부!$B$5:$B$24,MATCH(C1524,직원명부!$A$5:$A$24,0))),"사번 확인")</f>
        <v/>
      </c>
      <c r="E1524" s="34" t="n"/>
      <c r="F1524" s="34" t="n"/>
      <c r="G1524" s="28" t="n"/>
      <c r="H1524" s="33">
        <f>IF(OR(E1524="",F1524=""),"",ROUND(MOD(F1524-E1524,1)*24-N(G1524),2))</f>
        <v/>
      </c>
      <c r="I1524" s="33">
        <f>IF(H1524="","",ROUND(MAX(0,H1524-8),2))</f>
        <v/>
      </c>
      <c r="J1524" s="33">
        <f>IF(OR(E1524="",F1524=""),"",ROUND(IF(MOD(F1524,1)&gt;=TIME(22,0,0),(MOD(F1524,1)-TIME(22,0,0))*24,IF(MOD(F1524,1)&lt;TIME(6,0,0),(MOD(F1524,1)+1-TIME(22,0,0))*24,0)),2))</f>
        <v/>
      </c>
      <c r="K1524" s="33">
        <f>IF(H1524="","",ROUND(IF(L1524="휴일근로",MIN(H1524,8)*1.5+MAX(0,H1524-8)*2,I1524*1.5)+N(J1524)*0.5,2))</f>
        <v/>
      </c>
      <c r="L1524" s="18" t="n"/>
      <c r="M1524" s="18" t="n"/>
      <c r="N1524" s="22" t="n"/>
    </row>
    <row r="1525">
      <c r="A1525" s="19" t="n"/>
      <c r="B1525" s="25">
        <f>IF(A1525="","",CHOOSE(WEEKDAY(A1525,2),"월","화","수","목","금","토","일"))</f>
        <v/>
      </c>
      <c r="C1525" s="18" t="n"/>
      <c r="D1525" s="25">
        <f>IFERROR(IF(C1525="","",INDEX(직원명부!$B$5:$B$24,MATCH(C1525,직원명부!$A$5:$A$24,0))),"사번 확인")</f>
        <v/>
      </c>
      <c r="E1525" s="34" t="n"/>
      <c r="F1525" s="34" t="n"/>
      <c r="G1525" s="28" t="n"/>
      <c r="H1525" s="33">
        <f>IF(OR(E1525="",F1525=""),"",ROUND(MOD(F1525-E1525,1)*24-N(G1525),2))</f>
        <v/>
      </c>
      <c r="I1525" s="33">
        <f>IF(H1525="","",ROUND(MAX(0,H1525-8),2))</f>
        <v/>
      </c>
      <c r="J1525" s="33">
        <f>IF(OR(E1525="",F1525=""),"",ROUND(IF(MOD(F1525,1)&gt;=TIME(22,0,0),(MOD(F1525,1)-TIME(22,0,0))*24,IF(MOD(F1525,1)&lt;TIME(6,0,0),(MOD(F1525,1)+1-TIME(22,0,0))*24,0)),2))</f>
        <v/>
      </c>
      <c r="K1525" s="33">
        <f>IF(H1525="","",ROUND(IF(L1525="휴일근로",MIN(H1525,8)*1.5+MAX(0,H1525-8)*2,I1525*1.5)+N(J1525)*0.5,2))</f>
        <v/>
      </c>
      <c r="L1525" s="18" t="n"/>
      <c r="M1525" s="18" t="n"/>
      <c r="N1525" s="22" t="n"/>
    </row>
    <row r="1526">
      <c r="A1526" s="19" t="n"/>
      <c r="B1526" s="25">
        <f>IF(A1526="","",CHOOSE(WEEKDAY(A1526,2),"월","화","수","목","금","토","일"))</f>
        <v/>
      </c>
      <c r="C1526" s="18" t="n"/>
      <c r="D1526" s="25">
        <f>IFERROR(IF(C1526="","",INDEX(직원명부!$B$5:$B$24,MATCH(C1526,직원명부!$A$5:$A$24,0))),"사번 확인")</f>
        <v/>
      </c>
      <c r="E1526" s="34" t="n"/>
      <c r="F1526" s="34" t="n"/>
      <c r="G1526" s="28" t="n"/>
      <c r="H1526" s="33">
        <f>IF(OR(E1526="",F1526=""),"",ROUND(MOD(F1526-E1526,1)*24-N(G1526),2))</f>
        <v/>
      </c>
      <c r="I1526" s="33">
        <f>IF(H1526="","",ROUND(MAX(0,H1526-8),2))</f>
        <v/>
      </c>
      <c r="J1526" s="33">
        <f>IF(OR(E1526="",F1526=""),"",ROUND(IF(MOD(F1526,1)&gt;=TIME(22,0,0),(MOD(F1526,1)-TIME(22,0,0))*24,IF(MOD(F1526,1)&lt;TIME(6,0,0),(MOD(F1526,1)+1-TIME(22,0,0))*24,0)),2))</f>
        <v/>
      </c>
      <c r="K1526" s="33">
        <f>IF(H1526="","",ROUND(IF(L1526="휴일근로",MIN(H1526,8)*1.5+MAX(0,H1526-8)*2,I1526*1.5)+N(J1526)*0.5,2))</f>
        <v/>
      </c>
      <c r="L1526" s="18" t="n"/>
      <c r="M1526" s="18" t="n"/>
      <c r="N1526" s="22" t="n"/>
    </row>
    <row r="1527">
      <c r="A1527" s="19" t="n"/>
      <c r="B1527" s="25">
        <f>IF(A1527="","",CHOOSE(WEEKDAY(A1527,2),"월","화","수","목","금","토","일"))</f>
        <v/>
      </c>
      <c r="C1527" s="18" t="n"/>
      <c r="D1527" s="25">
        <f>IFERROR(IF(C1527="","",INDEX(직원명부!$B$5:$B$24,MATCH(C1527,직원명부!$A$5:$A$24,0))),"사번 확인")</f>
        <v/>
      </c>
      <c r="E1527" s="34" t="n"/>
      <c r="F1527" s="34" t="n"/>
      <c r="G1527" s="28" t="n"/>
      <c r="H1527" s="33">
        <f>IF(OR(E1527="",F1527=""),"",ROUND(MOD(F1527-E1527,1)*24-N(G1527),2))</f>
        <v/>
      </c>
      <c r="I1527" s="33">
        <f>IF(H1527="","",ROUND(MAX(0,H1527-8),2))</f>
        <v/>
      </c>
      <c r="J1527" s="33">
        <f>IF(OR(E1527="",F1527=""),"",ROUND(IF(MOD(F1527,1)&gt;=TIME(22,0,0),(MOD(F1527,1)-TIME(22,0,0))*24,IF(MOD(F1527,1)&lt;TIME(6,0,0),(MOD(F1527,1)+1-TIME(22,0,0))*24,0)),2))</f>
        <v/>
      </c>
      <c r="K1527" s="33">
        <f>IF(H1527="","",ROUND(IF(L1527="휴일근로",MIN(H1527,8)*1.5+MAX(0,H1527-8)*2,I1527*1.5)+N(J1527)*0.5,2))</f>
        <v/>
      </c>
      <c r="L1527" s="18" t="n"/>
      <c r="M1527" s="18" t="n"/>
      <c r="N1527" s="22" t="n"/>
    </row>
    <row r="1528">
      <c r="A1528" s="19" t="n"/>
      <c r="B1528" s="25">
        <f>IF(A1528="","",CHOOSE(WEEKDAY(A1528,2),"월","화","수","목","금","토","일"))</f>
        <v/>
      </c>
      <c r="C1528" s="18" t="n"/>
      <c r="D1528" s="25">
        <f>IFERROR(IF(C1528="","",INDEX(직원명부!$B$5:$B$24,MATCH(C1528,직원명부!$A$5:$A$24,0))),"사번 확인")</f>
        <v/>
      </c>
      <c r="E1528" s="34" t="n"/>
      <c r="F1528" s="34" t="n"/>
      <c r="G1528" s="28" t="n"/>
      <c r="H1528" s="33">
        <f>IF(OR(E1528="",F1528=""),"",ROUND(MOD(F1528-E1528,1)*24-N(G1528),2))</f>
        <v/>
      </c>
      <c r="I1528" s="33">
        <f>IF(H1528="","",ROUND(MAX(0,H1528-8),2))</f>
        <v/>
      </c>
      <c r="J1528" s="33">
        <f>IF(OR(E1528="",F1528=""),"",ROUND(IF(MOD(F1528,1)&gt;=TIME(22,0,0),(MOD(F1528,1)-TIME(22,0,0))*24,IF(MOD(F1528,1)&lt;TIME(6,0,0),(MOD(F1528,1)+1-TIME(22,0,0))*24,0)),2))</f>
        <v/>
      </c>
      <c r="K1528" s="33">
        <f>IF(H1528="","",ROUND(IF(L1528="휴일근로",MIN(H1528,8)*1.5+MAX(0,H1528-8)*2,I1528*1.5)+N(J1528)*0.5,2))</f>
        <v/>
      </c>
      <c r="L1528" s="18" t="n"/>
      <c r="M1528" s="18" t="n"/>
      <c r="N1528" s="22" t="n"/>
    </row>
    <row r="1529">
      <c r="A1529" s="19" t="n"/>
      <c r="B1529" s="25">
        <f>IF(A1529="","",CHOOSE(WEEKDAY(A1529,2),"월","화","수","목","금","토","일"))</f>
        <v/>
      </c>
      <c r="C1529" s="18" t="n"/>
      <c r="D1529" s="25">
        <f>IFERROR(IF(C1529="","",INDEX(직원명부!$B$5:$B$24,MATCH(C1529,직원명부!$A$5:$A$24,0))),"사번 확인")</f>
        <v/>
      </c>
      <c r="E1529" s="34" t="n"/>
      <c r="F1529" s="34" t="n"/>
      <c r="G1529" s="28" t="n"/>
      <c r="H1529" s="33">
        <f>IF(OR(E1529="",F1529=""),"",ROUND(MOD(F1529-E1529,1)*24-N(G1529),2))</f>
        <v/>
      </c>
      <c r="I1529" s="33">
        <f>IF(H1529="","",ROUND(MAX(0,H1529-8),2))</f>
        <v/>
      </c>
      <c r="J1529" s="33">
        <f>IF(OR(E1529="",F1529=""),"",ROUND(IF(MOD(F1529,1)&gt;=TIME(22,0,0),(MOD(F1529,1)-TIME(22,0,0))*24,IF(MOD(F1529,1)&lt;TIME(6,0,0),(MOD(F1529,1)+1-TIME(22,0,0))*24,0)),2))</f>
        <v/>
      </c>
      <c r="K1529" s="33">
        <f>IF(H1529="","",ROUND(IF(L1529="휴일근로",MIN(H1529,8)*1.5+MAX(0,H1529-8)*2,I1529*1.5)+N(J1529)*0.5,2))</f>
        <v/>
      </c>
      <c r="L1529" s="18" t="n"/>
      <c r="M1529" s="18" t="n"/>
      <c r="N1529" s="22" t="n"/>
    </row>
    <row r="1530">
      <c r="A1530" s="19" t="n"/>
      <c r="B1530" s="25">
        <f>IF(A1530="","",CHOOSE(WEEKDAY(A1530,2),"월","화","수","목","금","토","일"))</f>
        <v/>
      </c>
      <c r="C1530" s="18" t="n"/>
      <c r="D1530" s="25">
        <f>IFERROR(IF(C1530="","",INDEX(직원명부!$B$5:$B$24,MATCH(C1530,직원명부!$A$5:$A$24,0))),"사번 확인")</f>
        <v/>
      </c>
      <c r="E1530" s="34" t="n"/>
      <c r="F1530" s="34" t="n"/>
      <c r="G1530" s="28" t="n"/>
      <c r="H1530" s="33">
        <f>IF(OR(E1530="",F1530=""),"",ROUND(MOD(F1530-E1530,1)*24-N(G1530),2))</f>
        <v/>
      </c>
      <c r="I1530" s="33">
        <f>IF(H1530="","",ROUND(MAX(0,H1530-8),2))</f>
        <v/>
      </c>
      <c r="J1530" s="33">
        <f>IF(OR(E1530="",F1530=""),"",ROUND(IF(MOD(F1530,1)&gt;=TIME(22,0,0),(MOD(F1530,1)-TIME(22,0,0))*24,IF(MOD(F1530,1)&lt;TIME(6,0,0),(MOD(F1530,1)+1-TIME(22,0,0))*24,0)),2))</f>
        <v/>
      </c>
      <c r="K1530" s="33">
        <f>IF(H1530="","",ROUND(IF(L1530="휴일근로",MIN(H1530,8)*1.5+MAX(0,H1530-8)*2,I1530*1.5)+N(J1530)*0.5,2))</f>
        <v/>
      </c>
      <c r="L1530" s="18" t="n"/>
      <c r="M1530" s="18" t="n"/>
      <c r="N1530" s="22" t="n"/>
    </row>
    <row r="1531">
      <c r="A1531" s="19" t="n"/>
      <c r="B1531" s="25">
        <f>IF(A1531="","",CHOOSE(WEEKDAY(A1531,2),"월","화","수","목","금","토","일"))</f>
        <v/>
      </c>
      <c r="C1531" s="18" t="n"/>
      <c r="D1531" s="25">
        <f>IFERROR(IF(C1531="","",INDEX(직원명부!$B$5:$B$24,MATCH(C1531,직원명부!$A$5:$A$24,0))),"사번 확인")</f>
        <v/>
      </c>
      <c r="E1531" s="34" t="n"/>
      <c r="F1531" s="34" t="n"/>
      <c r="G1531" s="28" t="n"/>
      <c r="H1531" s="33">
        <f>IF(OR(E1531="",F1531=""),"",ROUND(MOD(F1531-E1531,1)*24-N(G1531),2))</f>
        <v/>
      </c>
      <c r="I1531" s="33">
        <f>IF(H1531="","",ROUND(MAX(0,H1531-8),2))</f>
        <v/>
      </c>
      <c r="J1531" s="33">
        <f>IF(OR(E1531="",F1531=""),"",ROUND(IF(MOD(F1531,1)&gt;=TIME(22,0,0),(MOD(F1531,1)-TIME(22,0,0))*24,IF(MOD(F1531,1)&lt;TIME(6,0,0),(MOD(F1531,1)+1-TIME(22,0,0))*24,0)),2))</f>
        <v/>
      </c>
      <c r="K1531" s="33">
        <f>IF(H1531="","",ROUND(IF(L1531="휴일근로",MIN(H1531,8)*1.5+MAX(0,H1531-8)*2,I1531*1.5)+N(J1531)*0.5,2))</f>
        <v/>
      </c>
      <c r="L1531" s="18" t="n"/>
      <c r="M1531" s="18" t="n"/>
      <c r="N1531" s="22" t="n"/>
    </row>
    <row r="1532">
      <c r="A1532" s="19" t="n"/>
      <c r="B1532" s="25">
        <f>IF(A1532="","",CHOOSE(WEEKDAY(A1532,2),"월","화","수","목","금","토","일"))</f>
        <v/>
      </c>
      <c r="C1532" s="18" t="n"/>
      <c r="D1532" s="25">
        <f>IFERROR(IF(C1532="","",INDEX(직원명부!$B$5:$B$24,MATCH(C1532,직원명부!$A$5:$A$24,0))),"사번 확인")</f>
        <v/>
      </c>
      <c r="E1532" s="34" t="n"/>
      <c r="F1532" s="34" t="n"/>
      <c r="G1532" s="28" t="n"/>
      <c r="H1532" s="33">
        <f>IF(OR(E1532="",F1532=""),"",ROUND(MOD(F1532-E1532,1)*24-N(G1532),2))</f>
        <v/>
      </c>
      <c r="I1532" s="33">
        <f>IF(H1532="","",ROUND(MAX(0,H1532-8),2))</f>
        <v/>
      </c>
      <c r="J1532" s="33">
        <f>IF(OR(E1532="",F1532=""),"",ROUND(IF(MOD(F1532,1)&gt;=TIME(22,0,0),(MOD(F1532,1)-TIME(22,0,0))*24,IF(MOD(F1532,1)&lt;TIME(6,0,0),(MOD(F1532,1)+1-TIME(22,0,0))*24,0)),2))</f>
        <v/>
      </c>
      <c r="K1532" s="33">
        <f>IF(H1532="","",ROUND(IF(L1532="휴일근로",MIN(H1532,8)*1.5+MAX(0,H1532-8)*2,I1532*1.5)+N(J1532)*0.5,2))</f>
        <v/>
      </c>
      <c r="L1532" s="18" t="n"/>
      <c r="M1532" s="18" t="n"/>
      <c r="N1532" s="22" t="n"/>
    </row>
    <row r="1533">
      <c r="A1533" s="19" t="n"/>
      <c r="B1533" s="25">
        <f>IF(A1533="","",CHOOSE(WEEKDAY(A1533,2),"월","화","수","목","금","토","일"))</f>
        <v/>
      </c>
      <c r="C1533" s="18" t="n"/>
      <c r="D1533" s="25">
        <f>IFERROR(IF(C1533="","",INDEX(직원명부!$B$5:$B$24,MATCH(C1533,직원명부!$A$5:$A$24,0))),"사번 확인")</f>
        <v/>
      </c>
      <c r="E1533" s="34" t="n"/>
      <c r="F1533" s="34" t="n"/>
      <c r="G1533" s="28" t="n"/>
      <c r="H1533" s="33">
        <f>IF(OR(E1533="",F1533=""),"",ROUND(MOD(F1533-E1533,1)*24-N(G1533),2))</f>
        <v/>
      </c>
      <c r="I1533" s="33">
        <f>IF(H1533="","",ROUND(MAX(0,H1533-8),2))</f>
        <v/>
      </c>
      <c r="J1533" s="33">
        <f>IF(OR(E1533="",F1533=""),"",ROUND(IF(MOD(F1533,1)&gt;=TIME(22,0,0),(MOD(F1533,1)-TIME(22,0,0))*24,IF(MOD(F1533,1)&lt;TIME(6,0,0),(MOD(F1533,1)+1-TIME(22,0,0))*24,0)),2))</f>
        <v/>
      </c>
      <c r="K1533" s="33">
        <f>IF(H1533="","",ROUND(IF(L1533="휴일근로",MIN(H1533,8)*1.5+MAX(0,H1533-8)*2,I1533*1.5)+N(J1533)*0.5,2))</f>
        <v/>
      </c>
      <c r="L1533" s="18" t="n"/>
      <c r="M1533" s="18" t="n"/>
      <c r="N1533" s="22" t="n"/>
    </row>
    <row r="1534">
      <c r="A1534" s="19" t="n"/>
      <c r="B1534" s="25">
        <f>IF(A1534="","",CHOOSE(WEEKDAY(A1534,2),"월","화","수","목","금","토","일"))</f>
        <v/>
      </c>
      <c r="C1534" s="18" t="n"/>
      <c r="D1534" s="25">
        <f>IFERROR(IF(C1534="","",INDEX(직원명부!$B$5:$B$24,MATCH(C1534,직원명부!$A$5:$A$24,0))),"사번 확인")</f>
        <v/>
      </c>
      <c r="E1534" s="34" t="n"/>
      <c r="F1534" s="34" t="n"/>
      <c r="G1534" s="28" t="n"/>
      <c r="H1534" s="33">
        <f>IF(OR(E1534="",F1534=""),"",ROUND(MOD(F1534-E1534,1)*24-N(G1534),2))</f>
        <v/>
      </c>
      <c r="I1534" s="33">
        <f>IF(H1534="","",ROUND(MAX(0,H1534-8),2))</f>
        <v/>
      </c>
      <c r="J1534" s="33">
        <f>IF(OR(E1534="",F1534=""),"",ROUND(IF(MOD(F1534,1)&gt;=TIME(22,0,0),(MOD(F1534,1)-TIME(22,0,0))*24,IF(MOD(F1534,1)&lt;TIME(6,0,0),(MOD(F1534,1)+1-TIME(22,0,0))*24,0)),2))</f>
        <v/>
      </c>
      <c r="K1534" s="33">
        <f>IF(H1534="","",ROUND(IF(L1534="휴일근로",MIN(H1534,8)*1.5+MAX(0,H1534-8)*2,I1534*1.5)+N(J1534)*0.5,2))</f>
        <v/>
      </c>
      <c r="L1534" s="18" t="n"/>
      <c r="M1534" s="18" t="n"/>
      <c r="N1534" s="22" t="n"/>
    </row>
    <row r="1535">
      <c r="A1535" s="19" t="n"/>
      <c r="B1535" s="25">
        <f>IF(A1535="","",CHOOSE(WEEKDAY(A1535,2),"월","화","수","목","금","토","일"))</f>
        <v/>
      </c>
      <c r="C1535" s="18" t="n"/>
      <c r="D1535" s="25">
        <f>IFERROR(IF(C1535="","",INDEX(직원명부!$B$5:$B$24,MATCH(C1535,직원명부!$A$5:$A$24,0))),"사번 확인")</f>
        <v/>
      </c>
      <c r="E1535" s="34" t="n"/>
      <c r="F1535" s="34" t="n"/>
      <c r="G1535" s="28" t="n"/>
      <c r="H1535" s="33">
        <f>IF(OR(E1535="",F1535=""),"",ROUND(MOD(F1535-E1535,1)*24-N(G1535),2))</f>
        <v/>
      </c>
      <c r="I1535" s="33">
        <f>IF(H1535="","",ROUND(MAX(0,H1535-8),2))</f>
        <v/>
      </c>
      <c r="J1535" s="33">
        <f>IF(OR(E1535="",F1535=""),"",ROUND(IF(MOD(F1535,1)&gt;=TIME(22,0,0),(MOD(F1535,1)-TIME(22,0,0))*24,IF(MOD(F1535,1)&lt;TIME(6,0,0),(MOD(F1535,1)+1-TIME(22,0,0))*24,0)),2))</f>
        <v/>
      </c>
      <c r="K1535" s="33">
        <f>IF(H1535="","",ROUND(IF(L1535="휴일근로",MIN(H1535,8)*1.5+MAX(0,H1535-8)*2,I1535*1.5)+N(J1535)*0.5,2))</f>
        <v/>
      </c>
      <c r="L1535" s="18" t="n"/>
      <c r="M1535" s="18" t="n"/>
      <c r="N1535" s="22" t="n"/>
    </row>
    <row r="1536">
      <c r="A1536" s="19" t="n"/>
      <c r="B1536" s="25">
        <f>IF(A1536="","",CHOOSE(WEEKDAY(A1536,2),"월","화","수","목","금","토","일"))</f>
        <v/>
      </c>
      <c r="C1536" s="18" t="n"/>
      <c r="D1536" s="25">
        <f>IFERROR(IF(C1536="","",INDEX(직원명부!$B$5:$B$24,MATCH(C1536,직원명부!$A$5:$A$24,0))),"사번 확인")</f>
        <v/>
      </c>
      <c r="E1536" s="34" t="n"/>
      <c r="F1536" s="34" t="n"/>
      <c r="G1536" s="28" t="n"/>
      <c r="H1536" s="33">
        <f>IF(OR(E1536="",F1536=""),"",ROUND(MOD(F1536-E1536,1)*24-N(G1536),2))</f>
        <v/>
      </c>
      <c r="I1536" s="33">
        <f>IF(H1536="","",ROUND(MAX(0,H1536-8),2))</f>
        <v/>
      </c>
      <c r="J1536" s="33">
        <f>IF(OR(E1536="",F1536=""),"",ROUND(IF(MOD(F1536,1)&gt;=TIME(22,0,0),(MOD(F1536,1)-TIME(22,0,0))*24,IF(MOD(F1536,1)&lt;TIME(6,0,0),(MOD(F1536,1)+1-TIME(22,0,0))*24,0)),2))</f>
        <v/>
      </c>
      <c r="K1536" s="33">
        <f>IF(H1536="","",ROUND(IF(L1536="휴일근로",MIN(H1536,8)*1.5+MAX(0,H1536-8)*2,I1536*1.5)+N(J1536)*0.5,2))</f>
        <v/>
      </c>
      <c r="L1536" s="18" t="n"/>
      <c r="M1536" s="18" t="n"/>
      <c r="N1536" s="22" t="n"/>
    </row>
    <row r="1537">
      <c r="A1537" s="19" t="n"/>
      <c r="B1537" s="25">
        <f>IF(A1537="","",CHOOSE(WEEKDAY(A1537,2),"월","화","수","목","금","토","일"))</f>
        <v/>
      </c>
      <c r="C1537" s="18" t="n"/>
      <c r="D1537" s="25">
        <f>IFERROR(IF(C1537="","",INDEX(직원명부!$B$5:$B$24,MATCH(C1537,직원명부!$A$5:$A$24,0))),"사번 확인")</f>
        <v/>
      </c>
      <c r="E1537" s="34" t="n"/>
      <c r="F1537" s="34" t="n"/>
      <c r="G1537" s="28" t="n"/>
      <c r="H1537" s="33">
        <f>IF(OR(E1537="",F1537=""),"",ROUND(MOD(F1537-E1537,1)*24-N(G1537),2))</f>
        <v/>
      </c>
      <c r="I1537" s="33">
        <f>IF(H1537="","",ROUND(MAX(0,H1537-8),2))</f>
        <v/>
      </c>
      <c r="J1537" s="33">
        <f>IF(OR(E1537="",F1537=""),"",ROUND(IF(MOD(F1537,1)&gt;=TIME(22,0,0),(MOD(F1537,1)-TIME(22,0,0))*24,IF(MOD(F1537,1)&lt;TIME(6,0,0),(MOD(F1537,1)+1-TIME(22,0,0))*24,0)),2))</f>
        <v/>
      </c>
      <c r="K1537" s="33">
        <f>IF(H1537="","",ROUND(IF(L1537="휴일근로",MIN(H1537,8)*1.5+MAX(0,H1537-8)*2,I1537*1.5)+N(J1537)*0.5,2))</f>
        <v/>
      </c>
      <c r="L1537" s="18" t="n"/>
      <c r="M1537" s="18" t="n"/>
      <c r="N1537" s="22" t="n"/>
    </row>
    <row r="1538">
      <c r="A1538" s="19" t="n"/>
      <c r="B1538" s="25">
        <f>IF(A1538="","",CHOOSE(WEEKDAY(A1538,2),"월","화","수","목","금","토","일"))</f>
        <v/>
      </c>
      <c r="C1538" s="18" t="n"/>
      <c r="D1538" s="25">
        <f>IFERROR(IF(C1538="","",INDEX(직원명부!$B$5:$B$24,MATCH(C1538,직원명부!$A$5:$A$24,0))),"사번 확인")</f>
        <v/>
      </c>
      <c r="E1538" s="34" t="n"/>
      <c r="F1538" s="34" t="n"/>
      <c r="G1538" s="28" t="n"/>
      <c r="H1538" s="33">
        <f>IF(OR(E1538="",F1538=""),"",ROUND(MOD(F1538-E1538,1)*24-N(G1538),2))</f>
        <v/>
      </c>
      <c r="I1538" s="33">
        <f>IF(H1538="","",ROUND(MAX(0,H1538-8),2))</f>
        <v/>
      </c>
      <c r="J1538" s="33">
        <f>IF(OR(E1538="",F1538=""),"",ROUND(IF(MOD(F1538,1)&gt;=TIME(22,0,0),(MOD(F1538,1)-TIME(22,0,0))*24,IF(MOD(F1538,1)&lt;TIME(6,0,0),(MOD(F1538,1)+1-TIME(22,0,0))*24,0)),2))</f>
        <v/>
      </c>
      <c r="K1538" s="33">
        <f>IF(H1538="","",ROUND(IF(L1538="휴일근로",MIN(H1538,8)*1.5+MAX(0,H1538-8)*2,I1538*1.5)+N(J1538)*0.5,2))</f>
        <v/>
      </c>
      <c r="L1538" s="18" t="n"/>
      <c r="M1538" s="18" t="n"/>
      <c r="N1538" s="22" t="n"/>
    </row>
    <row r="1539">
      <c r="A1539" s="19" t="n"/>
      <c r="B1539" s="25">
        <f>IF(A1539="","",CHOOSE(WEEKDAY(A1539,2),"월","화","수","목","금","토","일"))</f>
        <v/>
      </c>
      <c r="C1539" s="18" t="n"/>
      <c r="D1539" s="25">
        <f>IFERROR(IF(C1539="","",INDEX(직원명부!$B$5:$B$24,MATCH(C1539,직원명부!$A$5:$A$24,0))),"사번 확인")</f>
        <v/>
      </c>
      <c r="E1539" s="34" t="n"/>
      <c r="F1539" s="34" t="n"/>
      <c r="G1539" s="28" t="n"/>
      <c r="H1539" s="33">
        <f>IF(OR(E1539="",F1539=""),"",ROUND(MOD(F1539-E1539,1)*24-N(G1539),2))</f>
        <v/>
      </c>
      <c r="I1539" s="33">
        <f>IF(H1539="","",ROUND(MAX(0,H1539-8),2))</f>
        <v/>
      </c>
      <c r="J1539" s="33">
        <f>IF(OR(E1539="",F1539=""),"",ROUND(IF(MOD(F1539,1)&gt;=TIME(22,0,0),(MOD(F1539,1)-TIME(22,0,0))*24,IF(MOD(F1539,1)&lt;TIME(6,0,0),(MOD(F1539,1)+1-TIME(22,0,0))*24,0)),2))</f>
        <v/>
      </c>
      <c r="K1539" s="33">
        <f>IF(H1539="","",ROUND(IF(L1539="휴일근로",MIN(H1539,8)*1.5+MAX(0,H1539-8)*2,I1539*1.5)+N(J1539)*0.5,2))</f>
        <v/>
      </c>
      <c r="L1539" s="18" t="n"/>
      <c r="M1539" s="18" t="n"/>
      <c r="N1539" s="22" t="n"/>
    </row>
    <row r="1540">
      <c r="A1540" s="19" t="n"/>
      <c r="B1540" s="25">
        <f>IF(A1540="","",CHOOSE(WEEKDAY(A1540,2),"월","화","수","목","금","토","일"))</f>
        <v/>
      </c>
      <c r="C1540" s="18" t="n"/>
      <c r="D1540" s="25">
        <f>IFERROR(IF(C1540="","",INDEX(직원명부!$B$5:$B$24,MATCH(C1540,직원명부!$A$5:$A$24,0))),"사번 확인")</f>
        <v/>
      </c>
      <c r="E1540" s="34" t="n"/>
      <c r="F1540" s="34" t="n"/>
      <c r="G1540" s="28" t="n"/>
      <c r="H1540" s="33">
        <f>IF(OR(E1540="",F1540=""),"",ROUND(MOD(F1540-E1540,1)*24-N(G1540),2))</f>
        <v/>
      </c>
      <c r="I1540" s="33">
        <f>IF(H1540="","",ROUND(MAX(0,H1540-8),2))</f>
        <v/>
      </c>
      <c r="J1540" s="33">
        <f>IF(OR(E1540="",F1540=""),"",ROUND(IF(MOD(F1540,1)&gt;=TIME(22,0,0),(MOD(F1540,1)-TIME(22,0,0))*24,IF(MOD(F1540,1)&lt;TIME(6,0,0),(MOD(F1540,1)+1-TIME(22,0,0))*24,0)),2))</f>
        <v/>
      </c>
      <c r="K1540" s="33">
        <f>IF(H1540="","",ROUND(IF(L1540="휴일근로",MIN(H1540,8)*1.5+MAX(0,H1540-8)*2,I1540*1.5)+N(J1540)*0.5,2))</f>
        <v/>
      </c>
      <c r="L1540" s="18" t="n"/>
      <c r="M1540" s="18" t="n"/>
      <c r="N1540" s="22" t="n"/>
    </row>
    <row r="1541">
      <c r="A1541" s="19" t="n"/>
      <c r="B1541" s="25">
        <f>IF(A1541="","",CHOOSE(WEEKDAY(A1541,2),"월","화","수","목","금","토","일"))</f>
        <v/>
      </c>
      <c r="C1541" s="18" t="n"/>
      <c r="D1541" s="25">
        <f>IFERROR(IF(C1541="","",INDEX(직원명부!$B$5:$B$24,MATCH(C1541,직원명부!$A$5:$A$24,0))),"사번 확인")</f>
        <v/>
      </c>
      <c r="E1541" s="34" t="n"/>
      <c r="F1541" s="34" t="n"/>
      <c r="G1541" s="28" t="n"/>
      <c r="H1541" s="33">
        <f>IF(OR(E1541="",F1541=""),"",ROUND(MOD(F1541-E1541,1)*24-N(G1541),2))</f>
        <v/>
      </c>
      <c r="I1541" s="33">
        <f>IF(H1541="","",ROUND(MAX(0,H1541-8),2))</f>
        <v/>
      </c>
      <c r="J1541" s="33">
        <f>IF(OR(E1541="",F1541=""),"",ROUND(IF(MOD(F1541,1)&gt;=TIME(22,0,0),(MOD(F1541,1)-TIME(22,0,0))*24,IF(MOD(F1541,1)&lt;TIME(6,0,0),(MOD(F1541,1)+1-TIME(22,0,0))*24,0)),2))</f>
        <v/>
      </c>
      <c r="K1541" s="33">
        <f>IF(H1541="","",ROUND(IF(L1541="휴일근로",MIN(H1541,8)*1.5+MAX(0,H1541-8)*2,I1541*1.5)+N(J1541)*0.5,2))</f>
        <v/>
      </c>
      <c r="L1541" s="18" t="n"/>
      <c r="M1541" s="18" t="n"/>
      <c r="N1541" s="22" t="n"/>
    </row>
    <row r="1542">
      <c r="A1542" s="19" t="n"/>
      <c r="B1542" s="25">
        <f>IF(A1542="","",CHOOSE(WEEKDAY(A1542,2),"월","화","수","목","금","토","일"))</f>
        <v/>
      </c>
      <c r="C1542" s="18" t="n"/>
      <c r="D1542" s="25">
        <f>IFERROR(IF(C1542="","",INDEX(직원명부!$B$5:$B$24,MATCH(C1542,직원명부!$A$5:$A$24,0))),"사번 확인")</f>
        <v/>
      </c>
      <c r="E1542" s="34" t="n"/>
      <c r="F1542" s="34" t="n"/>
      <c r="G1542" s="28" t="n"/>
      <c r="H1542" s="33">
        <f>IF(OR(E1542="",F1542=""),"",ROUND(MOD(F1542-E1542,1)*24-N(G1542),2))</f>
        <v/>
      </c>
      <c r="I1542" s="33">
        <f>IF(H1542="","",ROUND(MAX(0,H1542-8),2))</f>
        <v/>
      </c>
      <c r="J1542" s="33">
        <f>IF(OR(E1542="",F1542=""),"",ROUND(IF(MOD(F1542,1)&gt;=TIME(22,0,0),(MOD(F1542,1)-TIME(22,0,0))*24,IF(MOD(F1542,1)&lt;TIME(6,0,0),(MOD(F1542,1)+1-TIME(22,0,0))*24,0)),2))</f>
        <v/>
      </c>
      <c r="K1542" s="33">
        <f>IF(H1542="","",ROUND(IF(L1542="휴일근로",MIN(H1542,8)*1.5+MAX(0,H1542-8)*2,I1542*1.5)+N(J1542)*0.5,2))</f>
        <v/>
      </c>
      <c r="L1542" s="18" t="n"/>
      <c r="M1542" s="18" t="n"/>
      <c r="N1542" s="22" t="n"/>
    </row>
    <row r="1543">
      <c r="A1543" s="19" t="n"/>
      <c r="B1543" s="25">
        <f>IF(A1543="","",CHOOSE(WEEKDAY(A1543,2),"월","화","수","목","금","토","일"))</f>
        <v/>
      </c>
      <c r="C1543" s="18" t="n"/>
      <c r="D1543" s="25">
        <f>IFERROR(IF(C1543="","",INDEX(직원명부!$B$5:$B$24,MATCH(C1543,직원명부!$A$5:$A$24,0))),"사번 확인")</f>
        <v/>
      </c>
      <c r="E1543" s="34" t="n"/>
      <c r="F1543" s="34" t="n"/>
      <c r="G1543" s="28" t="n"/>
      <c r="H1543" s="33">
        <f>IF(OR(E1543="",F1543=""),"",ROUND(MOD(F1543-E1543,1)*24-N(G1543),2))</f>
        <v/>
      </c>
      <c r="I1543" s="33">
        <f>IF(H1543="","",ROUND(MAX(0,H1543-8),2))</f>
        <v/>
      </c>
      <c r="J1543" s="33">
        <f>IF(OR(E1543="",F1543=""),"",ROUND(IF(MOD(F1543,1)&gt;=TIME(22,0,0),(MOD(F1543,1)-TIME(22,0,0))*24,IF(MOD(F1543,1)&lt;TIME(6,0,0),(MOD(F1543,1)+1-TIME(22,0,0))*24,0)),2))</f>
        <v/>
      </c>
      <c r="K1543" s="33">
        <f>IF(H1543="","",ROUND(IF(L1543="휴일근로",MIN(H1543,8)*1.5+MAX(0,H1543-8)*2,I1543*1.5)+N(J1543)*0.5,2))</f>
        <v/>
      </c>
      <c r="L1543" s="18" t="n"/>
      <c r="M1543" s="18" t="n"/>
      <c r="N1543" s="22" t="n"/>
    </row>
    <row r="1544">
      <c r="A1544" s="19" t="n"/>
      <c r="B1544" s="25">
        <f>IF(A1544="","",CHOOSE(WEEKDAY(A1544,2),"월","화","수","목","금","토","일"))</f>
        <v/>
      </c>
      <c r="C1544" s="18" t="n"/>
      <c r="D1544" s="25">
        <f>IFERROR(IF(C1544="","",INDEX(직원명부!$B$5:$B$24,MATCH(C1544,직원명부!$A$5:$A$24,0))),"사번 확인")</f>
        <v/>
      </c>
      <c r="E1544" s="34" t="n"/>
      <c r="F1544" s="34" t="n"/>
      <c r="G1544" s="28" t="n"/>
      <c r="H1544" s="33">
        <f>IF(OR(E1544="",F1544=""),"",ROUND(MOD(F1544-E1544,1)*24-N(G1544),2))</f>
        <v/>
      </c>
      <c r="I1544" s="33">
        <f>IF(H1544="","",ROUND(MAX(0,H1544-8),2))</f>
        <v/>
      </c>
      <c r="J1544" s="33">
        <f>IF(OR(E1544="",F1544=""),"",ROUND(IF(MOD(F1544,1)&gt;=TIME(22,0,0),(MOD(F1544,1)-TIME(22,0,0))*24,IF(MOD(F1544,1)&lt;TIME(6,0,0),(MOD(F1544,1)+1-TIME(22,0,0))*24,0)),2))</f>
        <v/>
      </c>
      <c r="K1544" s="33">
        <f>IF(H1544="","",ROUND(IF(L1544="휴일근로",MIN(H1544,8)*1.5+MAX(0,H1544-8)*2,I1544*1.5)+N(J1544)*0.5,2))</f>
        <v/>
      </c>
      <c r="L1544" s="18" t="n"/>
      <c r="M1544" s="18" t="n"/>
      <c r="N1544" s="22" t="n"/>
    </row>
    <row r="1545">
      <c r="A1545" s="19" t="n"/>
      <c r="B1545" s="25">
        <f>IF(A1545="","",CHOOSE(WEEKDAY(A1545,2),"월","화","수","목","금","토","일"))</f>
        <v/>
      </c>
      <c r="C1545" s="18" t="n"/>
      <c r="D1545" s="25">
        <f>IFERROR(IF(C1545="","",INDEX(직원명부!$B$5:$B$24,MATCH(C1545,직원명부!$A$5:$A$24,0))),"사번 확인")</f>
        <v/>
      </c>
      <c r="E1545" s="34" t="n"/>
      <c r="F1545" s="34" t="n"/>
      <c r="G1545" s="28" t="n"/>
      <c r="H1545" s="33">
        <f>IF(OR(E1545="",F1545=""),"",ROUND(MOD(F1545-E1545,1)*24-N(G1545),2))</f>
        <v/>
      </c>
      <c r="I1545" s="33">
        <f>IF(H1545="","",ROUND(MAX(0,H1545-8),2))</f>
        <v/>
      </c>
      <c r="J1545" s="33">
        <f>IF(OR(E1545="",F1545=""),"",ROUND(IF(MOD(F1545,1)&gt;=TIME(22,0,0),(MOD(F1545,1)-TIME(22,0,0))*24,IF(MOD(F1545,1)&lt;TIME(6,0,0),(MOD(F1545,1)+1-TIME(22,0,0))*24,0)),2))</f>
        <v/>
      </c>
      <c r="K1545" s="33">
        <f>IF(H1545="","",ROUND(IF(L1545="휴일근로",MIN(H1545,8)*1.5+MAX(0,H1545-8)*2,I1545*1.5)+N(J1545)*0.5,2))</f>
        <v/>
      </c>
      <c r="L1545" s="18" t="n"/>
      <c r="M1545" s="18" t="n"/>
      <c r="N1545" s="22" t="n"/>
    </row>
    <row r="1546">
      <c r="A1546" s="19" t="n"/>
      <c r="B1546" s="25">
        <f>IF(A1546="","",CHOOSE(WEEKDAY(A1546,2),"월","화","수","목","금","토","일"))</f>
        <v/>
      </c>
      <c r="C1546" s="18" t="n"/>
      <c r="D1546" s="25">
        <f>IFERROR(IF(C1546="","",INDEX(직원명부!$B$5:$B$24,MATCH(C1546,직원명부!$A$5:$A$24,0))),"사번 확인")</f>
        <v/>
      </c>
      <c r="E1546" s="34" t="n"/>
      <c r="F1546" s="34" t="n"/>
      <c r="G1546" s="28" t="n"/>
      <c r="H1546" s="33">
        <f>IF(OR(E1546="",F1546=""),"",ROUND(MOD(F1546-E1546,1)*24-N(G1546),2))</f>
        <v/>
      </c>
      <c r="I1546" s="33">
        <f>IF(H1546="","",ROUND(MAX(0,H1546-8),2))</f>
        <v/>
      </c>
      <c r="J1546" s="33">
        <f>IF(OR(E1546="",F1546=""),"",ROUND(IF(MOD(F1546,1)&gt;=TIME(22,0,0),(MOD(F1546,1)-TIME(22,0,0))*24,IF(MOD(F1546,1)&lt;TIME(6,0,0),(MOD(F1546,1)+1-TIME(22,0,0))*24,0)),2))</f>
        <v/>
      </c>
      <c r="K1546" s="33">
        <f>IF(H1546="","",ROUND(IF(L1546="휴일근로",MIN(H1546,8)*1.5+MAX(0,H1546-8)*2,I1546*1.5)+N(J1546)*0.5,2))</f>
        <v/>
      </c>
      <c r="L1546" s="18" t="n"/>
      <c r="M1546" s="18" t="n"/>
      <c r="N1546" s="22" t="n"/>
    </row>
    <row r="1547">
      <c r="A1547" s="19" t="n"/>
      <c r="B1547" s="25">
        <f>IF(A1547="","",CHOOSE(WEEKDAY(A1547,2),"월","화","수","목","금","토","일"))</f>
        <v/>
      </c>
      <c r="C1547" s="18" t="n"/>
      <c r="D1547" s="25">
        <f>IFERROR(IF(C1547="","",INDEX(직원명부!$B$5:$B$24,MATCH(C1547,직원명부!$A$5:$A$24,0))),"사번 확인")</f>
        <v/>
      </c>
      <c r="E1547" s="34" t="n"/>
      <c r="F1547" s="34" t="n"/>
      <c r="G1547" s="28" t="n"/>
      <c r="H1547" s="33">
        <f>IF(OR(E1547="",F1547=""),"",ROUND(MOD(F1547-E1547,1)*24-N(G1547),2))</f>
        <v/>
      </c>
      <c r="I1547" s="33">
        <f>IF(H1547="","",ROUND(MAX(0,H1547-8),2))</f>
        <v/>
      </c>
      <c r="J1547" s="33">
        <f>IF(OR(E1547="",F1547=""),"",ROUND(IF(MOD(F1547,1)&gt;=TIME(22,0,0),(MOD(F1547,1)-TIME(22,0,0))*24,IF(MOD(F1547,1)&lt;TIME(6,0,0),(MOD(F1547,1)+1-TIME(22,0,0))*24,0)),2))</f>
        <v/>
      </c>
      <c r="K1547" s="33">
        <f>IF(H1547="","",ROUND(IF(L1547="휴일근로",MIN(H1547,8)*1.5+MAX(0,H1547-8)*2,I1547*1.5)+N(J1547)*0.5,2))</f>
        <v/>
      </c>
      <c r="L1547" s="18" t="n"/>
      <c r="M1547" s="18" t="n"/>
      <c r="N1547" s="22" t="n"/>
    </row>
    <row r="1548">
      <c r="A1548" s="19" t="n"/>
      <c r="B1548" s="25">
        <f>IF(A1548="","",CHOOSE(WEEKDAY(A1548,2),"월","화","수","목","금","토","일"))</f>
        <v/>
      </c>
      <c r="C1548" s="18" t="n"/>
      <c r="D1548" s="25">
        <f>IFERROR(IF(C1548="","",INDEX(직원명부!$B$5:$B$24,MATCH(C1548,직원명부!$A$5:$A$24,0))),"사번 확인")</f>
        <v/>
      </c>
      <c r="E1548" s="34" t="n"/>
      <c r="F1548" s="34" t="n"/>
      <c r="G1548" s="28" t="n"/>
      <c r="H1548" s="33">
        <f>IF(OR(E1548="",F1548=""),"",ROUND(MOD(F1548-E1548,1)*24-N(G1548),2))</f>
        <v/>
      </c>
      <c r="I1548" s="33">
        <f>IF(H1548="","",ROUND(MAX(0,H1548-8),2))</f>
        <v/>
      </c>
      <c r="J1548" s="33">
        <f>IF(OR(E1548="",F1548=""),"",ROUND(IF(MOD(F1548,1)&gt;=TIME(22,0,0),(MOD(F1548,1)-TIME(22,0,0))*24,IF(MOD(F1548,1)&lt;TIME(6,0,0),(MOD(F1548,1)+1-TIME(22,0,0))*24,0)),2))</f>
        <v/>
      </c>
      <c r="K1548" s="33">
        <f>IF(H1548="","",ROUND(IF(L1548="휴일근로",MIN(H1548,8)*1.5+MAX(0,H1548-8)*2,I1548*1.5)+N(J1548)*0.5,2))</f>
        <v/>
      </c>
      <c r="L1548" s="18" t="n"/>
      <c r="M1548" s="18" t="n"/>
      <c r="N1548" s="22" t="n"/>
    </row>
    <row r="1549">
      <c r="A1549" s="19" t="n"/>
      <c r="B1549" s="25">
        <f>IF(A1549="","",CHOOSE(WEEKDAY(A1549,2),"월","화","수","목","금","토","일"))</f>
        <v/>
      </c>
      <c r="C1549" s="18" t="n"/>
      <c r="D1549" s="25">
        <f>IFERROR(IF(C1549="","",INDEX(직원명부!$B$5:$B$24,MATCH(C1549,직원명부!$A$5:$A$24,0))),"사번 확인")</f>
        <v/>
      </c>
      <c r="E1549" s="34" t="n"/>
      <c r="F1549" s="34" t="n"/>
      <c r="G1549" s="28" t="n"/>
      <c r="H1549" s="33">
        <f>IF(OR(E1549="",F1549=""),"",ROUND(MOD(F1549-E1549,1)*24-N(G1549),2))</f>
        <v/>
      </c>
      <c r="I1549" s="33">
        <f>IF(H1549="","",ROUND(MAX(0,H1549-8),2))</f>
        <v/>
      </c>
      <c r="J1549" s="33">
        <f>IF(OR(E1549="",F1549=""),"",ROUND(IF(MOD(F1549,1)&gt;=TIME(22,0,0),(MOD(F1549,1)-TIME(22,0,0))*24,IF(MOD(F1549,1)&lt;TIME(6,0,0),(MOD(F1549,1)+1-TIME(22,0,0))*24,0)),2))</f>
        <v/>
      </c>
      <c r="K1549" s="33">
        <f>IF(H1549="","",ROUND(IF(L1549="휴일근로",MIN(H1549,8)*1.5+MAX(0,H1549-8)*2,I1549*1.5)+N(J1549)*0.5,2))</f>
        <v/>
      </c>
      <c r="L1549" s="18" t="n"/>
      <c r="M1549" s="18" t="n"/>
      <c r="N1549" s="22" t="n"/>
    </row>
    <row r="1550">
      <c r="A1550" s="19" t="n"/>
      <c r="B1550" s="25">
        <f>IF(A1550="","",CHOOSE(WEEKDAY(A1550,2),"월","화","수","목","금","토","일"))</f>
        <v/>
      </c>
      <c r="C1550" s="18" t="n"/>
      <c r="D1550" s="25">
        <f>IFERROR(IF(C1550="","",INDEX(직원명부!$B$5:$B$24,MATCH(C1550,직원명부!$A$5:$A$24,0))),"사번 확인")</f>
        <v/>
      </c>
      <c r="E1550" s="34" t="n"/>
      <c r="F1550" s="34" t="n"/>
      <c r="G1550" s="28" t="n"/>
      <c r="H1550" s="33">
        <f>IF(OR(E1550="",F1550=""),"",ROUND(MOD(F1550-E1550,1)*24-N(G1550),2))</f>
        <v/>
      </c>
      <c r="I1550" s="33">
        <f>IF(H1550="","",ROUND(MAX(0,H1550-8),2))</f>
        <v/>
      </c>
      <c r="J1550" s="33">
        <f>IF(OR(E1550="",F1550=""),"",ROUND(IF(MOD(F1550,1)&gt;=TIME(22,0,0),(MOD(F1550,1)-TIME(22,0,0))*24,IF(MOD(F1550,1)&lt;TIME(6,0,0),(MOD(F1550,1)+1-TIME(22,0,0))*24,0)),2))</f>
        <v/>
      </c>
      <c r="K1550" s="33">
        <f>IF(H1550="","",ROUND(IF(L1550="휴일근로",MIN(H1550,8)*1.5+MAX(0,H1550-8)*2,I1550*1.5)+N(J1550)*0.5,2))</f>
        <v/>
      </c>
      <c r="L1550" s="18" t="n"/>
      <c r="M1550" s="18" t="n"/>
      <c r="N1550" s="22" t="n"/>
    </row>
    <row r="1551">
      <c r="A1551" s="19" t="n"/>
      <c r="B1551" s="25">
        <f>IF(A1551="","",CHOOSE(WEEKDAY(A1551,2),"월","화","수","목","금","토","일"))</f>
        <v/>
      </c>
      <c r="C1551" s="18" t="n"/>
      <c r="D1551" s="25">
        <f>IFERROR(IF(C1551="","",INDEX(직원명부!$B$5:$B$24,MATCH(C1551,직원명부!$A$5:$A$24,0))),"사번 확인")</f>
        <v/>
      </c>
      <c r="E1551" s="34" t="n"/>
      <c r="F1551" s="34" t="n"/>
      <c r="G1551" s="28" t="n"/>
      <c r="H1551" s="33">
        <f>IF(OR(E1551="",F1551=""),"",ROUND(MOD(F1551-E1551,1)*24-N(G1551),2))</f>
        <v/>
      </c>
      <c r="I1551" s="33">
        <f>IF(H1551="","",ROUND(MAX(0,H1551-8),2))</f>
        <v/>
      </c>
      <c r="J1551" s="33">
        <f>IF(OR(E1551="",F1551=""),"",ROUND(IF(MOD(F1551,1)&gt;=TIME(22,0,0),(MOD(F1551,1)-TIME(22,0,0))*24,IF(MOD(F1551,1)&lt;TIME(6,0,0),(MOD(F1551,1)+1-TIME(22,0,0))*24,0)),2))</f>
        <v/>
      </c>
      <c r="K1551" s="33">
        <f>IF(H1551="","",ROUND(IF(L1551="휴일근로",MIN(H1551,8)*1.5+MAX(0,H1551-8)*2,I1551*1.5)+N(J1551)*0.5,2))</f>
        <v/>
      </c>
      <c r="L1551" s="18" t="n"/>
      <c r="M1551" s="18" t="n"/>
      <c r="N1551" s="22" t="n"/>
    </row>
    <row r="1552">
      <c r="A1552" s="19" t="n"/>
      <c r="B1552" s="25">
        <f>IF(A1552="","",CHOOSE(WEEKDAY(A1552,2),"월","화","수","목","금","토","일"))</f>
        <v/>
      </c>
      <c r="C1552" s="18" t="n"/>
      <c r="D1552" s="25">
        <f>IFERROR(IF(C1552="","",INDEX(직원명부!$B$5:$B$24,MATCH(C1552,직원명부!$A$5:$A$24,0))),"사번 확인")</f>
        <v/>
      </c>
      <c r="E1552" s="34" t="n"/>
      <c r="F1552" s="34" t="n"/>
      <c r="G1552" s="28" t="n"/>
      <c r="H1552" s="33">
        <f>IF(OR(E1552="",F1552=""),"",ROUND(MOD(F1552-E1552,1)*24-N(G1552),2))</f>
        <v/>
      </c>
      <c r="I1552" s="33">
        <f>IF(H1552="","",ROUND(MAX(0,H1552-8),2))</f>
        <v/>
      </c>
      <c r="J1552" s="33">
        <f>IF(OR(E1552="",F1552=""),"",ROUND(IF(MOD(F1552,1)&gt;=TIME(22,0,0),(MOD(F1552,1)-TIME(22,0,0))*24,IF(MOD(F1552,1)&lt;TIME(6,0,0),(MOD(F1552,1)+1-TIME(22,0,0))*24,0)),2))</f>
        <v/>
      </c>
      <c r="K1552" s="33">
        <f>IF(H1552="","",ROUND(IF(L1552="휴일근로",MIN(H1552,8)*1.5+MAX(0,H1552-8)*2,I1552*1.5)+N(J1552)*0.5,2))</f>
        <v/>
      </c>
      <c r="L1552" s="18" t="n"/>
      <c r="M1552" s="18" t="n"/>
      <c r="N1552" s="22" t="n"/>
    </row>
    <row r="1553">
      <c r="A1553" s="19" t="n"/>
      <c r="B1553" s="25">
        <f>IF(A1553="","",CHOOSE(WEEKDAY(A1553,2),"월","화","수","목","금","토","일"))</f>
        <v/>
      </c>
      <c r="C1553" s="18" t="n"/>
      <c r="D1553" s="25">
        <f>IFERROR(IF(C1553="","",INDEX(직원명부!$B$5:$B$24,MATCH(C1553,직원명부!$A$5:$A$24,0))),"사번 확인")</f>
        <v/>
      </c>
      <c r="E1553" s="34" t="n"/>
      <c r="F1553" s="34" t="n"/>
      <c r="G1553" s="28" t="n"/>
      <c r="H1553" s="33">
        <f>IF(OR(E1553="",F1553=""),"",ROUND(MOD(F1553-E1553,1)*24-N(G1553),2))</f>
        <v/>
      </c>
      <c r="I1553" s="33">
        <f>IF(H1553="","",ROUND(MAX(0,H1553-8),2))</f>
        <v/>
      </c>
      <c r="J1553" s="33">
        <f>IF(OR(E1553="",F1553=""),"",ROUND(IF(MOD(F1553,1)&gt;=TIME(22,0,0),(MOD(F1553,1)-TIME(22,0,0))*24,IF(MOD(F1553,1)&lt;TIME(6,0,0),(MOD(F1553,1)+1-TIME(22,0,0))*24,0)),2))</f>
        <v/>
      </c>
      <c r="K1553" s="33">
        <f>IF(H1553="","",ROUND(IF(L1553="휴일근로",MIN(H1553,8)*1.5+MAX(0,H1553-8)*2,I1553*1.5)+N(J1553)*0.5,2))</f>
        <v/>
      </c>
      <c r="L1553" s="18" t="n"/>
      <c r="M1553" s="18" t="n"/>
      <c r="N1553" s="22" t="n"/>
    </row>
    <row r="1554">
      <c r="A1554" s="19" t="n"/>
      <c r="B1554" s="25">
        <f>IF(A1554="","",CHOOSE(WEEKDAY(A1554,2),"월","화","수","목","금","토","일"))</f>
        <v/>
      </c>
      <c r="C1554" s="18" t="n"/>
      <c r="D1554" s="25">
        <f>IFERROR(IF(C1554="","",INDEX(직원명부!$B$5:$B$24,MATCH(C1554,직원명부!$A$5:$A$24,0))),"사번 확인")</f>
        <v/>
      </c>
      <c r="E1554" s="34" t="n"/>
      <c r="F1554" s="34" t="n"/>
      <c r="G1554" s="28" t="n"/>
      <c r="H1554" s="33">
        <f>IF(OR(E1554="",F1554=""),"",ROUND(MOD(F1554-E1554,1)*24-N(G1554),2))</f>
        <v/>
      </c>
      <c r="I1554" s="33">
        <f>IF(H1554="","",ROUND(MAX(0,H1554-8),2))</f>
        <v/>
      </c>
      <c r="J1554" s="33">
        <f>IF(OR(E1554="",F1554=""),"",ROUND(IF(MOD(F1554,1)&gt;=TIME(22,0,0),(MOD(F1554,1)-TIME(22,0,0))*24,IF(MOD(F1554,1)&lt;TIME(6,0,0),(MOD(F1554,1)+1-TIME(22,0,0))*24,0)),2))</f>
        <v/>
      </c>
      <c r="K1554" s="33">
        <f>IF(H1554="","",ROUND(IF(L1554="휴일근로",MIN(H1554,8)*1.5+MAX(0,H1554-8)*2,I1554*1.5)+N(J1554)*0.5,2))</f>
        <v/>
      </c>
      <c r="L1554" s="18" t="n"/>
      <c r="M1554" s="18" t="n"/>
      <c r="N1554" s="22" t="n"/>
    </row>
    <row r="1555">
      <c r="A1555" s="19" t="n"/>
      <c r="B1555" s="25">
        <f>IF(A1555="","",CHOOSE(WEEKDAY(A1555,2),"월","화","수","목","금","토","일"))</f>
        <v/>
      </c>
      <c r="C1555" s="18" t="n"/>
      <c r="D1555" s="25">
        <f>IFERROR(IF(C1555="","",INDEX(직원명부!$B$5:$B$24,MATCH(C1555,직원명부!$A$5:$A$24,0))),"사번 확인")</f>
        <v/>
      </c>
      <c r="E1555" s="34" t="n"/>
      <c r="F1555" s="34" t="n"/>
      <c r="G1555" s="28" t="n"/>
      <c r="H1555" s="33">
        <f>IF(OR(E1555="",F1555=""),"",ROUND(MOD(F1555-E1555,1)*24-N(G1555),2))</f>
        <v/>
      </c>
      <c r="I1555" s="33">
        <f>IF(H1555="","",ROUND(MAX(0,H1555-8),2))</f>
        <v/>
      </c>
      <c r="J1555" s="33">
        <f>IF(OR(E1555="",F1555=""),"",ROUND(IF(MOD(F1555,1)&gt;=TIME(22,0,0),(MOD(F1555,1)-TIME(22,0,0))*24,IF(MOD(F1555,1)&lt;TIME(6,0,0),(MOD(F1555,1)+1-TIME(22,0,0))*24,0)),2))</f>
        <v/>
      </c>
      <c r="K1555" s="33">
        <f>IF(H1555="","",ROUND(IF(L1555="휴일근로",MIN(H1555,8)*1.5+MAX(0,H1555-8)*2,I1555*1.5)+N(J1555)*0.5,2))</f>
        <v/>
      </c>
      <c r="L1555" s="18" t="n"/>
      <c r="M1555" s="18" t="n"/>
      <c r="N1555" s="22" t="n"/>
    </row>
    <row r="1556">
      <c r="A1556" s="19" t="n"/>
      <c r="B1556" s="25">
        <f>IF(A1556="","",CHOOSE(WEEKDAY(A1556,2),"월","화","수","목","금","토","일"))</f>
        <v/>
      </c>
      <c r="C1556" s="18" t="n"/>
      <c r="D1556" s="25">
        <f>IFERROR(IF(C1556="","",INDEX(직원명부!$B$5:$B$24,MATCH(C1556,직원명부!$A$5:$A$24,0))),"사번 확인")</f>
        <v/>
      </c>
      <c r="E1556" s="34" t="n"/>
      <c r="F1556" s="34" t="n"/>
      <c r="G1556" s="28" t="n"/>
      <c r="H1556" s="33">
        <f>IF(OR(E1556="",F1556=""),"",ROUND(MOD(F1556-E1556,1)*24-N(G1556),2))</f>
        <v/>
      </c>
      <c r="I1556" s="33">
        <f>IF(H1556="","",ROUND(MAX(0,H1556-8),2))</f>
        <v/>
      </c>
      <c r="J1556" s="33">
        <f>IF(OR(E1556="",F1556=""),"",ROUND(IF(MOD(F1556,1)&gt;=TIME(22,0,0),(MOD(F1556,1)-TIME(22,0,0))*24,IF(MOD(F1556,1)&lt;TIME(6,0,0),(MOD(F1556,1)+1-TIME(22,0,0))*24,0)),2))</f>
        <v/>
      </c>
      <c r="K1556" s="33">
        <f>IF(H1556="","",ROUND(IF(L1556="휴일근로",MIN(H1556,8)*1.5+MAX(0,H1556-8)*2,I1556*1.5)+N(J1556)*0.5,2))</f>
        <v/>
      </c>
      <c r="L1556" s="18" t="n"/>
      <c r="M1556" s="18" t="n"/>
      <c r="N1556" s="22" t="n"/>
    </row>
    <row r="1557">
      <c r="A1557" s="19" t="n"/>
      <c r="B1557" s="25">
        <f>IF(A1557="","",CHOOSE(WEEKDAY(A1557,2),"월","화","수","목","금","토","일"))</f>
        <v/>
      </c>
      <c r="C1557" s="18" t="n"/>
      <c r="D1557" s="25">
        <f>IFERROR(IF(C1557="","",INDEX(직원명부!$B$5:$B$24,MATCH(C1557,직원명부!$A$5:$A$24,0))),"사번 확인")</f>
        <v/>
      </c>
      <c r="E1557" s="34" t="n"/>
      <c r="F1557" s="34" t="n"/>
      <c r="G1557" s="28" t="n"/>
      <c r="H1557" s="33">
        <f>IF(OR(E1557="",F1557=""),"",ROUND(MOD(F1557-E1557,1)*24-N(G1557),2))</f>
        <v/>
      </c>
      <c r="I1557" s="33">
        <f>IF(H1557="","",ROUND(MAX(0,H1557-8),2))</f>
        <v/>
      </c>
      <c r="J1557" s="33">
        <f>IF(OR(E1557="",F1557=""),"",ROUND(IF(MOD(F1557,1)&gt;=TIME(22,0,0),(MOD(F1557,1)-TIME(22,0,0))*24,IF(MOD(F1557,1)&lt;TIME(6,0,0),(MOD(F1557,1)+1-TIME(22,0,0))*24,0)),2))</f>
        <v/>
      </c>
      <c r="K1557" s="33">
        <f>IF(H1557="","",ROUND(IF(L1557="휴일근로",MIN(H1557,8)*1.5+MAX(0,H1557-8)*2,I1557*1.5)+N(J1557)*0.5,2))</f>
        <v/>
      </c>
      <c r="L1557" s="18" t="n"/>
      <c r="M1557" s="18" t="n"/>
      <c r="N1557" s="22" t="n"/>
    </row>
    <row r="1558">
      <c r="A1558" s="19" t="n"/>
      <c r="B1558" s="25">
        <f>IF(A1558="","",CHOOSE(WEEKDAY(A1558,2),"월","화","수","목","금","토","일"))</f>
        <v/>
      </c>
      <c r="C1558" s="18" t="n"/>
      <c r="D1558" s="25">
        <f>IFERROR(IF(C1558="","",INDEX(직원명부!$B$5:$B$24,MATCH(C1558,직원명부!$A$5:$A$24,0))),"사번 확인")</f>
        <v/>
      </c>
      <c r="E1558" s="34" t="n"/>
      <c r="F1558" s="34" t="n"/>
      <c r="G1558" s="28" t="n"/>
      <c r="H1558" s="33">
        <f>IF(OR(E1558="",F1558=""),"",ROUND(MOD(F1558-E1558,1)*24-N(G1558),2))</f>
        <v/>
      </c>
      <c r="I1558" s="33">
        <f>IF(H1558="","",ROUND(MAX(0,H1558-8),2))</f>
        <v/>
      </c>
      <c r="J1558" s="33">
        <f>IF(OR(E1558="",F1558=""),"",ROUND(IF(MOD(F1558,1)&gt;=TIME(22,0,0),(MOD(F1558,1)-TIME(22,0,0))*24,IF(MOD(F1558,1)&lt;TIME(6,0,0),(MOD(F1558,1)+1-TIME(22,0,0))*24,0)),2))</f>
        <v/>
      </c>
      <c r="K1558" s="33">
        <f>IF(H1558="","",ROUND(IF(L1558="휴일근로",MIN(H1558,8)*1.5+MAX(0,H1558-8)*2,I1558*1.5)+N(J1558)*0.5,2))</f>
        <v/>
      </c>
      <c r="L1558" s="18" t="n"/>
      <c r="M1558" s="18" t="n"/>
      <c r="N1558" s="22" t="n"/>
    </row>
    <row r="1559">
      <c r="A1559" s="19" t="n"/>
      <c r="B1559" s="25">
        <f>IF(A1559="","",CHOOSE(WEEKDAY(A1559,2),"월","화","수","목","금","토","일"))</f>
        <v/>
      </c>
      <c r="C1559" s="18" t="n"/>
      <c r="D1559" s="25">
        <f>IFERROR(IF(C1559="","",INDEX(직원명부!$B$5:$B$24,MATCH(C1559,직원명부!$A$5:$A$24,0))),"사번 확인")</f>
        <v/>
      </c>
      <c r="E1559" s="34" t="n"/>
      <c r="F1559" s="34" t="n"/>
      <c r="G1559" s="28" t="n"/>
      <c r="H1559" s="33">
        <f>IF(OR(E1559="",F1559=""),"",ROUND(MOD(F1559-E1559,1)*24-N(G1559),2))</f>
        <v/>
      </c>
      <c r="I1559" s="33">
        <f>IF(H1559="","",ROUND(MAX(0,H1559-8),2))</f>
        <v/>
      </c>
      <c r="J1559" s="33">
        <f>IF(OR(E1559="",F1559=""),"",ROUND(IF(MOD(F1559,1)&gt;=TIME(22,0,0),(MOD(F1559,1)-TIME(22,0,0))*24,IF(MOD(F1559,1)&lt;TIME(6,0,0),(MOD(F1559,1)+1-TIME(22,0,0))*24,0)),2))</f>
        <v/>
      </c>
      <c r="K1559" s="33">
        <f>IF(H1559="","",ROUND(IF(L1559="휴일근로",MIN(H1559,8)*1.5+MAX(0,H1559-8)*2,I1559*1.5)+N(J1559)*0.5,2))</f>
        <v/>
      </c>
      <c r="L1559" s="18" t="n"/>
      <c r="M1559" s="18" t="n"/>
      <c r="N1559" s="22" t="n"/>
    </row>
    <row r="1560">
      <c r="A1560" s="19" t="n"/>
      <c r="B1560" s="25">
        <f>IF(A1560="","",CHOOSE(WEEKDAY(A1560,2),"월","화","수","목","금","토","일"))</f>
        <v/>
      </c>
      <c r="C1560" s="18" t="n"/>
      <c r="D1560" s="25">
        <f>IFERROR(IF(C1560="","",INDEX(직원명부!$B$5:$B$24,MATCH(C1560,직원명부!$A$5:$A$24,0))),"사번 확인")</f>
        <v/>
      </c>
      <c r="E1560" s="34" t="n"/>
      <c r="F1560" s="34" t="n"/>
      <c r="G1560" s="28" t="n"/>
      <c r="H1560" s="33">
        <f>IF(OR(E1560="",F1560=""),"",ROUND(MOD(F1560-E1560,1)*24-N(G1560),2))</f>
        <v/>
      </c>
      <c r="I1560" s="33">
        <f>IF(H1560="","",ROUND(MAX(0,H1560-8),2))</f>
        <v/>
      </c>
      <c r="J1560" s="33">
        <f>IF(OR(E1560="",F1560=""),"",ROUND(IF(MOD(F1560,1)&gt;=TIME(22,0,0),(MOD(F1560,1)-TIME(22,0,0))*24,IF(MOD(F1560,1)&lt;TIME(6,0,0),(MOD(F1560,1)+1-TIME(22,0,0))*24,0)),2))</f>
        <v/>
      </c>
      <c r="K1560" s="33">
        <f>IF(H1560="","",ROUND(IF(L1560="휴일근로",MIN(H1560,8)*1.5+MAX(0,H1560-8)*2,I1560*1.5)+N(J1560)*0.5,2))</f>
        <v/>
      </c>
      <c r="L1560" s="18" t="n"/>
      <c r="M1560" s="18" t="n"/>
      <c r="N1560" s="22" t="n"/>
    </row>
    <row r="1561">
      <c r="A1561" s="19" t="n"/>
      <c r="B1561" s="25">
        <f>IF(A1561="","",CHOOSE(WEEKDAY(A1561,2),"월","화","수","목","금","토","일"))</f>
        <v/>
      </c>
      <c r="C1561" s="18" t="n"/>
      <c r="D1561" s="25">
        <f>IFERROR(IF(C1561="","",INDEX(직원명부!$B$5:$B$24,MATCH(C1561,직원명부!$A$5:$A$24,0))),"사번 확인")</f>
        <v/>
      </c>
      <c r="E1561" s="34" t="n"/>
      <c r="F1561" s="34" t="n"/>
      <c r="G1561" s="28" t="n"/>
      <c r="H1561" s="33">
        <f>IF(OR(E1561="",F1561=""),"",ROUND(MOD(F1561-E1561,1)*24-N(G1561),2))</f>
        <v/>
      </c>
      <c r="I1561" s="33">
        <f>IF(H1561="","",ROUND(MAX(0,H1561-8),2))</f>
        <v/>
      </c>
      <c r="J1561" s="33">
        <f>IF(OR(E1561="",F1561=""),"",ROUND(IF(MOD(F1561,1)&gt;=TIME(22,0,0),(MOD(F1561,1)-TIME(22,0,0))*24,IF(MOD(F1561,1)&lt;TIME(6,0,0),(MOD(F1561,1)+1-TIME(22,0,0))*24,0)),2))</f>
        <v/>
      </c>
      <c r="K1561" s="33">
        <f>IF(H1561="","",ROUND(IF(L1561="휴일근로",MIN(H1561,8)*1.5+MAX(0,H1561-8)*2,I1561*1.5)+N(J1561)*0.5,2))</f>
        <v/>
      </c>
      <c r="L1561" s="18" t="n"/>
      <c r="M1561" s="18" t="n"/>
      <c r="N1561" s="22" t="n"/>
    </row>
    <row r="1562">
      <c r="A1562" s="19" t="n"/>
      <c r="B1562" s="25">
        <f>IF(A1562="","",CHOOSE(WEEKDAY(A1562,2),"월","화","수","목","금","토","일"))</f>
        <v/>
      </c>
      <c r="C1562" s="18" t="n"/>
      <c r="D1562" s="25">
        <f>IFERROR(IF(C1562="","",INDEX(직원명부!$B$5:$B$24,MATCH(C1562,직원명부!$A$5:$A$24,0))),"사번 확인")</f>
        <v/>
      </c>
      <c r="E1562" s="34" t="n"/>
      <c r="F1562" s="34" t="n"/>
      <c r="G1562" s="28" t="n"/>
      <c r="H1562" s="33">
        <f>IF(OR(E1562="",F1562=""),"",ROUND(MOD(F1562-E1562,1)*24-N(G1562),2))</f>
        <v/>
      </c>
      <c r="I1562" s="33">
        <f>IF(H1562="","",ROUND(MAX(0,H1562-8),2))</f>
        <v/>
      </c>
      <c r="J1562" s="33">
        <f>IF(OR(E1562="",F1562=""),"",ROUND(IF(MOD(F1562,1)&gt;=TIME(22,0,0),(MOD(F1562,1)-TIME(22,0,0))*24,IF(MOD(F1562,1)&lt;TIME(6,0,0),(MOD(F1562,1)+1-TIME(22,0,0))*24,0)),2))</f>
        <v/>
      </c>
      <c r="K1562" s="33">
        <f>IF(H1562="","",ROUND(IF(L1562="휴일근로",MIN(H1562,8)*1.5+MAX(0,H1562-8)*2,I1562*1.5)+N(J1562)*0.5,2))</f>
        <v/>
      </c>
      <c r="L1562" s="18" t="n"/>
      <c r="M1562" s="18" t="n"/>
      <c r="N1562" s="22" t="n"/>
    </row>
    <row r="1563">
      <c r="A1563" s="19" t="n"/>
      <c r="B1563" s="25">
        <f>IF(A1563="","",CHOOSE(WEEKDAY(A1563,2),"월","화","수","목","금","토","일"))</f>
        <v/>
      </c>
      <c r="C1563" s="18" t="n"/>
      <c r="D1563" s="25">
        <f>IFERROR(IF(C1563="","",INDEX(직원명부!$B$5:$B$24,MATCH(C1563,직원명부!$A$5:$A$24,0))),"사번 확인")</f>
        <v/>
      </c>
      <c r="E1563" s="34" t="n"/>
      <c r="F1563" s="34" t="n"/>
      <c r="G1563" s="28" t="n"/>
      <c r="H1563" s="33">
        <f>IF(OR(E1563="",F1563=""),"",ROUND(MOD(F1563-E1563,1)*24-N(G1563),2))</f>
        <v/>
      </c>
      <c r="I1563" s="33">
        <f>IF(H1563="","",ROUND(MAX(0,H1563-8),2))</f>
        <v/>
      </c>
      <c r="J1563" s="33">
        <f>IF(OR(E1563="",F1563=""),"",ROUND(IF(MOD(F1563,1)&gt;=TIME(22,0,0),(MOD(F1563,1)-TIME(22,0,0))*24,IF(MOD(F1563,1)&lt;TIME(6,0,0),(MOD(F1563,1)+1-TIME(22,0,0))*24,0)),2))</f>
        <v/>
      </c>
      <c r="K1563" s="33">
        <f>IF(H1563="","",ROUND(IF(L1563="휴일근로",MIN(H1563,8)*1.5+MAX(0,H1563-8)*2,I1563*1.5)+N(J1563)*0.5,2))</f>
        <v/>
      </c>
      <c r="L1563" s="18" t="n"/>
      <c r="M1563" s="18" t="n"/>
      <c r="N1563" s="22" t="n"/>
    </row>
    <row r="1564">
      <c r="A1564" s="19" t="n"/>
      <c r="B1564" s="25">
        <f>IF(A1564="","",CHOOSE(WEEKDAY(A1564,2),"월","화","수","목","금","토","일"))</f>
        <v/>
      </c>
      <c r="C1564" s="18" t="n"/>
      <c r="D1564" s="25">
        <f>IFERROR(IF(C1564="","",INDEX(직원명부!$B$5:$B$24,MATCH(C1564,직원명부!$A$5:$A$24,0))),"사번 확인")</f>
        <v/>
      </c>
      <c r="E1564" s="34" t="n"/>
      <c r="F1564" s="34" t="n"/>
      <c r="G1564" s="28" t="n"/>
      <c r="H1564" s="33">
        <f>IF(OR(E1564="",F1564=""),"",ROUND(MOD(F1564-E1564,1)*24-N(G1564),2))</f>
        <v/>
      </c>
      <c r="I1564" s="33">
        <f>IF(H1564="","",ROUND(MAX(0,H1564-8),2))</f>
        <v/>
      </c>
      <c r="J1564" s="33">
        <f>IF(OR(E1564="",F1564=""),"",ROUND(IF(MOD(F1564,1)&gt;=TIME(22,0,0),(MOD(F1564,1)-TIME(22,0,0))*24,IF(MOD(F1564,1)&lt;TIME(6,0,0),(MOD(F1564,1)+1-TIME(22,0,0))*24,0)),2))</f>
        <v/>
      </c>
      <c r="K1564" s="33">
        <f>IF(H1564="","",ROUND(IF(L1564="휴일근로",MIN(H1564,8)*1.5+MAX(0,H1564-8)*2,I1564*1.5)+N(J1564)*0.5,2))</f>
        <v/>
      </c>
      <c r="L1564" s="18" t="n"/>
      <c r="M1564" s="18" t="n"/>
      <c r="N1564" s="22" t="n"/>
    </row>
    <row r="1565">
      <c r="A1565" s="19" t="n"/>
      <c r="B1565" s="25">
        <f>IF(A1565="","",CHOOSE(WEEKDAY(A1565,2),"월","화","수","목","금","토","일"))</f>
        <v/>
      </c>
      <c r="C1565" s="18" t="n"/>
      <c r="D1565" s="25">
        <f>IFERROR(IF(C1565="","",INDEX(직원명부!$B$5:$B$24,MATCH(C1565,직원명부!$A$5:$A$24,0))),"사번 확인")</f>
        <v/>
      </c>
      <c r="E1565" s="34" t="n"/>
      <c r="F1565" s="34" t="n"/>
      <c r="G1565" s="28" t="n"/>
      <c r="H1565" s="33">
        <f>IF(OR(E1565="",F1565=""),"",ROUND(MOD(F1565-E1565,1)*24-N(G1565),2))</f>
        <v/>
      </c>
      <c r="I1565" s="33">
        <f>IF(H1565="","",ROUND(MAX(0,H1565-8),2))</f>
        <v/>
      </c>
      <c r="J1565" s="33">
        <f>IF(OR(E1565="",F1565=""),"",ROUND(IF(MOD(F1565,1)&gt;=TIME(22,0,0),(MOD(F1565,1)-TIME(22,0,0))*24,IF(MOD(F1565,1)&lt;TIME(6,0,0),(MOD(F1565,1)+1-TIME(22,0,0))*24,0)),2))</f>
        <v/>
      </c>
      <c r="K1565" s="33">
        <f>IF(H1565="","",ROUND(IF(L1565="휴일근로",MIN(H1565,8)*1.5+MAX(0,H1565-8)*2,I1565*1.5)+N(J1565)*0.5,2))</f>
        <v/>
      </c>
      <c r="L1565" s="18" t="n"/>
      <c r="M1565" s="18" t="n"/>
      <c r="N1565" s="22" t="n"/>
    </row>
    <row r="1566">
      <c r="A1566" s="19" t="n"/>
      <c r="B1566" s="25">
        <f>IF(A1566="","",CHOOSE(WEEKDAY(A1566,2),"월","화","수","목","금","토","일"))</f>
        <v/>
      </c>
      <c r="C1566" s="18" t="n"/>
      <c r="D1566" s="25">
        <f>IFERROR(IF(C1566="","",INDEX(직원명부!$B$5:$B$24,MATCH(C1566,직원명부!$A$5:$A$24,0))),"사번 확인")</f>
        <v/>
      </c>
      <c r="E1566" s="34" t="n"/>
      <c r="F1566" s="34" t="n"/>
      <c r="G1566" s="28" t="n"/>
      <c r="H1566" s="33">
        <f>IF(OR(E1566="",F1566=""),"",ROUND(MOD(F1566-E1566,1)*24-N(G1566),2))</f>
        <v/>
      </c>
      <c r="I1566" s="33">
        <f>IF(H1566="","",ROUND(MAX(0,H1566-8),2))</f>
        <v/>
      </c>
      <c r="J1566" s="33">
        <f>IF(OR(E1566="",F1566=""),"",ROUND(IF(MOD(F1566,1)&gt;=TIME(22,0,0),(MOD(F1566,1)-TIME(22,0,0))*24,IF(MOD(F1566,1)&lt;TIME(6,0,0),(MOD(F1566,1)+1-TIME(22,0,0))*24,0)),2))</f>
        <v/>
      </c>
      <c r="K1566" s="33">
        <f>IF(H1566="","",ROUND(IF(L1566="휴일근로",MIN(H1566,8)*1.5+MAX(0,H1566-8)*2,I1566*1.5)+N(J1566)*0.5,2))</f>
        <v/>
      </c>
      <c r="L1566" s="18" t="n"/>
      <c r="M1566" s="18" t="n"/>
      <c r="N1566" s="22" t="n"/>
    </row>
    <row r="1567">
      <c r="A1567" s="19" t="n"/>
      <c r="B1567" s="25">
        <f>IF(A1567="","",CHOOSE(WEEKDAY(A1567,2),"월","화","수","목","금","토","일"))</f>
        <v/>
      </c>
      <c r="C1567" s="18" t="n"/>
      <c r="D1567" s="25">
        <f>IFERROR(IF(C1567="","",INDEX(직원명부!$B$5:$B$24,MATCH(C1567,직원명부!$A$5:$A$24,0))),"사번 확인")</f>
        <v/>
      </c>
      <c r="E1567" s="34" t="n"/>
      <c r="F1567" s="34" t="n"/>
      <c r="G1567" s="28" t="n"/>
      <c r="H1567" s="33">
        <f>IF(OR(E1567="",F1567=""),"",ROUND(MOD(F1567-E1567,1)*24-N(G1567),2))</f>
        <v/>
      </c>
      <c r="I1567" s="33">
        <f>IF(H1567="","",ROUND(MAX(0,H1567-8),2))</f>
        <v/>
      </c>
      <c r="J1567" s="33">
        <f>IF(OR(E1567="",F1567=""),"",ROUND(IF(MOD(F1567,1)&gt;=TIME(22,0,0),(MOD(F1567,1)-TIME(22,0,0))*24,IF(MOD(F1567,1)&lt;TIME(6,0,0),(MOD(F1567,1)+1-TIME(22,0,0))*24,0)),2))</f>
        <v/>
      </c>
      <c r="K1567" s="33">
        <f>IF(H1567="","",ROUND(IF(L1567="휴일근로",MIN(H1567,8)*1.5+MAX(0,H1567-8)*2,I1567*1.5)+N(J1567)*0.5,2))</f>
        <v/>
      </c>
      <c r="L1567" s="18" t="n"/>
      <c r="M1567" s="18" t="n"/>
      <c r="N1567" s="22" t="n"/>
    </row>
    <row r="1568">
      <c r="A1568" s="19" t="n"/>
      <c r="B1568" s="25">
        <f>IF(A1568="","",CHOOSE(WEEKDAY(A1568,2),"월","화","수","목","금","토","일"))</f>
        <v/>
      </c>
      <c r="C1568" s="18" t="n"/>
      <c r="D1568" s="25">
        <f>IFERROR(IF(C1568="","",INDEX(직원명부!$B$5:$B$24,MATCH(C1568,직원명부!$A$5:$A$24,0))),"사번 확인")</f>
        <v/>
      </c>
      <c r="E1568" s="34" t="n"/>
      <c r="F1568" s="34" t="n"/>
      <c r="G1568" s="28" t="n"/>
      <c r="H1568" s="33">
        <f>IF(OR(E1568="",F1568=""),"",ROUND(MOD(F1568-E1568,1)*24-N(G1568),2))</f>
        <v/>
      </c>
      <c r="I1568" s="33">
        <f>IF(H1568="","",ROUND(MAX(0,H1568-8),2))</f>
        <v/>
      </c>
      <c r="J1568" s="33">
        <f>IF(OR(E1568="",F1568=""),"",ROUND(IF(MOD(F1568,1)&gt;=TIME(22,0,0),(MOD(F1568,1)-TIME(22,0,0))*24,IF(MOD(F1568,1)&lt;TIME(6,0,0),(MOD(F1568,1)+1-TIME(22,0,0))*24,0)),2))</f>
        <v/>
      </c>
      <c r="K1568" s="33">
        <f>IF(H1568="","",ROUND(IF(L1568="휴일근로",MIN(H1568,8)*1.5+MAX(0,H1568-8)*2,I1568*1.5)+N(J1568)*0.5,2))</f>
        <v/>
      </c>
      <c r="L1568" s="18" t="n"/>
      <c r="M1568" s="18" t="n"/>
      <c r="N1568" s="22" t="n"/>
    </row>
    <row r="1569">
      <c r="A1569" s="19" t="n"/>
      <c r="B1569" s="25">
        <f>IF(A1569="","",CHOOSE(WEEKDAY(A1569,2),"월","화","수","목","금","토","일"))</f>
        <v/>
      </c>
      <c r="C1569" s="18" t="n"/>
      <c r="D1569" s="25">
        <f>IFERROR(IF(C1569="","",INDEX(직원명부!$B$5:$B$24,MATCH(C1569,직원명부!$A$5:$A$24,0))),"사번 확인")</f>
        <v/>
      </c>
      <c r="E1569" s="34" t="n"/>
      <c r="F1569" s="34" t="n"/>
      <c r="G1569" s="28" t="n"/>
      <c r="H1569" s="33">
        <f>IF(OR(E1569="",F1569=""),"",ROUND(MOD(F1569-E1569,1)*24-N(G1569),2))</f>
        <v/>
      </c>
      <c r="I1569" s="33">
        <f>IF(H1569="","",ROUND(MAX(0,H1569-8),2))</f>
        <v/>
      </c>
      <c r="J1569" s="33">
        <f>IF(OR(E1569="",F1569=""),"",ROUND(IF(MOD(F1569,1)&gt;=TIME(22,0,0),(MOD(F1569,1)-TIME(22,0,0))*24,IF(MOD(F1569,1)&lt;TIME(6,0,0),(MOD(F1569,1)+1-TIME(22,0,0))*24,0)),2))</f>
        <v/>
      </c>
      <c r="K1569" s="33">
        <f>IF(H1569="","",ROUND(IF(L1569="휴일근로",MIN(H1569,8)*1.5+MAX(0,H1569-8)*2,I1569*1.5)+N(J1569)*0.5,2))</f>
        <v/>
      </c>
      <c r="L1569" s="18" t="n"/>
      <c r="M1569" s="18" t="n"/>
      <c r="N1569" s="22" t="n"/>
    </row>
    <row r="1570">
      <c r="A1570" s="19" t="n"/>
      <c r="B1570" s="25">
        <f>IF(A1570="","",CHOOSE(WEEKDAY(A1570,2),"월","화","수","목","금","토","일"))</f>
        <v/>
      </c>
      <c r="C1570" s="18" t="n"/>
      <c r="D1570" s="25">
        <f>IFERROR(IF(C1570="","",INDEX(직원명부!$B$5:$B$24,MATCH(C1570,직원명부!$A$5:$A$24,0))),"사번 확인")</f>
        <v/>
      </c>
      <c r="E1570" s="34" t="n"/>
      <c r="F1570" s="34" t="n"/>
      <c r="G1570" s="28" t="n"/>
      <c r="H1570" s="33">
        <f>IF(OR(E1570="",F1570=""),"",ROUND(MOD(F1570-E1570,1)*24-N(G1570),2))</f>
        <v/>
      </c>
      <c r="I1570" s="33">
        <f>IF(H1570="","",ROUND(MAX(0,H1570-8),2))</f>
        <v/>
      </c>
      <c r="J1570" s="33">
        <f>IF(OR(E1570="",F1570=""),"",ROUND(IF(MOD(F1570,1)&gt;=TIME(22,0,0),(MOD(F1570,1)-TIME(22,0,0))*24,IF(MOD(F1570,1)&lt;TIME(6,0,0),(MOD(F1570,1)+1-TIME(22,0,0))*24,0)),2))</f>
        <v/>
      </c>
      <c r="K1570" s="33">
        <f>IF(H1570="","",ROUND(IF(L1570="휴일근로",MIN(H1570,8)*1.5+MAX(0,H1570-8)*2,I1570*1.5)+N(J1570)*0.5,2))</f>
        <v/>
      </c>
      <c r="L1570" s="18" t="n"/>
      <c r="M1570" s="18" t="n"/>
      <c r="N1570" s="22" t="n"/>
    </row>
    <row r="1571">
      <c r="A1571" s="19" t="n"/>
      <c r="B1571" s="25">
        <f>IF(A1571="","",CHOOSE(WEEKDAY(A1571,2),"월","화","수","목","금","토","일"))</f>
        <v/>
      </c>
      <c r="C1571" s="18" t="n"/>
      <c r="D1571" s="25">
        <f>IFERROR(IF(C1571="","",INDEX(직원명부!$B$5:$B$24,MATCH(C1571,직원명부!$A$5:$A$24,0))),"사번 확인")</f>
        <v/>
      </c>
      <c r="E1571" s="34" t="n"/>
      <c r="F1571" s="34" t="n"/>
      <c r="G1571" s="28" t="n"/>
      <c r="H1571" s="33">
        <f>IF(OR(E1571="",F1571=""),"",ROUND(MOD(F1571-E1571,1)*24-N(G1571),2))</f>
        <v/>
      </c>
      <c r="I1571" s="33">
        <f>IF(H1571="","",ROUND(MAX(0,H1571-8),2))</f>
        <v/>
      </c>
      <c r="J1571" s="33">
        <f>IF(OR(E1571="",F1571=""),"",ROUND(IF(MOD(F1571,1)&gt;=TIME(22,0,0),(MOD(F1571,1)-TIME(22,0,0))*24,IF(MOD(F1571,1)&lt;TIME(6,0,0),(MOD(F1571,1)+1-TIME(22,0,0))*24,0)),2))</f>
        <v/>
      </c>
      <c r="K1571" s="33">
        <f>IF(H1571="","",ROUND(IF(L1571="휴일근로",MIN(H1571,8)*1.5+MAX(0,H1571-8)*2,I1571*1.5)+N(J1571)*0.5,2))</f>
        <v/>
      </c>
      <c r="L1571" s="18" t="n"/>
      <c r="M1571" s="18" t="n"/>
      <c r="N1571" s="22" t="n"/>
    </row>
    <row r="1572">
      <c r="A1572" s="19" t="n"/>
      <c r="B1572" s="25">
        <f>IF(A1572="","",CHOOSE(WEEKDAY(A1572,2),"월","화","수","목","금","토","일"))</f>
        <v/>
      </c>
      <c r="C1572" s="18" t="n"/>
      <c r="D1572" s="25">
        <f>IFERROR(IF(C1572="","",INDEX(직원명부!$B$5:$B$24,MATCH(C1572,직원명부!$A$5:$A$24,0))),"사번 확인")</f>
        <v/>
      </c>
      <c r="E1572" s="34" t="n"/>
      <c r="F1572" s="34" t="n"/>
      <c r="G1572" s="28" t="n"/>
      <c r="H1572" s="33">
        <f>IF(OR(E1572="",F1572=""),"",ROUND(MOD(F1572-E1572,1)*24-N(G1572),2))</f>
        <v/>
      </c>
      <c r="I1572" s="33">
        <f>IF(H1572="","",ROUND(MAX(0,H1572-8),2))</f>
        <v/>
      </c>
      <c r="J1572" s="33">
        <f>IF(OR(E1572="",F1572=""),"",ROUND(IF(MOD(F1572,1)&gt;=TIME(22,0,0),(MOD(F1572,1)-TIME(22,0,0))*24,IF(MOD(F1572,1)&lt;TIME(6,0,0),(MOD(F1572,1)+1-TIME(22,0,0))*24,0)),2))</f>
        <v/>
      </c>
      <c r="K1572" s="33">
        <f>IF(H1572="","",ROUND(IF(L1572="휴일근로",MIN(H1572,8)*1.5+MAX(0,H1572-8)*2,I1572*1.5)+N(J1572)*0.5,2))</f>
        <v/>
      </c>
      <c r="L1572" s="18" t="n"/>
      <c r="M1572" s="18" t="n"/>
      <c r="N1572" s="22" t="n"/>
    </row>
    <row r="1573">
      <c r="A1573" s="19" t="n"/>
      <c r="B1573" s="25">
        <f>IF(A1573="","",CHOOSE(WEEKDAY(A1573,2),"월","화","수","목","금","토","일"))</f>
        <v/>
      </c>
      <c r="C1573" s="18" t="n"/>
      <c r="D1573" s="25">
        <f>IFERROR(IF(C1573="","",INDEX(직원명부!$B$5:$B$24,MATCH(C1573,직원명부!$A$5:$A$24,0))),"사번 확인")</f>
        <v/>
      </c>
      <c r="E1573" s="34" t="n"/>
      <c r="F1573" s="34" t="n"/>
      <c r="G1573" s="28" t="n"/>
      <c r="H1573" s="33">
        <f>IF(OR(E1573="",F1573=""),"",ROUND(MOD(F1573-E1573,1)*24-N(G1573),2))</f>
        <v/>
      </c>
      <c r="I1573" s="33">
        <f>IF(H1573="","",ROUND(MAX(0,H1573-8),2))</f>
        <v/>
      </c>
      <c r="J1573" s="33">
        <f>IF(OR(E1573="",F1573=""),"",ROUND(IF(MOD(F1573,1)&gt;=TIME(22,0,0),(MOD(F1573,1)-TIME(22,0,0))*24,IF(MOD(F1573,1)&lt;TIME(6,0,0),(MOD(F1573,1)+1-TIME(22,0,0))*24,0)),2))</f>
        <v/>
      </c>
      <c r="K1573" s="33">
        <f>IF(H1573="","",ROUND(IF(L1573="휴일근로",MIN(H1573,8)*1.5+MAX(0,H1573-8)*2,I1573*1.5)+N(J1573)*0.5,2))</f>
        <v/>
      </c>
      <c r="L1573" s="18" t="n"/>
      <c r="M1573" s="18" t="n"/>
      <c r="N1573" s="22" t="n"/>
    </row>
    <row r="1574">
      <c r="A1574" s="19" t="n"/>
      <c r="B1574" s="25">
        <f>IF(A1574="","",CHOOSE(WEEKDAY(A1574,2),"월","화","수","목","금","토","일"))</f>
        <v/>
      </c>
      <c r="C1574" s="18" t="n"/>
      <c r="D1574" s="25">
        <f>IFERROR(IF(C1574="","",INDEX(직원명부!$B$5:$B$24,MATCH(C1574,직원명부!$A$5:$A$24,0))),"사번 확인")</f>
        <v/>
      </c>
      <c r="E1574" s="34" t="n"/>
      <c r="F1574" s="34" t="n"/>
      <c r="G1574" s="28" t="n"/>
      <c r="H1574" s="33">
        <f>IF(OR(E1574="",F1574=""),"",ROUND(MOD(F1574-E1574,1)*24-N(G1574),2))</f>
        <v/>
      </c>
      <c r="I1574" s="33">
        <f>IF(H1574="","",ROUND(MAX(0,H1574-8),2))</f>
        <v/>
      </c>
      <c r="J1574" s="33">
        <f>IF(OR(E1574="",F1574=""),"",ROUND(IF(MOD(F1574,1)&gt;=TIME(22,0,0),(MOD(F1574,1)-TIME(22,0,0))*24,IF(MOD(F1574,1)&lt;TIME(6,0,0),(MOD(F1574,1)+1-TIME(22,0,0))*24,0)),2))</f>
        <v/>
      </c>
      <c r="K1574" s="33">
        <f>IF(H1574="","",ROUND(IF(L1574="휴일근로",MIN(H1574,8)*1.5+MAX(0,H1574-8)*2,I1574*1.5)+N(J1574)*0.5,2))</f>
        <v/>
      </c>
      <c r="L1574" s="18" t="n"/>
      <c r="M1574" s="18" t="n"/>
      <c r="N1574" s="22" t="n"/>
    </row>
    <row r="1575">
      <c r="A1575" s="19" t="n"/>
      <c r="B1575" s="25">
        <f>IF(A1575="","",CHOOSE(WEEKDAY(A1575,2),"월","화","수","목","금","토","일"))</f>
        <v/>
      </c>
      <c r="C1575" s="18" t="n"/>
      <c r="D1575" s="25">
        <f>IFERROR(IF(C1575="","",INDEX(직원명부!$B$5:$B$24,MATCH(C1575,직원명부!$A$5:$A$24,0))),"사번 확인")</f>
        <v/>
      </c>
      <c r="E1575" s="34" t="n"/>
      <c r="F1575" s="34" t="n"/>
      <c r="G1575" s="28" t="n"/>
      <c r="H1575" s="33">
        <f>IF(OR(E1575="",F1575=""),"",ROUND(MOD(F1575-E1575,1)*24-N(G1575),2))</f>
        <v/>
      </c>
      <c r="I1575" s="33">
        <f>IF(H1575="","",ROUND(MAX(0,H1575-8),2))</f>
        <v/>
      </c>
      <c r="J1575" s="33">
        <f>IF(OR(E1575="",F1575=""),"",ROUND(IF(MOD(F1575,1)&gt;=TIME(22,0,0),(MOD(F1575,1)-TIME(22,0,0))*24,IF(MOD(F1575,1)&lt;TIME(6,0,0),(MOD(F1575,1)+1-TIME(22,0,0))*24,0)),2))</f>
        <v/>
      </c>
      <c r="K1575" s="33">
        <f>IF(H1575="","",ROUND(IF(L1575="휴일근로",MIN(H1575,8)*1.5+MAX(0,H1575-8)*2,I1575*1.5)+N(J1575)*0.5,2))</f>
        <v/>
      </c>
      <c r="L1575" s="18" t="n"/>
      <c r="M1575" s="18" t="n"/>
      <c r="N1575" s="22" t="n"/>
    </row>
    <row r="1576">
      <c r="A1576" s="19" t="n"/>
      <c r="B1576" s="25">
        <f>IF(A1576="","",CHOOSE(WEEKDAY(A1576,2),"월","화","수","목","금","토","일"))</f>
        <v/>
      </c>
      <c r="C1576" s="18" t="n"/>
      <c r="D1576" s="25">
        <f>IFERROR(IF(C1576="","",INDEX(직원명부!$B$5:$B$24,MATCH(C1576,직원명부!$A$5:$A$24,0))),"사번 확인")</f>
        <v/>
      </c>
      <c r="E1576" s="34" t="n"/>
      <c r="F1576" s="34" t="n"/>
      <c r="G1576" s="28" t="n"/>
      <c r="H1576" s="33">
        <f>IF(OR(E1576="",F1576=""),"",ROUND(MOD(F1576-E1576,1)*24-N(G1576),2))</f>
        <v/>
      </c>
      <c r="I1576" s="33">
        <f>IF(H1576="","",ROUND(MAX(0,H1576-8),2))</f>
        <v/>
      </c>
      <c r="J1576" s="33">
        <f>IF(OR(E1576="",F1576=""),"",ROUND(IF(MOD(F1576,1)&gt;=TIME(22,0,0),(MOD(F1576,1)-TIME(22,0,0))*24,IF(MOD(F1576,1)&lt;TIME(6,0,0),(MOD(F1576,1)+1-TIME(22,0,0))*24,0)),2))</f>
        <v/>
      </c>
      <c r="K1576" s="33">
        <f>IF(H1576="","",ROUND(IF(L1576="휴일근로",MIN(H1576,8)*1.5+MAX(0,H1576-8)*2,I1576*1.5)+N(J1576)*0.5,2))</f>
        <v/>
      </c>
      <c r="L1576" s="18" t="n"/>
      <c r="M1576" s="18" t="n"/>
      <c r="N1576" s="22" t="n"/>
    </row>
    <row r="1577">
      <c r="A1577" s="19" t="n"/>
      <c r="B1577" s="25">
        <f>IF(A1577="","",CHOOSE(WEEKDAY(A1577,2),"월","화","수","목","금","토","일"))</f>
        <v/>
      </c>
      <c r="C1577" s="18" t="n"/>
      <c r="D1577" s="25">
        <f>IFERROR(IF(C1577="","",INDEX(직원명부!$B$5:$B$24,MATCH(C1577,직원명부!$A$5:$A$24,0))),"사번 확인")</f>
        <v/>
      </c>
      <c r="E1577" s="34" t="n"/>
      <c r="F1577" s="34" t="n"/>
      <c r="G1577" s="28" t="n"/>
      <c r="H1577" s="33">
        <f>IF(OR(E1577="",F1577=""),"",ROUND(MOD(F1577-E1577,1)*24-N(G1577),2))</f>
        <v/>
      </c>
      <c r="I1577" s="33">
        <f>IF(H1577="","",ROUND(MAX(0,H1577-8),2))</f>
        <v/>
      </c>
      <c r="J1577" s="33">
        <f>IF(OR(E1577="",F1577=""),"",ROUND(IF(MOD(F1577,1)&gt;=TIME(22,0,0),(MOD(F1577,1)-TIME(22,0,0))*24,IF(MOD(F1577,1)&lt;TIME(6,0,0),(MOD(F1577,1)+1-TIME(22,0,0))*24,0)),2))</f>
        <v/>
      </c>
      <c r="K1577" s="33">
        <f>IF(H1577="","",ROUND(IF(L1577="휴일근로",MIN(H1577,8)*1.5+MAX(0,H1577-8)*2,I1577*1.5)+N(J1577)*0.5,2))</f>
        <v/>
      </c>
      <c r="L1577" s="18" t="n"/>
      <c r="M1577" s="18" t="n"/>
      <c r="N1577" s="22" t="n"/>
    </row>
    <row r="1578">
      <c r="A1578" s="19" t="n"/>
      <c r="B1578" s="25">
        <f>IF(A1578="","",CHOOSE(WEEKDAY(A1578,2),"월","화","수","목","금","토","일"))</f>
        <v/>
      </c>
      <c r="C1578" s="18" t="n"/>
      <c r="D1578" s="25">
        <f>IFERROR(IF(C1578="","",INDEX(직원명부!$B$5:$B$24,MATCH(C1578,직원명부!$A$5:$A$24,0))),"사번 확인")</f>
        <v/>
      </c>
      <c r="E1578" s="34" t="n"/>
      <c r="F1578" s="34" t="n"/>
      <c r="G1578" s="28" t="n"/>
      <c r="H1578" s="33">
        <f>IF(OR(E1578="",F1578=""),"",ROUND(MOD(F1578-E1578,1)*24-N(G1578),2))</f>
        <v/>
      </c>
      <c r="I1578" s="33">
        <f>IF(H1578="","",ROUND(MAX(0,H1578-8),2))</f>
        <v/>
      </c>
      <c r="J1578" s="33">
        <f>IF(OR(E1578="",F1578=""),"",ROUND(IF(MOD(F1578,1)&gt;=TIME(22,0,0),(MOD(F1578,1)-TIME(22,0,0))*24,IF(MOD(F1578,1)&lt;TIME(6,0,0),(MOD(F1578,1)+1-TIME(22,0,0))*24,0)),2))</f>
        <v/>
      </c>
      <c r="K1578" s="33">
        <f>IF(H1578="","",ROUND(IF(L1578="휴일근로",MIN(H1578,8)*1.5+MAX(0,H1578-8)*2,I1578*1.5)+N(J1578)*0.5,2))</f>
        <v/>
      </c>
      <c r="L1578" s="18" t="n"/>
      <c r="M1578" s="18" t="n"/>
      <c r="N1578" s="22" t="n"/>
    </row>
    <row r="1579">
      <c r="A1579" s="19" t="n"/>
      <c r="B1579" s="25">
        <f>IF(A1579="","",CHOOSE(WEEKDAY(A1579,2),"월","화","수","목","금","토","일"))</f>
        <v/>
      </c>
      <c r="C1579" s="18" t="n"/>
      <c r="D1579" s="25">
        <f>IFERROR(IF(C1579="","",INDEX(직원명부!$B$5:$B$24,MATCH(C1579,직원명부!$A$5:$A$24,0))),"사번 확인")</f>
        <v/>
      </c>
      <c r="E1579" s="34" t="n"/>
      <c r="F1579" s="34" t="n"/>
      <c r="G1579" s="28" t="n"/>
      <c r="H1579" s="33">
        <f>IF(OR(E1579="",F1579=""),"",ROUND(MOD(F1579-E1579,1)*24-N(G1579),2))</f>
        <v/>
      </c>
      <c r="I1579" s="33">
        <f>IF(H1579="","",ROUND(MAX(0,H1579-8),2))</f>
        <v/>
      </c>
      <c r="J1579" s="33">
        <f>IF(OR(E1579="",F1579=""),"",ROUND(IF(MOD(F1579,1)&gt;=TIME(22,0,0),(MOD(F1579,1)-TIME(22,0,0))*24,IF(MOD(F1579,1)&lt;TIME(6,0,0),(MOD(F1579,1)+1-TIME(22,0,0))*24,0)),2))</f>
        <v/>
      </c>
      <c r="K1579" s="33">
        <f>IF(H1579="","",ROUND(IF(L1579="휴일근로",MIN(H1579,8)*1.5+MAX(0,H1579-8)*2,I1579*1.5)+N(J1579)*0.5,2))</f>
        <v/>
      </c>
      <c r="L1579" s="18" t="n"/>
      <c r="M1579" s="18" t="n"/>
      <c r="N1579" s="22" t="n"/>
    </row>
    <row r="1580">
      <c r="A1580" s="19" t="n"/>
      <c r="B1580" s="25">
        <f>IF(A1580="","",CHOOSE(WEEKDAY(A1580,2),"월","화","수","목","금","토","일"))</f>
        <v/>
      </c>
      <c r="C1580" s="18" t="n"/>
      <c r="D1580" s="25">
        <f>IFERROR(IF(C1580="","",INDEX(직원명부!$B$5:$B$24,MATCH(C1580,직원명부!$A$5:$A$24,0))),"사번 확인")</f>
        <v/>
      </c>
      <c r="E1580" s="34" t="n"/>
      <c r="F1580" s="34" t="n"/>
      <c r="G1580" s="28" t="n"/>
      <c r="H1580" s="33">
        <f>IF(OR(E1580="",F1580=""),"",ROUND(MOD(F1580-E1580,1)*24-N(G1580),2))</f>
        <v/>
      </c>
      <c r="I1580" s="33">
        <f>IF(H1580="","",ROUND(MAX(0,H1580-8),2))</f>
        <v/>
      </c>
      <c r="J1580" s="33">
        <f>IF(OR(E1580="",F1580=""),"",ROUND(IF(MOD(F1580,1)&gt;=TIME(22,0,0),(MOD(F1580,1)-TIME(22,0,0))*24,IF(MOD(F1580,1)&lt;TIME(6,0,0),(MOD(F1580,1)+1-TIME(22,0,0))*24,0)),2))</f>
        <v/>
      </c>
      <c r="K1580" s="33">
        <f>IF(H1580="","",ROUND(IF(L1580="휴일근로",MIN(H1580,8)*1.5+MAX(0,H1580-8)*2,I1580*1.5)+N(J1580)*0.5,2))</f>
        <v/>
      </c>
      <c r="L1580" s="18" t="n"/>
      <c r="M1580" s="18" t="n"/>
      <c r="N1580" s="22" t="n"/>
    </row>
    <row r="1581">
      <c r="A1581" s="19" t="n"/>
      <c r="B1581" s="25">
        <f>IF(A1581="","",CHOOSE(WEEKDAY(A1581,2),"월","화","수","목","금","토","일"))</f>
        <v/>
      </c>
      <c r="C1581" s="18" t="n"/>
      <c r="D1581" s="25">
        <f>IFERROR(IF(C1581="","",INDEX(직원명부!$B$5:$B$24,MATCH(C1581,직원명부!$A$5:$A$24,0))),"사번 확인")</f>
        <v/>
      </c>
      <c r="E1581" s="34" t="n"/>
      <c r="F1581" s="34" t="n"/>
      <c r="G1581" s="28" t="n"/>
      <c r="H1581" s="33">
        <f>IF(OR(E1581="",F1581=""),"",ROUND(MOD(F1581-E1581,1)*24-N(G1581),2))</f>
        <v/>
      </c>
      <c r="I1581" s="33">
        <f>IF(H1581="","",ROUND(MAX(0,H1581-8),2))</f>
        <v/>
      </c>
      <c r="J1581" s="33">
        <f>IF(OR(E1581="",F1581=""),"",ROUND(IF(MOD(F1581,1)&gt;=TIME(22,0,0),(MOD(F1581,1)-TIME(22,0,0))*24,IF(MOD(F1581,1)&lt;TIME(6,0,0),(MOD(F1581,1)+1-TIME(22,0,0))*24,0)),2))</f>
        <v/>
      </c>
      <c r="K1581" s="33">
        <f>IF(H1581="","",ROUND(IF(L1581="휴일근로",MIN(H1581,8)*1.5+MAX(0,H1581-8)*2,I1581*1.5)+N(J1581)*0.5,2))</f>
        <v/>
      </c>
      <c r="L1581" s="18" t="n"/>
      <c r="M1581" s="18" t="n"/>
      <c r="N1581" s="22" t="n"/>
    </row>
    <row r="1582">
      <c r="A1582" s="19" t="n"/>
      <c r="B1582" s="25">
        <f>IF(A1582="","",CHOOSE(WEEKDAY(A1582,2),"월","화","수","목","금","토","일"))</f>
        <v/>
      </c>
      <c r="C1582" s="18" t="n"/>
      <c r="D1582" s="25">
        <f>IFERROR(IF(C1582="","",INDEX(직원명부!$B$5:$B$24,MATCH(C1582,직원명부!$A$5:$A$24,0))),"사번 확인")</f>
        <v/>
      </c>
      <c r="E1582" s="34" t="n"/>
      <c r="F1582" s="34" t="n"/>
      <c r="G1582" s="28" t="n"/>
      <c r="H1582" s="33">
        <f>IF(OR(E1582="",F1582=""),"",ROUND(MOD(F1582-E1582,1)*24-N(G1582),2))</f>
        <v/>
      </c>
      <c r="I1582" s="33">
        <f>IF(H1582="","",ROUND(MAX(0,H1582-8),2))</f>
        <v/>
      </c>
      <c r="J1582" s="33">
        <f>IF(OR(E1582="",F1582=""),"",ROUND(IF(MOD(F1582,1)&gt;=TIME(22,0,0),(MOD(F1582,1)-TIME(22,0,0))*24,IF(MOD(F1582,1)&lt;TIME(6,0,0),(MOD(F1582,1)+1-TIME(22,0,0))*24,0)),2))</f>
        <v/>
      </c>
      <c r="K1582" s="33">
        <f>IF(H1582="","",ROUND(IF(L1582="휴일근로",MIN(H1582,8)*1.5+MAX(0,H1582-8)*2,I1582*1.5)+N(J1582)*0.5,2))</f>
        <v/>
      </c>
      <c r="L1582" s="18" t="n"/>
      <c r="M1582" s="18" t="n"/>
      <c r="N1582" s="22" t="n"/>
    </row>
    <row r="1583">
      <c r="A1583" s="19" t="n"/>
      <c r="B1583" s="25">
        <f>IF(A1583="","",CHOOSE(WEEKDAY(A1583,2),"월","화","수","목","금","토","일"))</f>
        <v/>
      </c>
      <c r="C1583" s="18" t="n"/>
      <c r="D1583" s="25">
        <f>IFERROR(IF(C1583="","",INDEX(직원명부!$B$5:$B$24,MATCH(C1583,직원명부!$A$5:$A$24,0))),"사번 확인")</f>
        <v/>
      </c>
      <c r="E1583" s="34" t="n"/>
      <c r="F1583" s="34" t="n"/>
      <c r="G1583" s="28" t="n"/>
      <c r="H1583" s="33">
        <f>IF(OR(E1583="",F1583=""),"",ROUND(MOD(F1583-E1583,1)*24-N(G1583),2))</f>
        <v/>
      </c>
      <c r="I1583" s="33">
        <f>IF(H1583="","",ROUND(MAX(0,H1583-8),2))</f>
        <v/>
      </c>
      <c r="J1583" s="33">
        <f>IF(OR(E1583="",F1583=""),"",ROUND(IF(MOD(F1583,1)&gt;=TIME(22,0,0),(MOD(F1583,1)-TIME(22,0,0))*24,IF(MOD(F1583,1)&lt;TIME(6,0,0),(MOD(F1583,1)+1-TIME(22,0,0))*24,0)),2))</f>
        <v/>
      </c>
      <c r="K1583" s="33">
        <f>IF(H1583="","",ROUND(IF(L1583="휴일근로",MIN(H1583,8)*1.5+MAX(0,H1583-8)*2,I1583*1.5)+N(J1583)*0.5,2))</f>
        <v/>
      </c>
      <c r="L1583" s="18" t="n"/>
      <c r="M1583" s="18" t="n"/>
      <c r="N1583" s="22" t="n"/>
    </row>
    <row r="1584">
      <c r="A1584" s="19" t="n"/>
      <c r="B1584" s="25">
        <f>IF(A1584="","",CHOOSE(WEEKDAY(A1584,2),"월","화","수","목","금","토","일"))</f>
        <v/>
      </c>
      <c r="C1584" s="18" t="n"/>
      <c r="D1584" s="25">
        <f>IFERROR(IF(C1584="","",INDEX(직원명부!$B$5:$B$24,MATCH(C1584,직원명부!$A$5:$A$24,0))),"사번 확인")</f>
        <v/>
      </c>
      <c r="E1584" s="34" t="n"/>
      <c r="F1584" s="34" t="n"/>
      <c r="G1584" s="28" t="n"/>
      <c r="H1584" s="33">
        <f>IF(OR(E1584="",F1584=""),"",ROUND(MOD(F1584-E1584,1)*24-N(G1584),2))</f>
        <v/>
      </c>
      <c r="I1584" s="33">
        <f>IF(H1584="","",ROUND(MAX(0,H1584-8),2))</f>
        <v/>
      </c>
      <c r="J1584" s="33">
        <f>IF(OR(E1584="",F1584=""),"",ROUND(IF(MOD(F1584,1)&gt;=TIME(22,0,0),(MOD(F1584,1)-TIME(22,0,0))*24,IF(MOD(F1584,1)&lt;TIME(6,0,0),(MOD(F1584,1)+1-TIME(22,0,0))*24,0)),2))</f>
        <v/>
      </c>
      <c r="K1584" s="33">
        <f>IF(H1584="","",ROUND(IF(L1584="휴일근로",MIN(H1584,8)*1.5+MAX(0,H1584-8)*2,I1584*1.5)+N(J1584)*0.5,2))</f>
        <v/>
      </c>
      <c r="L1584" s="18" t="n"/>
      <c r="M1584" s="18" t="n"/>
      <c r="N1584" s="22" t="n"/>
    </row>
    <row r="1585">
      <c r="A1585" s="19" t="n"/>
      <c r="B1585" s="25">
        <f>IF(A1585="","",CHOOSE(WEEKDAY(A1585,2),"월","화","수","목","금","토","일"))</f>
        <v/>
      </c>
      <c r="C1585" s="18" t="n"/>
      <c r="D1585" s="25">
        <f>IFERROR(IF(C1585="","",INDEX(직원명부!$B$5:$B$24,MATCH(C1585,직원명부!$A$5:$A$24,0))),"사번 확인")</f>
        <v/>
      </c>
      <c r="E1585" s="34" t="n"/>
      <c r="F1585" s="34" t="n"/>
      <c r="G1585" s="28" t="n"/>
      <c r="H1585" s="33">
        <f>IF(OR(E1585="",F1585=""),"",ROUND(MOD(F1585-E1585,1)*24-N(G1585),2))</f>
        <v/>
      </c>
      <c r="I1585" s="33">
        <f>IF(H1585="","",ROUND(MAX(0,H1585-8),2))</f>
        <v/>
      </c>
      <c r="J1585" s="33">
        <f>IF(OR(E1585="",F1585=""),"",ROUND(IF(MOD(F1585,1)&gt;=TIME(22,0,0),(MOD(F1585,1)-TIME(22,0,0))*24,IF(MOD(F1585,1)&lt;TIME(6,0,0),(MOD(F1585,1)+1-TIME(22,0,0))*24,0)),2))</f>
        <v/>
      </c>
      <c r="K1585" s="33">
        <f>IF(H1585="","",ROUND(IF(L1585="휴일근로",MIN(H1585,8)*1.5+MAX(0,H1585-8)*2,I1585*1.5)+N(J1585)*0.5,2))</f>
        <v/>
      </c>
      <c r="L1585" s="18" t="n"/>
      <c r="M1585" s="18" t="n"/>
      <c r="N1585" s="22" t="n"/>
    </row>
    <row r="1586">
      <c r="A1586" s="19" t="n"/>
      <c r="B1586" s="25">
        <f>IF(A1586="","",CHOOSE(WEEKDAY(A1586,2),"월","화","수","목","금","토","일"))</f>
        <v/>
      </c>
      <c r="C1586" s="18" t="n"/>
      <c r="D1586" s="25">
        <f>IFERROR(IF(C1586="","",INDEX(직원명부!$B$5:$B$24,MATCH(C1586,직원명부!$A$5:$A$24,0))),"사번 확인")</f>
        <v/>
      </c>
      <c r="E1586" s="34" t="n"/>
      <c r="F1586" s="34" t="n"/>
      <c r="G1586" s="28" t="n"/>
      <c r="H1586" s="33">
        <f>IF(OR(E1586="",F1586=""),"",ROUND(MOD(F1586-E1586,1)*24-N(G1586),2))</f>
        <v/>
      </c>
      <c r="I1586" s="33">
        <f>IF(H1586="","",ROUND(MAX(0,H1586-8),2))</f>
        <v/>
      </c>
      <c r="J1586" s="33">
        <f>IF(OR(E1586="",F1586=""),"",ROUND(IF(MOD(F1586,1)&gt;=TIME(22,0,0),(MOD(F1586,1)-TIME(22,0,0))*24,IF(MOD(F1586,1)&lt;TIME(6,0,0),(MOD(F1586,1)+1-TIME(22,0,0))*24,0)),2))</f>
        <v/>
      </c>
      <c r="K1586" s="33">
        <f>IF(H1586="","",ROUND(IF(L1586="휴일근로",MIN(H1586,8)*1.5+MAX(0,H1586-8)*2,I1586*1.5)+N(J1586)*0.5,2))</f>
        <v/>
      </c>
      <c r="L1586" s="18" t="n"/>
      <c r="M1586" s="18" t="n"/>
      <c r="N1586" s="22" t="n"/>
    </row>
    <row r="1587">
      <c r="A1587" s="19" t="n"/>
      <c r="B1587" s="25">
        <f>IF(A1587="","",CHOOSE(WEEKDAY(A1587,2),"월","화","수","목","금","토","일"))</f>
        <v/>
      </c>
      <c r="C1587" s="18" t="n"/>
      <c r="D1587" s="25">
        <f>IFERROR(IF(C1587="","",INDEX(직원명부!$B$5:$B$24,MATCH(C1587,직원명부!$A$5:$A$24,0))),"사번 확인")</f>
        <v/>
      </c>
      <c r="E1587" s="34" t="n"/>
      <c r="F1587" s="34" t="n"/>
      <c r="G1587" s="28" t="n"/>
      <c r="H1587" s="33">
        <f>IF(OR(E1587="",F1587=""),"",ROUND(MOD(F1587-E1587,1)*24-N(G1587),2))</f>
        <v/>
      </c>
      <c r="I1587" s="33">
        <f>IF(H1587="","",ROUND(MAX(0,H1587-8),2))</f>
        <v/>
      </c>
      <c r="J1587" s="33">
        <f>IF(OR(E1587="",F1587=""),"",ROUND(IF(MOD(F1587,1)&gt;=TIME(22,0,0),(MOD(F1587,1)-TIME(22,0,0))*24,IF(MOD(F1587,1)&lt;TIME(6,0,0),(MOD(F1587,1)+1-TIME(22,0,0))*24,0)),2))</f>
        <v/>
      </c>
      <c r="K1587" s="33">
        <f>IF(H1587="","",ROUND(IF(L1587="휴일근로",MIN(H1587,8)*1.5+MAX(0,H1587-8)*2,I1587*1.5)+N(J1587)*0.5,2))</f>
        <v/>
      </c>
      <c r="L1587" s="18" t="n"/>
      <c r="M1587" s="18" t="n"/>
      <c r="N1587" s="22" t="n"/>
    </row>
    <row r="1588">
      <c r="A1588" s="19" t="n"/>
      <c r="B1588" s="25">
        <f>IF(A1588="","",CHOOSE(WEEKDAY(A1588,2),"월","화","수","목","금","토","일"))</f>
        <v/>
      </c>
      <c r="C1588" s="18" t="n"/>
      <c r="D1588" s="25">
        <f>IFERROR(IF(C1588="","",INDEX(직원명부!$B$5:$B$24,MATCH(C1588,직원명부!$A$5:$A$24,0))),"사번 확인")</f>
        <v/>
      </c>
      <c r="E1588" s="34" t="n"/>
      <c r="F1588" s="34" t="n"/>
      <c r="G1588" s="28" t="n"/>
      <c r="H1588" s="33">
        <f>IF(OR(E1588="",F1588=""),"",ROUND(MOD(F1588-E1588,1)*24-N(G1588),2))</f>
        <v/>
      </c>
      <c r="I1588" s="33">
        <f>IF(H1588="","",ROUND(MAX(0,H1588-8),2))</f>
        <v/>
      </c>
      <c r="J1588" s="33">
        <f>IF(OR(E1588="",F1588=""),"",ROUND(IF(MOD(F1588,1)&gt;=TIME(22,0,0),(MOD(F1588,1)-TIME(22,0,0))*24,IF(MOD(F1588,1)&lt;TIME(6,0,0),(MOD(F1588,1)+1-TIME(22,0,0))*24,0)),2))</f>
        <v/>
      </c>
      <c r="K1588" s="33">
        <f>IF(H1588="","",ROUND(IF(L1588="휴일근로",MIN(H1588,8)*1.5+MAX(0,H1588-8)*2,I1588*1.5)+N(J1588)*0.5,2))</f>
        <v/>
      </c>
      <c r="L1588" s="18" t="n"/>
      <c r="M1588" s="18" t="n"/>
      <c r="N1588" s="22" t="n"/>
    </row>
    <row r="1589">
      <c r="A1589" s="19" t="n"/>
      <c r="B1589" s="25">
        <f>IF(A1589="","",CHOOSE(WEEKDAY(A1589,2),"월","화","수","목","금","토","일"))</f>
        <v/>
      </c>
      <c r="C1589" s="18" t="n"/>
      <c r="D1589" s="25">
        <f>IFERROR(IF(C1589="","",INDEX(직원명부!$B$5:$B$24,MATCH(C1589,직원명부!$A$5:$A$24,0))),"사번 확인")</f>
        <v/>
      </c>
      <c r="E1589" s="34" t="n"/>
      <c r="F1589" s="34" t="n"/>
      <c r="G1589" s="28" t="n"/>
      <c r="H1589" s="33">
        <f>IF(OR(E1589="",F1589=""),"",ROUND(MOD(F1589-E1589,1)*24-N(G1589),2))</f>
        <v/>
      </c>
      <c r="I1589" s="33">
        <f>IF(H1589="","",ROUND(MAX(0,H1589-8),2))</f>
        <v/>
      </c>
      <c r="J1589" s="33">
        <f>IF(OR(E1589="",F1589=""),"",ROUND(IF(MOD(F1589,1)&gt;=TIME(22,0,0),(MOD(F1589,1)-TIME(22,0,0))*24,IF(MOD(F1589,1)&lt;TIME(6,0,0),(MOD(F1589,1)+1-TIME(22,0,0))*24,0)),2))</f>
        <v/>
      </c>
      <c r="K1589" s="33">
        <f>IF(H1589="","",ROUND(IF(L1589="휴일근로",MIN(H1589,8)*1.5+MAX(0,H1589-8)*2,I1589*1.5)+N(J1589)*0.5,2))</f>
        <v/>
      </c>
      <c r="L1589" s="18" t="n"/>
      <c r="M1589" s="18" t="n"/>
      <c r="N1589" s="22" t="n"/>
    </row>
    <row r="1590">
      <c r="A1590" s="19" t="n"/>
      <c r="B1590" s="25">
        <f>IF(A1590="","",CHOOSE(WEEKDAY(A1590,2),"월","화","수","목","금","토","일"))</f>
        <v/>
      </c>
      <c r="C1590" s="18" t="n"/>
      <c r="D1590" s="25">
        <f>IFERROR(IF(C1590="","",INDEX(직원명부!$B$5:$B$24,MATCH(C1590,직원명부!$A$5:$A$24,0))),"사번 확인")</f>
        <v/>
      </c>
      <c r="E1590" s="34" t="n"/>
      <c r="F1590" s="34" t="n"/>
      <c r="G1590" s="28" t="n"/>
      <c r="H1590" s="33">
        <f>IF(OR(E1590="",F1590=""),"",ROUND(MOD(F1590-E1590,1)*24-N(G1590),2))</f>
        <v/>
      </c>
      <c r="I1590" s="33">
        <f>IF(H1590="","",ROUND(MAX(0,H1590-8),2))</f>
        <v/>
      </c>
      <c r="J1590" s="33">
        <f>IF(OR(E1590="",F1590=""),"",ROUND(IF(MOD(F1590,1)&gt;=TIME(22,0,0),(MOD(F1590,1)-TIME(22,0,0))*24,IF(MOD(F1590,1)&lt;TIME(6,0,0),(MOD(F1590,1)+1-TIME(22,0,0))*24,0)),2))</f>
        <v/>
      </c>
      <c r="K1590" s="33">
        <f>IF(H1590="","",ROUND(IF(L1590="휴일근로",MIN(H1590,8)*1.5+MAX(0,H1590-8)*2,I1590*1.5)+N(J1590)*0.5,2))</f>
        <v/>
      </c>
      <c r="L1590" s="18" t="n"/>
      <c r="M1590" s="18" t="n"/>
      <c r="N1590" s="22" t="n"/>
    </row>
    <row r="1591">
      <c r="A1591" s="19" t="n"/>
      <c r="B1591" s="25">
        <f>IF(A1591="","",CHOOSE(WEEKDAY(A1591,2),"월","화","수","목","금","토","일"))</f>
        <v/>
      </c>
      <c r="C1591" s="18" t="n"/>
      <c r="D1591" s="25">
        <f>IFERROR(IF(C1591="","",INDEX(직원명부!$B$5:$B$24,MATCH(C1591,직원명부!$A$5:$A$24,0))),"사번 확인")</f>
        <v/>
      </c>
      <c r="E1591" s="34" t="n"/>
      <c r="F1591" s="34" t="n"/>
      <c r="G1591" s="28" t="n"/>
      <c r="H1591" s="33">
        <f>IF(OR(E1591="",F1591=""),"",ROUND(MOD(F1591-E1591,1)*24-N(G1591),2))</f>
        <v/>
      </c>
      <c r="I1591" s="33">
        <f>IF(H1591="","",ROUND(MAX(0,H1591-8),2))</f>
        <v/>
      </c>
      <c r="J1591" s="33">
        <f>IF(OR(E1591="",F1591=""),"",ROUND(IF(MOD(F1591,1)&gt;=TIME(22,0,0),(MOD(F1591,1)-TIME(22,0,0))*24,IF(MOD(F1591,1)&lt;TIME(6,0,0),(MOD(F1591,1)+1-TIME(22,0,0))*24,0)),2))</f>
        <v/>
      </c>
      <c r="K1591" s="33">
        <f>IF(H1591="","",ROUND(IF(L1591="휴일근로",MIN(H1591,8)*1.5+MAX(0,H1591-8)*2,I1591*1.5)+N(J1591)*0.5,2))</f>
        <v/>
      </c>
      <c r="L1591" s="18" t="n"/>
      <c r="M1591" s="18" t="n"/>
      <c r="N1591" s="22" t="n"/>
    </row>
    <row r="1592">
      <c r="A1592" s="19" t="n"/>
      <c r="B1592" s="25">
        <f>IF(A1592="","",CHOOSE(WEEKDAY(A1592,2),"월","화","수","목","금","토","일"))</f>
        <v/>
      </c>
      <c r="C1592" s="18" t="n"/>
      <c r="D1592" s="25">
        <f>IFERROR(IF(C1592="","",INDEX(직원명부!$B$5:$B$24,MATCH(C1592,직원명부!$A$5:$A$24,0))),"사번 확인")</f>
        <v/>
      </c>
      <c r="E1592" s="34" t="n"/>
      <c r="F1592" s="34" t="n"/>
      <c r="G1592" s="28" t="n"/>
      <c r="H1592" s="33">
        <f>IF(OR(E1592="",F1592=""),"",ROUND(MOD(F1592-E1592,1)*24-N(G1592),2))</f>
        <v/>
      </c>
      <c r="I1592" s="33">
        <f>IF(H1592="","",ROUND(MAX(0,H1592-8),2))</f>
        <v/>
      </c>
      <c r="J1592" s="33">
        <f>IF(OR(E1592="",F1592=""),"",ROUND(IF(MOD(F1592,1)&gt;=TIME(22,0,0),(MOD(F1592,1)-TIME(22,0,0))*24,IF(MOD(F1592,1)&lt;TIME(6,0,0),(MOD(F1592,1)+1-TIME(22,0,0))*24,0)),2))</f>
        <v/>
      </c>
      <c r="K1592" s="33">
        <f>IF(H1592="","",ROUND(IF(L1592="휴일근로",MIN(H1592,8)*1.5+MAX(0,H1592-8)*2,I1592*1.5)+N(J1592)*0.5,2))</f>
        <v/>
      </c>
      <c r="L1592" s="18" t="n"/>
      <c r="M1592" s="18" t="n"/>
      <c r="N1592" s="22" t="n"/>
    </row>
    <row r="1593">
      <c r="A1593" s="19" t="n"/>
      <c r="B1593" s="25">
        <f>IF(A1593="","",CHOOSE(WEEKDAY(A1593,2),"월","화","수","목","금","토","일"))</f>
        <v/>
      </c>
      <c r="C1593" s="18" t="n"/>
      <c r="D1593" s="25">
        <f>IFERROR(IF(C1593="","",INDEX(직원명부!$B$5:$B$24,MATCH(C1593,직원명부!$A$5:$A$24,0))),"사번 확인")</f>
        <v/>
      </c>
      <c r="E1593" s="34" t="n"/>
      <c r="F1593" s="34" t="n"/>
      <c r="G1593" s="28" t="n"/>
      <c r="H1593" s="33">
        <f>IF(OR(E1593="",F1593=""),"",ROUND(MOD(F1593-E1593,1)*24-N(G1593),2))</f>
        <v/>
      </c>
      <c r="I1593" s="33">
        <f>IF(H1593="","",ROUND(MAX(0,H1593-8),2))</f>
        <v/>
      </c>
      <c r="J1593" s="33">
        <f>IF(OR(E1593="",F1593=""),"",ROUND(IF(MOD(F1593,1)&gt;=TIME(22,0,0),(MOD(F1593,1)-TIME(22,0,0))*24,IF(MOD(F1593,1)&lt;TIME(6,0,0),(MOD(F1593,1)+1-TIME(22,0,0))*24,0)),2))</f>
        <v/>
      </c>
      <c r="K1593" s="33">
        <f>IF(H1593="","",ROUND(IF(L1593="휴일근로",MIN(H1593,8)*1.5+MAX(0,H1593-8)*2,I1593*1.5)+N(J1593)*0.5,2))</f>
        <v/>
      </c>
      <c r="L1593" s="18" t="n"/>
      <c r="M1593" s="18" t="n"/>
      <c r="N1593" s="22" t="n"/>
    </row>
    <row r="1594">
      <c r="A1594" s="19" t="n"/>
      <c r="B1594" s="25">
        <f>IF(A1594="","",CHOOSE(WEEKDAY(A1594,2),"월","화","수","목","금","토","일"))</f>
        <v/>
      </c>
      <c r="C1594" s="18" t="n"/>
      <c r="D1594" s="25">
        <f>IFERROR(IF(C1594="","",INDEX(직원명부!$B$5:$B$24,MATCH(C1594,직원명부!$A$5:$A$24,0))),"사번 확인")</f>
        <v/>
      </c>
      <c r="E1594" s="34" t="n"/>
      <c r="F1594" s="34" t="n"/>
      <c r="G1594" s="28" t="n"/>
      <c r="H1594" s="33">
        <f>IF(OR(E1594="",F1594=""),"",ROUND(MOD(F1594-E1594,1)*24-N(G1594),2))</f>
        <v/>
      </c>
      <c r="I1594" s="33">
        <f>IF(H1594="","",ROUND(MAX(0,H1594-8),2))</f>
        <v/>
      </c>
      <c r="J1594" s="33">
        <f>IF(OR(E1594="",F1594=""),"",ROUND(IF(MOD(F1594,1)&gt;=TIME(22,0,0),(MOD(F1594,1)-TIME(22,0,0))*24,IF(MOD(F1594,1)&lt;TIME(6,0,0),(MOD(F1594,1)+1-TIME(22,0,0))*24,0)),2))</f>
        <v/>
      </c>
      <c r="K1594" s="33">
        <f>IF(H1594="","",ROUND(IF(L1594="휴일근로",MIN(H1594,8)*1.5+MAX(0,H1594-8)*2,I1594*1.5)+N(J1594)*0.5,2))</f>
        <v/>
      </c>
      <c r="L1594" s="18" t="n"/>
      <c r="M1594" s="18" t="n"/>
      <c r="N1594" s="22" t="n"/>
    </row>
    <row r="1595">
      <c r="A1595" s="19" t="n"/>
      <c r="B1595" s="25">
        <f>IF(A1595="","",CHOOSE(WEEKDAY(A1595,2),"월","화","수","목","금","토","일"))</f>
        <v/>
      </c>
      <c r="C1595" s="18" t="n"/>
      <c r="D1595" s="25">
        <f>IFERROR(IF(C1595="","",INDEX(직원명부!$B$5:$B$24,MATCH(C1595,직원명부!$A$5:$A$24,0))),"사번 확인")</f>
        <v/>
      </c>
      <c r="E1595" s="34" t="n"/>
      <c r="F1595" s="34" t="n"/>
      <c r="G1595" s="28" t="n"/>
      <c r="H1595" s="33">
        <f>IF(OR(E1595="",F1595=""),"",ROUND(MOD(F1595-E1595,1)*24-N(G1595),2))</f>
        <v/>
      </c>
      <c r="I1595" s="33">
        <f>IF(H1595="","",ROUND(MAX(0,H1595-8),2))</f>
        <v/>
      </c>
      <c r="J1595" s="33">
        <f>IF(OR(E1595="",F1595=""),"",ROUND(IF(MOD(F1595,1)&gt;=TIME(22,0,0),(MOD(F1595,1)-TIME(22,0,0))*24,IF(MOD(F1595,1)&lt;TIME(6,0,0),(MOD(F1595,1)+1-TIME(22,0,0))*24,0)),2))</f>
        <v/>
      </c>
      <c r="K1595" s="33">
        <f>IF(H1595="","",ROUND(IF(L1595="휴일근로",MIN(H1595,8)*1.5+MAX(0,H1595-8)*2,I1595*1.5)+N(J1595)*0.5,2))</f>
        <v/>
      </c>
      <c r="L1595" s="18" t="n"/>
      <c r="M1595" s="18" t="n"/>
      <c r="N1595" s="22" t="n"/>
    </row>
    <row r="1596">
      <c r="A1596" s="19" t="n"/>
      <c r="B1596" s="25">
        <f>IF(A1596="","",CHOOSE(WEEKDAY(A1596,2),"월","화","수","목","금","토","일"))</f>
        <v/>
      </c>
      <c r="C1596" s="18" t="n"/>
      <c r="D1596" s="25">
        <f>IFERROR(IF(C1596="","",INDEX(직원명부!$B$5:$B$24,MATCH(C1596,직원명부!$A$5:$A$24,0))),"사번 확인")</f>
        <v/>
      </c>
      <c r="E1596" s="34" t="n"/>
      <c r="F1596" s="34" t="n"/>
      <c r="G1596" s="28" t="n"/>
      <c r="H1596" s="33">
        <f>IF(OR(E1596="",F1596=""),"",ROUND(MOD(F1596-E1596,1)*24-N(G1596),2))</f>
        <v/>
      </c>
      <c r="I1596" s="33">
        <f>IF(H1596="","",ROUND(MAX(0,H1596-8),2))</f>
        <v/>
      </c>
      <c r="J1596" s="33">
        <f>IF(OR(E1596="",F1596=""),"",ROUND(IF(MOD(F1596,1)&gt;=TIME(22,0,0),(MOD(F1596,1)-TIME(22,0,0))*24,IF(MOD(F1596,1)&lt;TIME(6,0,0),(MOD(F1596,1)+1-TIME(22,0,0))*24,0)),2))</f>
        <v/>
      </c>
      <c r="K1596" s="33">
        <f>IF(H1596="","",ROUND(IF(L1596="휴일근로",MIN(H1596,8)*1.5+MAX(0,H1596-8)*2,I1596*1.5)+N(J1596)*0.5,2))</f>
        <v/>
      </c>
      <c r="L1596" s="18" t="n"/>
      <c r="M1596" s="18" t="n"/>
      <c r="N1596" s="22" t="n"/>
    </row>
    <row r="1597">
      <c r="A1597" s="19" t="n"/>
      <c r="B1597" s="25">
        <f>IF(A1597="","",CHOOSE(WEEKDAY(A1597,2),"월","화","수","목","금","토","일"))</f>
        <v/>
      </c>
      <c r="C1597" s="18" t="n"/>
      <c r="D1597" s="25">
        <f>IFERROR(IF(C1597="","",INDEX(직원명부!$B$5:$B$24,MATCH(C1597,직원명부!$A$5:$A$24,0))),"사번 확인")</f>
        <v/>
      </c>
      <c r="E1597" s="34" t="n"/>
      <c r="F1597" s="34" t="n"/>
      <c r="G1597" s="28" t="n"/>
      <c r="H1597" s="33">
        <f>IF(OR(E1597="",F1597=""),"",ROUND(MOD(F1597-E1597,1)*24-N(G1597),2))</f>
        <v/>
      </c>
      <c r="I1597" s="33">
        <f>IF(H1597="","",ROUND(MAX(0,H1597-8),2))</f>
        <v/>
      </c>
      <c r="J1597" s="33">
        <f>IF(OR(E1597="",F1597=""),"",ROUND(IF(MOD(F1597,1)&gt;=TIME(22,0,0),(MOD(F1597,1)-TIME(22,0,0))*24,IF(MOD(F1597,1)&lt;TIME(6,0,0),(MOD(F1597,1)+1-TIME(22,0,0))*24,0)),2))</f>
        <v/>
      </c>
      <c r="K1597" s="33">
        <f>IF(H1597="","",ROUND(IF(L1597="휴일근로",MIN(H1597,8)*1.5+MAX(0,H1597-8)*2,I1597*1.5)+N(J1597)*0.5,2))</f>
        <v/>
      </c>
      <c r="L1597" s="18" t="n"/>
      <c r="M1597" s="18" t="n"/>
      <c r="N1597" s="22" t="n"/>
    </row>
    <row r="1598">
      <c r="A1598" s="19" t="n"/>
      <c r="B1598" s="25">
        <f>IF(A1598="","",CHOOSE(WEEKDAY(A1598,2),"월","화","수","목","금","토","일"))</f>
        <v/>
      </c>
      <c r="C1598" s="18" t="n"/>
      <c r="D1598" s="25">
        <f>IFERROR(IF(C1598="","",INDEX(직원명부!$B$5:$B$24,MATCH(C1598,직원명부!$A$5:$A$24,0))),"사번 확인")</f>
        <v/>
      </c>
      <c r="E1598" s="34" t="n"/>
      <c r="F1598" s="34" t="n"/>
      <c r="G1598" s="28" t="n"/>
      <c r="H1598" s="33">
        <f>IF(OR(E1598="",F1598=""),"",ROUND(MOD(F1598-E1598,1)*24-N(G1598),2))</f>
        <v/>
      </c>
      <c r="I1598" s="33">
        <f>IF(H1598="","",ROUND(MAX(0,H1598-8),2))</f>
        <v/>
      </c>
      <c r="J1598" s="33">
        <f>IF(OR(E1598="",F1598=""),"",ROUND(IF(MOD(F1598,1)&gt;=TIME(22,0,0),(MOD(F1598,1)-TIME(22,0,0))*24,IF(MOD(F1598,1)&lt;TIME(6,0,0),(MOD(F1598,1)+1-TIME(22,0,0))*24,0)),2))</f>
        <v/>
      </c>
      <c r="K1598" s="33">
        <f>IF(H1598="","",ROUND(IF(L1598="휴일근로",MIN(H1598,8)*1.5+MAX(0,H1598-8)*2,I1598*1.5)+N(J1598)*0.5,2))</f>
        <v/>
      </c>
      <c r="L1598" s="18" t="n"/>
      <c r="M1598" s="18" t="n"/>
      <c r="N1598" s="22" t="n"/>
    </row>
    <row r="1599">
      <c r="A1599" s="19" t="n"/>
      <c r="B1599" s="25">
        <f>IF(A1599="","",CHOOSE(WEEKDAY(A1599,2),"월","화","수","목","금","토","일"))</f>
        <v/>
      </c>
      <c r="C1599" s="18" t="n"/>
      <c r="D1599" s="25">
        <f>IFERROR(IF(C1599="","",INDEX(직원명부!$B$5:$B$24,MATCH(C1599,직원명부!$A$5:$A$24,0))),"사번 확인")</f>
        <v/>
      </c>
      <c r="E1599" s="34" t="n"/>
      <c r="F1599" s="34" t="n"/>
      <c r="G1599" s="28" t="n"/>
      <c r="H1599" s="33">
        <f>IF(OR(E1599="",F1599=""),"",ROUND(MOD(F1599-E1599,1)*24-N(G1599),2))</f>
        <v/>
      </c>
      <c r="I1599" s="33">
        <f>IF(H1599="","",ROUND(MAX(0,H1599-8),2))</f>
        <v/>
      </c>
      <c r="J1599" s="33">
        <f>IF(OR(E1599="",F1599=""),"",ROUND(IF(MOD(F1599,1)&gt;=TIME(22,0,0),(MOD(F1599,1)-TIME(22,0,0))*24,IF(MOD(F1599,1)&lt;TIME(6,0,0),(MOD(F1599,1)+1-TIME(22,0,0))*24,0)),2))</f>
        <v/>
      </c>
      <c r="K1599" s="33">
        <f>IF(H1599="","",ROUND(IF(L1599="휴일근로",MIN(H1599,8)*1.5+MAX(0,H1599-8)*2,I1599*1.5)+N(J1599)*0.5,2))</f>
        <v/>
      </c>
      <c r="L1599" s="18" t="n"/>
      <c r="M1599" s="18" t="n"/>
      <c r="N1599" s="22" t="n"/>
    </row>
    <row r="1600">
      <c r="A1600" s="19" t="n"/>
      <c r="B1600" s="25">
        <f>IF(A1600="","",CHOOSE(WEEKDAY(A1600,2),"월","화","수","목","금","토","일"))</f>
        <v/>
      </c>
      <c r="C1600" s="18" t="n"/>
      <c r="D1600" s="25">
        <f>IFERROR(IF(C1600="","",INDEX(직원명부!$B$5:$B$24,MATCH(C1600,직원명부!$A$5:$A$24,0))),"사번 확인")</f>
        <v/>
      </c>
      <c r="E1600" s="34" t="n"/>
      <c r="F1600" s="34" t="n"/>
      <c r="G1600" s="28" t="n"/>
      <c r="H1600" s="33">
        <f>IF(OR(E1600="",F1600=""),"",ROUND(MOD(F1600-E1600,1)*24-N(G1600),2))</f>
        <v/>
      </c>
      <c r="I1600" s="33">
        <f>IF(H1600="","",ROUND(MAX(0,H1600-8),2))</f>
        <v/>
      </c>
      <c r="J1600" s="33">
        <f>IF(OR(E1600="",F1600=""),"",ROUND(IF(MOD(F1600,1)&gt;=TIME(22,0,0),(MOD(F1600,1)-TIME(22,0,0))*24,IF(MOD(F1600,1)&lt;TIME(6,0,0),(MOD(F1600,1)+1-TIME(22,0,0))*24,0)),2))</f>
        <v/>
      </c>
      <c r="K1600" s="33">
        <f>IF(H1600="","",ROUND(IF(L1600="휴일근로",MIN(H1600,8)*1.5+MAX(0,H1600-8)*2,I1600*1.5)+N(J1600)*0.5,2))</f>
        <v/>
      </c>
      <c r="L1600" s="18" t="n"/>
      <c r="M1600" s="18" t="n"/>
      <c r="N1600" s="22" t="n"/>
    </row>
    <row r="1601">
      <c r="A1601" s="19" t="n"/>
      <c r="B1601" s="25">
        <f>IF(A1601="","",CHOOSE(WEEKDAY(A1601,2),"월","화","수","목","금","토","일"))</f>
        <v/>
      </c>
      <c r="C1601" s="18" t="n"/>
      <c r="D1601" s="25">
        <f>IFERROR(IF(C1601="","",INDEX(직원명부!$B$5:$B$24,MATCH(C1601,직원명부!$A$5:$A$24,0))),"사번 확인")</f>
        <v/>
      </c>
      <c r="E1601" s="34" t="n"/>
      <c r="F1601" s="34" t="n"/>
      <c r="G1601" s="28" t="n"/>
      <c r="H1601" s="33">
        <f>IF(OR(E1601="",F1601=""),"",ROUND(MOD(F1601-E1601,1)*24-N(G1601),2))</f>
        <v/>
      </c>
      <c r="I1601" s="33">
        <f>IF(H1601="","",ROUND(MAX(0,H1601-8),2))</f>
        <v/>
      </c>
      <c r="J1601" s="33">
        <f>IF(OR(E1601="",F1601=""),"",ROUND(IF(MOD(F1601,1)&gt;=TIME(22,0,0),(MOD(F1601,1)-TIME(22,0,0))*24,IF(MOD(F1601,1)&lt;TIME(6,0,0),(MOD(F1601,1)+1-TIME(22,0,0))*24,0)),2))</f>
        <v/>
      </c>
      <c r="K1601" s="33">
        <f>IF(H1601="","",ROUND(IF(L1601="휴일근로",MIN(H1601,8)*1.5+MAX(0,H1601-8)*2,I1601*1.5)+N(J1601)*0.5,2))</f>
        <v/>
      </c>
      <c r="L1601" s="18" t="n"/>
      <c r="M1601" s="18" t="n"/>
      <c r="N1601" s="22" t="n"/>
    </row>
    <row r="1602">
      <c r="A1602" s="19" t="n"/>
      <c r="B1602" s="25">
        <f>IF(A1602="","",CHOOSE(WEEKDAY(A1602,2),"월","화","수","목","금","토","일"))</f>
        <v/>
      </c>
      <c r="C1602" s="18" t="n"/>
      <c r="D1602" s="25">
        <f>IFERROR(IF(C1602="","",INDEX(직원명부!$B$5:$B$24,MATCH(C1602,직원명부!$A$5:$A$24,0))),"사번 확인")</f>
        <v/>
      </c>
      <c r="E1602" s="34" t="n"/>
      <c r="F1602" s="34" t="n"/>
      <c r="G1602" s="28" t="n"/>
      <c r="H1602" s="33">
        <f>IF(OR(E1602="",F1602=""),"",ROUND(MOD(F1602-E1602,1)*24-N(G1602),2))</f>
        <v/>
      </c>
      <c r="I1602" s="33">
        <f>IF(H1602="","",ROUND(MAX(0,H1602-8),2))</f>
        <v/>
      </c>
      <c r="J1602" s="33">
        <f>IF(OR(E1602="",F1602=""),"",ROUND(IF(MOD(F1602,1)&gt;=TIME(22,0,0),(MOD(F1602,1)-TIME(22,0,0))*24,IF(MOD(F1602,1)&lt;TIME(6,0,0),(MOD(F1602,1)+1-TIME(22,0,0))*24,0)),2))</f>
        <v/>
      </c>
      <c r="K1602" s="33">
        <f>IF(H1602="","",ROUND(IF(L1602="휴일근로",MIN(H1602,8)*1.5+MAX(0,H1602-8)*2,I1602*1.5)+N(J1602)*0.5,2))</f>
        <v/>
      </c>
      <c r="L1602" s="18" t="n"/>
      <c r="M1602" s="18" t="n"/>
      <c r="N1602" s="22" t="n"/>
    </row>
    <row r="1603">
      <c r="A1603" s="19" t="n"/>
      <c r="B1603" s="25">
        <f>IF(A1603="","",CHOOSE(WEEKDAY(A1603,2),"월","화","수","목","금","토","일"))</f>
        <v/>
      </c>
      <c r="C1603" s="18" t="n"/>
      <c r="D1603" s="25">
        <f>IFERROR(IF(C1603="","",INDEX(직원명부!$B$5:$B$24,MATCH(C1603,직원명부!$A$5:$A$24,0))),"사번 확인")</f>
        <v/>
      </c>
      <c r="E1603" s="34" t="n"/>
      <c r="F1603" s="34" t="n"/>
      <c r="G1603" s="28" t="n"/>
      <c r="H1603" s="33">
        <f>IF(OR(E1603="",F1603=""),"",ROUND(MOD(F1603-E1603,1)*24-N(G1603),2))</f>
        <v/>
      </c>
      <c r="I1603" s="33">
        <f>IF(H1603="","",ROUND(MAX(0,H1603-8),2))</f>
        <v/>
      </c>
      <c r="J1603" s="33">
        <f>IF(OR(E1603="",F1603=""),"",ROUND(IF(MOD(F1603,1)&gt;=TIME(22,0,0),(MOD(F1603,1)-TIME(22,0,0))*24,IF(MOD(F1603,1)&lt;TIME(6,0,0),(MOD(F1603,1)+1-TIME(22,0,0))*24,0)),2))</f>
        <v/>
      </c>
      <c r="K1603" s="33">
        <f>IF(H1603="","",ROUND(IF(L1603="휴일근로",MIN(H1603,8)*1.5+MAX(0,H1603-8)*2,I1603*1.5)+N(J1603)*0.5,2))</f>
        <v/>
      </c>
      <c r="L1603" s="18" t="n"/>
      <c r="M1603" s="18" t="n"/>
      <c r="N1603" s="22" t="n"/>
    </row>
    <row r="1604">
      <c r="A1604" s="19" t="n"/>
      <c r="B1604" s="25">
        <f>IF(A1604="","",CHOOSE(WEEKDAY(A1604,2),"월","화","수","목","금","토","일"))</f>
        <v/>
      </c>
      <c r="C1604" s="18" t="n"/>
      <c r="D1604" s="25">
        <f>IFERROR(IF(C1604="","",INDEX(직원명부!$B$5:$B$24,MATCH(C1604,직원명부!$A$5:$A$24,0))),"사번 확인")</f>
        <v/>
      </c>
      <c r="E1604" s="34" t="n"/>
      <c r="F1604" s="34" t="n"/>
      <c r="G1604" s="28" t="n"/>
      <c r="H1604" s="33">
        <f>IF(OR(E1604="",F1604=""),"",ROUND(MOD(F1604-E1604,1)*24-N(G1604),2))</f>
        <v/>
      </c>
      <c r="I1604" s="33">
        <f>IF(H1604="","",ROUND(MAX(0,H1604-8),2))</f>
        <v/>
      </c>
      <c r="J1604" s="33">
        <f>IF(OR(E1604="",F1604=""),"",ROUND(IF(MOD(F1604,1)&gt;=TIME(22,0,0),(MOD(F1604,1)-TIME(22,0,0))*24,IF(MOD(F1604,1)&lt;TIME(6,0,0),(MOD(F1604,1)+1-TIME(22,0,0))*24,0)),2))</f>
        <v/>
      </c>
      <c r="K1604" s="33">
        <f>IF(H1604="","",ROUND(IF(L1604="휴일근로",MIN(H1604,8)*1.5+MAX(0,H1604-8)*2,I1604*1.5)+N(J1604)*0.5,2))</f>
        <v/>
      </c>
      <c r="L1604" s="18" t="n"/>
      <c r="M1604" s="18" t="n"/>
      <c r="N1604" s="22" t="n"/>
    </row>
    <row r="1605">
      <c r="A1605" s="19" t="n"/>
      <c r="B1605" s="25">
        <f>IF(A1605="","",CHOOSE(WEEKDAY(A1605,2),"월","화","수","목","금","토","일"))</f>
        <v/>
      </c>
      <c r="C1605" s="18" t="n"/>
      <c r="D1605" s="25">
        <f>IFERROR(IF(C1605="","",INDEX(직원명부!$B$5:$B$24,MATCH(C1605,직원명부!$A$5:$A$24,0))),"사번 확인")</f>
        <v/>
      </c>
      <c r="E1605" s="34" t="n"/>
      <c r="F1605" s="34" t="n"/>
      <c r="G1605" s="28" t="n"/>
      <c r="H1605" s="33">
        <f>IF(OR(E1605="",F1605=""),"",ROUND(MOD(F1605-E1605,1)*24-N(G1605),2))</f>
        <v/>
      </c>
      <c r="I1605" s="33">
        <f>IF(H1605="","",ROUND(MAX(0,H1605-8),2))</f>
        <v/>
      </c>
      <c r="J1605" s="33">
        <f>IF(OR(E1605="",F1605=""),"",ROUND(IF(MOD(F1605,1)&gt;=TIME(22,0,0),(MOD(F1605,1)-TIME(22,0,0))*24,IF(MOD(F1605,1)&lt;TIME(6,0,0),(MOD(F1605,1)+1-TIME(22,0,0))*24,0)),2))</f>
        <v/>
      </c>
      <c r="K1605" s="33">
        <f>IF(H1605="","",ROUND(IF(L1605="휴일근로",MIN(H1605,8)*1.5+MAX(0,H1605-8)*2,I1605*1.5)+N(J1605)*0.5,2))</f>
        <v/>
      </c>
      <c r="L1605" s="18" t="n"/>
      <c r="M1605" s="18" t="n"/>
      <c r="N1605" s="22" t="n"/>
    </row>
    <row r="1606">
      <c r="A1606" s="19" t="n"/>
      <c r="B1606" s="25">
        <f>IF(A1606="","",CHOOSE(WEEKDAY(A1606,2),"월","화","수","목","금","토","일"))</f>
        <v/>
      </c>
      <c r="C1606" s="18" t="n"/>
      <c r="D1606" s="25">
        <f>IFERROR(IF(C1606="","",INDEX(직원명부!$B$5:$B$24,MATCH(C1606,직원명부!$A$5:$A$24,0))),"사번 확인")</f>
        <v/>
      </c>
      <c r="E1606" s="34" t="n"/>
      <c r="F1606" s="34" t="n"/>
      <c r="G1606" s="28" t="n"/>
      <c r="H1606" s="33">
        <f>IF(OR(E1606="",F1606=""),"",ROUND(MOD(F1606-E1606,1)*24-N(G1606),2))</f>
        <v/>
      </c>
      <c r="I1606" s="33">
        <f>IF(H1606="","",ROUND(MAX(0,H1606-8),2))</f>
        <v/>
      </c>
      <c r="J1606" s="33">
        <f>IF(OR(E1606="",F1606=""),"",ROUND(IF(MOD(F1606,1)&gt;=TIME(22,0,0),(MOD(F1606,1)-TIME(22,0,0))*24,IF(MOD(F1606,1)&lt;TIME(6,0,0),(MOD(F1606,1)+1-TIME(22,0,0))*24,0)),2))</f>
        <v/>
      </c>
      <c r="K1606" s="33">
        <f>IF(H1606="","",ROUND(IF(L1606="휴일근로",MIN(H1606,8)*1.5+MAX(0,H1606-8)*2,I1606*1.5)+N(J1606)*0.5,2))</f>
        <v/>
      </c>
      <c r="L1606" s="18" t="n"/>
      <c r="M1606" s="18" t="n"/>
      <c r="N1606" s="22" t="n"/>
    </row>
    <row r="1607">
      <c r="A1607" s="19" t="n"/>
      <c r="B1607" s="25">
        <f>IF(A1607="","",CHOOSE(WEEKDAY(A1607,2),"월","화","수","목","금","토","일"))</f>
        <v/>
      </c>
      <c r="C1607" s="18" t="n"/>
      <c r="D1607" s="25">
        <f>IFERROR(IF(C1607="","",INDEX(직원명부!$B$5:$B$24,MATCH(C1607,직원명부!$A$5:$A$24,0))),"사번 확인")</f>
        <v/>
      </c>
      <c r="E1607" s="34" t="n"/>
      <c r="F1607" s="34" t="n"/>
      <c r="G1607" s="28" t="n"/>
      <c r="H1607" s="33">
        <f>IF(OR(E1607="",F1607=""),"",ROUND(MOD(F1607-E1607,1)*24-N(G1607),2))</f>
        <v/>
      </c>
      <c r="I1607" s="33">
        <f>IF(H1607="","",ROUND(MAX(0,H1607-8),2))</f>
        <v/>
      </c>
      <c r="J1607" s="33">
        <f>IF(OR(E1607="",F1607=""),"",ROUND(IF(MOD(F1607,1)&gt;=TIME(22,0,0),(MOD(F1607,1)-TIME(22,0,0))*24,IF(MOD(F1607,1)&lt;TIME(6,0,0),(MOD(F1607,1)+1-TIME(22,0,0))*24,0)),2))</f>
        <v/>
      </c>
      <c r="K1607" s="33">
        <f>IF(H1607="","",ROUND(IF(L1607="휴일근로",MIN(H1607,8)*1.5+MAX(0,H1607-8)*2,I1607*1.5)+N(J1607)*0.5,2))</f>
        <v/>
      </c>
      <c r="L1607" s="18" t="n"/>
      <c r="M1607" s="18" t="n"/>
      <c r="N1607" s="22" t="n"/>
    </row>
    <row r="1608">
      <c r="A1608" s="19" t="n"/>
      <c r="B1608" s="25">
        <f>IF(A1608="","",CHOOSE(WEEKDAY(A1608,2),"월","화","수","목","금","토","일"))</f>
        <v/>
      </c>
      <c r="C1608" s="18" t="n"/>
      <c r="D1608" s="25">
        <f>IFERROR(IF(C1608="","",INDEX(직원명부!$B$5:$B$24,MATCH(C1608,직원명부!$A$5:$A$24,0))),"사번 확인")</f>
        <v/>
      </c>
      <c r="E1608" s="34" t="n"/>
      <c r="F1608" s="34" t="n"/>
      <c r="G1608" s="28" t="n"/>
      <c r="H1608" s="33">
        <f>IF(OR(E1608="",F1608=""),"",ROUND(MOD(F1608-E1608,1)*24-N(G1608),2))</f>
        <v/>
      </c>
      <c r="I1608" s="33">
        <f>IF(H1608="","",ROUND(MAX(0,H1608-8),2))</f>
        <v/>
      </c>
      <c r="J1608" s="33">
        <f>IF(OR(E1608="",F1608=""),"",ROUND(IF(MOD(F1608,1)&gt;=TIME(22,0,0),(MOD(F1608,1)-TIME(22,0,0))*24,IF(MOD(F1608,1)&lt;TIME(6,0,0),(MOD(F1608,1)+1-TIME(22,0,0))*24,0)),2))</f>
        <v/>
      </c>
      <c r="K1608" s="33">
        <f>IF(H1608="","",ROUND(IF(L1608="휴일근로",MIN(H1608,8)*1.5+MAX(0,H1608-8)*2,I1608*1.5)+N(J1608)*0.5,2))</f>
        <v/>
      </c>
      <c r="L1608" s="18" t="n"/>
      <c r="M1608" s="18" t="n"/>
      <c r="N1608" s="22" t="n"/>
    </row>
    <row r="1609">
      <c r="A1609" s="19" t="n"/>
      <c r="B1609" s="25">
        <f>IF(A1609="","",CHOOSE(WEEKDAY(A1609,2),"월","화","수","목","금","토","일"))</f>
        <v/>
      </c>
      <c r="C1609" s="18" t="n"/>
      <c r="D1609" s="25">
        <f>IFERROR(IF(C1609="","",INDEX(직원명부!$B$5:$B$24,MATCH(C1609,직원명부!$A$5:$A$24,0))),"사번 확인")</f>
        <v/>
      </c>
      <c r="E1609" s="34" t="n"/>
      <c r="F1609" s="34" t="n"/>
      <c r="G1609" s="28" t="n"/>
      <c r="H1609" s="33">
        <f>IF(OR(E1609="",F1609=""),"",ROUND(MOD(F1609-E1609,1)*24-N(G1609),2))</f>
        <v/>
      </c>
      <c r="I1609" s="33">
        <f>IF(H1609="","",ROUND(MAX(0,H1609-8),2))</f>
        <v/>
      </c>
      <c r="J1609" s="33">
        <f>IF(OR(E1609="",F1609=""),"",ROUND(IF(MOD(F1609,1)&gt;=TIME(22,0,0),(MOD(F1609,1)-TIME(22,0,0))*24,IF(MOD(F1609,1)&lt;TIME(6,0,0),(MOD(F1609,1)+1-TIME(22,0,0))*24,0)),2))</f>
        <v/>
      </c>
      <c r="K1609" s="33">
        <f>IF(H1609="","",ROUND(IF(L1609="휴일근로",MIN(H1609,8)*1.5+MAX(0,H1609-8)*2,I1609*1.5)+N(J1609)*0.5,2))</f>
        <v/>
      </c>
      <c r="L1609" s="18" t="n"/>
      <c r="M1609" s="18" t="n"/>
      <c r="N1609" s="22" t="n"/>
    </row>
    <row r="1610">
      <c r="A1610" s="19" t="n"/>
      <c r="B1610" s="25">
        <f>IF(A1610="","",CHOOSE(WEEKDAY(A1610,2),"월","화","수","목","금","토","일"))</f>
        <v/>
      </c>
      <c r="C1610" s="18" t="n"/>
      <c r="D1610" s="25">
        <f>IFERROR(IF(C1610="","",INDEX(직원명부!$B$5:$B$24,MATCH(C1610,직원명부!$A$5:$A$24,0))),"사번 확인")</f>
        <v/>
      </c>
      <c r="E1610" s="34" t="n"/>
      <c r="F1610" s="34" t="n"/>
      <c r="G1610" s="28" t="n"/>
      <c r="H1610" s="33">
        <f>IF(OR(E1610="",F1610=""),"",ROUND(MOD(F1610-E1610,1)*24-N(G1610),2))</f>
        <v/>
      </c>
      <c r="I1610" s="33">
        <f>IF(H1610="","",ROUND(MAX(0,H1610-8),2))</f>
        <v/>
      </c>
      <c r="J1610" s="33">
        <f>IF(OR(E1610="",F1610=""),"",ROUND(IF(MOD(F1610,1)&gt;=TIME(22,0,0),(MOD(F1610,1)-TIME(22,0,0))*24,IF(MOD(F1610,1)&lt;TIME(6,0,0),(MOD(F1610,1)+1-TIME(22,0,0))*24,0)),2))</f>
        <v/>
      </c>
      <c r="K1610" s="33">
        <f>IF(H1610="","",ROUND(IF(L1610="휴일근로",MIN(H1610,8)*1.5+MAX(0,H1610-8)*2,I1610*1.5)+N(J1610)*0.5,2))</f>
        <v/>
      </c>
      <c r="L1610" s="18" t="n"/>
      <c r="M1610" s="18" t="n"/>
      <c r="N1610" s="22" t="n"/>
    </row>
    <row r="1611">
      <c r="A1611" s="19" t="n"/>
      <c r="B1611" s="25">
        <f>IF(A1611="","",CHOOSE(WEEKDAY(A1611,2),"월","화","수","목","금","토","일"))</f>
        <v/>
      </c>
      <c r="C1611" s="18" t="n"/>
      <c r="D1611" s="25">
        <f>IFERROR(IF(C1611="","",INDEX(직원명부!$B$5:$B$24,MATCH(C1611,직원명부!$A$5:$A$24,0))),"사번 확인")</f>
        <v/>
      </c>
      <c r="E1611" s="34" t="n"/>
      <c r="F1611" s="34" t="n"/>
      <c r="G1611" s="28" t="n"/>
      <c r="H1611" s="33">
        <f>IF(OR(E1611="",F1611=""),"",ROUND(MOD(F1611-E1611,1)*24-N(G1611),2))</f>
        <v/>
      </c>
      <c r="I1611" s="33">
        <f>IF(H1611="","",ROUND(MAX(0,H1611-8),2))</f>
        <v/>
      </c>
      <c r="J1611" s="33">
        <f>IF(OR(E1611="",F1611=""),"",ROUND(IF(MOD(F1611,1)&gt;=TIME(22,0,0),(MOD(F1611,1)-TIME(22,0,0))*24,IF(MOD(F1611,1)&lt;TIME(6,0,0),(MOD(F1611,1)+1-TIME(22,0,0))*24,0)),2))</f>
        <v/>
      </c>
      <c r="K1611" s="33">
        <f>IF(H1611="","",ROUND(IF(L1611="휴일근로",MIN(H1611,8)*1.5+MAX(0,H1611-8)*2,I1611*1.5)+N(J1611)*0.5,2))</f>
        <v/>
      </c>
      <c r="L1611" s="18" t="n"/>
      <c r="M1611" s="18" t="n"/>
      <c r="N1611" s="22" t="n"/>
    </row>
    <row r="1612">
      <c r="A1612" s="19" t="n"/>
      <c r="B1612" s="25">
        <f>IF(A1612="","",CHOOSE(WEEKDAY(A1612,2),"월","화","수","목","금","토","일"))</f>
        <v/>
      </c>
      <c r="C1612" s="18" t="n"/>
      <c r="D1612" s="25">
        <f>IFERROR(IF(C1612="","",INDEX(직원명부!$B$5:$B$24,MATCH(C1612,직원명부!$A$5:$A$24,0))),"사번 확인")</f>
        <v/>
      </c>
      <c r="E1612" s="34" t="n"/>
      <c r="F1612" s="34" t="n"/>
      <c r="G1612" s="28" t="n"/>
      <c r="H1612" s="33">
        <f>IF(OR(E1612="",F1612=""),"",ROUND(MOD(F1612-E1612,1)*24-N(G1612),2))</f>
        <v/>
      </c>
      <c r="I1612" s="33">
        <f>IF(H1612="","",ROUND(MAX(0,H1612-8),2))</f>
        <v/>
      </c>
      <c r="J1612" s="33">
        <f>IF(OR(E1612="",F1612=""),"",ROUND(IF(MOD(F1612,1)&gt;=TIME(22,0,0),(MOD(F1612,1)-TIME(22,0,0))*24,IF(MOD(F1612,1)&lt;TIME(6,0,0),(MOD(F1612,1)+1-TIME(22,0,0))*24,0)),2))</f>
        <v/>
      </c>
      <c r="K1612" s="33">
        <f>IF(H1612="","",ROUND(IF(L1612="휴일근로",MIN(H1612,8)*1.5+MAX(0,H1612-8)*2,I1612*1.5)+N(J1612)*0.5,2))</f>
        <v/>
      </c>
      <c r="L1612" s="18" t="n"/>
      <c r="M1612" s="18" t="n"/>
      <c r="N1612" s="22" t="n"/>
    </row>
    <row r="1613">
      <c r="A1613" s="19" t="n"/>
      <c r="B1613" s="25">
        <f>IF(A1613="","",CHOOSE(WEEKDAY(A1613,2),"월","화","수","목","금","토","일"))</f>
        <v/>
      </c>
      <c r="C1613" s="18" t="n"/>
      <c r="D1613" s="25">
        <f>IFERROR(IF(C1613="","",INDEX(직원명부!$B$5:$B$24,MATCH(C1613,직원명부!$A$5:$A$24,0))),"사번 확인")</f>
        <v/>
      </c>
      <c r="E1613" s="34" t="n"/>
      <c r="F1613" s="34" t="n"/>
      <c r="G1613" s="28" t="n"/>
      <c r="H1613" s="33">
        <f>IF(OR(E1613="",F1613=""),"",ROUND(MOD(F1613-E1613,1)*24-N(G1613),2))</f>
        <v/>
      </c>
      <c r="I1613" s="33">
        <f>IF(H1613="","",ROUND(MAX(0,H1613-8),2))</f>
        <v/>
      </c>
      <c r="J1613" s="33">
        <f>IF(OR(E1613="",F1613=""),"",ROUND(IF(MOD(F1613,1)&gt;=TIME(22,0,0),(MOD(F1613,1)-TIME(22,0,0))*24,IF(MOD(F1613,1)&lt;TIME(6,0,0),(MOD(F1613,1)+1-TIME(22,0,0))*24,0)),2))</f>
        <v/>
      </c>
      <c r="K1613" s="33">
        <f>IF(H1613="","",ROUND(IF(L1613="휴일근로",MIN(H1613,8)*1.5+MAX(0,H1613-8)*2,I1613*1.5)+N(J1613)*0.5,2))</f>
        <v/>
      </c>
      <c r="L1613" s="18" t="n"/>
      <c r="M1613" s="18" t="n"/>
      <c r="N1613" s="22" t="n"/>
    </row>
    <row r="1614">
      <c r="A1614" s="19" t="n"/>
      <c r="B1614" s="25">
        <f>IF(A1614="","",CHOOSE(WEEKDAY(A1614,2),"월","화","수","목","금","토","일"))</f>
        <v/>
      </c>
      <c r="C1614" s="18" t="n"/>
      <c r="D1614" s="25">
        <f>IFERROR(IF(C1614="","",INDEX(직원명부!$B$5:$B$24,MATCH(C1614,직원명부!$A$5:$A$24,0))),"사번 확인")</f>
        <v/>
      </c>
      <c r="E1614" s="34" t="n"/>
      <c r="F1614" s="34" t="n"/>
      <c r="G1614" s="28" t="n"/>
      <c r="H1614" s="33">
        <f>IF(OR(E1614="",F1614=""),"",ROUND(MOD(F1614-E1614,1)*24-N(G1614),2))</f>
        <v/>
      </c>
      <c r="I1614" s="33">
        <f>IF(H1614="","",ROUND(MAX(0,H1614-8),2))</f>
        <v/>
      </c>
      <c r="J1614" s="33">
        <f>IF(OR(E1614="",F1614=""),"",ROUND(IF(MOD(F1614,1)&gt;=TIME(22,0,0),(MOD(F1614,1)-TIME(22,0,0))*24,IF(MOD(F1614,1)&lt;TIME(6,0,0),(MOD(F1614,1)+1-TIME(22,0,0))*24,0)),2))</f>
        <v/>
      </c>
      <c r="K1614" s="33">
        <f>IF(H1614="","",ROUND(IF(L1614="휴일근로",MIN(H1614,8)*1.5+MAX(0,H1614-8)*2,I1614*1.5)+N(J1614)*0.5,2))</f>
        <v/>
      </c>
      <c r="L1614" s="18" t="n"/>
      <c r="M1614" s="18" t="n"/>
      <c r="N1614" s="22" t="n"/>
    </row>
    <row r="1615">
      <c r="A1615" s="19" t="n"/>
      <c r="B1615" s="25">
        <f>IF(A1615="","",CHOOSE(WEEKDAY(A1615,2),"월","화","수","목","금","토","일"))</f>
        <v/>
      </c>
      <c r="C1615" s="18" t="n"/>
      <c r="D1615" s="25">
        <f>IFERROR(IF(C1615="","",INDEX(직원명부!$B$5:$B$24,MATCH(C1615,직원명부!$A$5:$A$24,0))),"사번 확인")</f>
        <v/>
      </c>
      <c r="E1615" s="34" t="n"/>
      <c r="F1615" s="34" t="n"/>
      <c r="G1615" s="28" t="n"/>
      <c r="H1615" s="33">
        <f>IF(OR(E1615="",F1615=""),"",ROUND(MOD(F1615-E1615,1)*24-N(G1615),2))</f>
        <v/>
      </c>
      <c r="I1615" s="33">
        <f>IF(H1615="","",ROUND(MAX(0,H1615-8),2))</f>
        <v/>
      </c>
      <c r="J1615" s="33">
        <f>IF(OR(E1615="",F1615=""),"",ROUND(IF(MOD(F1615,1)&gt;=TIME(22,0,0),(MOD(F1615,1)-TIME(22,0,0))*24,IF(MOD(F1615,1)&lt;TIME(6,0,0),(MOD(F1615,1)+1-TIME(22,0,0))*24,0)),2))</f>
        <v/>
      </c>
      <c r="K1615" s="33">
        <f>IF(H1615="","",ROUND(IF(L1615="휴일근로",MIN(H1615,8)*1.5+MAX(0,H1615-8)*2,I1615*1.5)+N(J1615)*0.5,2))</f>
        <v/>
      </c>
      <c r="L1615" s="18" t="n"/>
      <c r="M1615" s="18" t="n"/>
      <c r="N1615" s="22" t="n"/>
    </row>
    <row r="1616">
      <c r="A1616" s="19" t="n"/>
      <c r="B1616" s="25">
        <f>IF(A1616="","",CHOOSE(WEEKDAY(A1616,2),"월","화","수","목","금","토","일"))</f>
        <v/>
      </c>
      <c r="C1616" s="18" t="n"/>
      <c r="D1616" s="25">
        <f>IFERROR(IF(C1616="","",INDEX(직원명부!$B$5:$B$24,MATCH(C1616,직원명부!$A$5:$A$24,0))),"사번 확인")</f>
        <v/>
      </c>
      <c r="E1616" s="34" t="n"/>
      <c r="F1616" s="34" t="n"/>
      <c r="G1616" s="28" t="n"/>
      <c r="H1616" s="33">
        <f>IF(OR(E1616="",F1616=""),"",ROUND(MOD(F1616-E1616,1)*24-N(G1616),2))</f>
        <v/>
      </c>
      <c r="I1616" s="33">
        <f>IF(H1616="","",ROUND(MAX(0,H1616-8),2))</f>
        <v/>
      </c>
      <c r="J1616" s="33">
        <f>IF(OR(E1616="",F1616=""),"",ROUND(IF(MOD(F1616,1)&gt;=TIME(22,0,0),(MOD(F1616,1)-TIME(22,0,0))*24,IF(MOD(F1616,1)&lt;TIME(6,0,0),(MOD(F1616,1)+1-TIME(22,0,0))*24,0)),2))</f>
        <v/>
      </c>
      <c r="K1616" s="33">
        <f>IF(H1616="","",ROUND(IF(L1616="휴일근로",MIN(H1616,8)*1.5+MAX(0,H1616-8)*2,I1616*1.5)+N(J1616)*0.5,2))</f>
        <v/>
      </c>
      <c r="L1616" s="18" t="n"/>
      <c r="M1616" s="18" t="n"/>
      <c r="N1616" s="22" t="n"/>
    </row>
    <row r="1617">
      <c r="A1617" s="19" t="n"/>
      <c r="B1617" s="25">
        <f>IF(A1617="","",CHOOSE(WEEKDAY(A1617,2),"월","화","수","목","금","토","일"))</f>
        <v/>
      </c>
      <c r="C1617" s="18" t="n"/>
      <c r="D1617" s="25">
        <f>IFERROR(IF(C1617="","",INDEX(직원명부!$B$5:$B$24,MATCH(C1617,직원명부!$A$5:$A$24,0))),"사번 확인")</f>
        <v/>
      </c>
      <c r="E1617" s="34" t="n"/>
      <c r="F1617" s="34" t="n"/>
      <c r="G1617" s="28" t="n"/>
      <c r="H1617" s="33">
        <f>IF(OR(E1617="",F1617=""),"",ROUND(MOD(F1617-E1617,1)*24-N(G1617),2))</f>
        <v/>
      </c>
      <c r="I1617" s="33">
        <f>IF(H1617="","",ROUND(MAX(0,H1617-8),2))</f>
        <v/>
      </c>
      <c r="J1617" s="33">
        <f>IF(OR(E1617="",F1617=""),"",ROUND(IF(MOD(F1617,1)&gt;=TIME(22,0,0),(MOD(F1617,1)-TIME(22,0,0))*24,IF(MOD(F1617,1)&lt;TIME(6,0,0),(MOD(F1617,1)+1-TIME(22,0,0))*24,0)),2))</f>
        <v/>
      </c>
      <c r="K1617" s="33">
        <f>IF(H1617="","",ROUND(IF(L1617="휴일근로",MIN(H1617,8)*1.5+MAX(0,H1617-8)*2,I1617*1.5)+N(J1617)*0.5,2))</f>
        <v/>
      </c>
      <c r="L1617" s="18" t="n"/>
      <c r="M1617" s="18" t="n"/>
      <c r="N1617" s="22" t="n"/>
    </row>
    <row r="1618">
      <c r="A1618" s="19" t="n"/>
      <c r="B1618" s="25">
        <f>IF(A1618="","",CHOOSE(WEEKDAY(A1618,2),"월","화","수","목","금","토","일"))</f>
        <v/>
      </c>
      <c r="C1618" s="18" t="n"/>
      <c r="D1618" s="25">
        <f>IFERROR(IF(C1618="","",INDEX(직원명부!$B$5:$B$24,MATCH(C1618,직원명부!$A$5:$A$24,0))),"사번 확인")</f>
        <v/>
      </c>
      <c r="E1618" s="34" t="n"/>
      <c r="F1618" s="34" t="n"/>
      <c r="G1618" s="28" t="n"/>
      <c r="H1618" s="33">
        <f>IF(OR(E1618="",F1618=""),"",ROUND(MOD(F1618-E1618,1)*24-N(G1618),2))</f>
        <v/>
      </c>
      <c r="I1618" s="33">
        <f>IF(H1618="","",ROUND(MAX(0,H1618-8),2))</f>
        <v/>
      </c>
      <c r="J1618" s="33">
        <f>IF(OR(E1618="",F1618=""),"",ROUND(IF(MOD(F1618,1)&gt;=TIME(22,0,0),(MOD(F1618,1)-TIME(22,0,0))*24,IF(MOD(F1618,1)&lt;TIME(6,0,0),(MOD(F1618,1)+1-TIME(22,0,0))*24,0)),2))</f>
        <v/>
      </c>
      <c r="K1618" s="33">
        <f>IF(H1618="","",ROUND(IF(L1618="휴일근로",MIN(H1618,8)*1.5+MAX(0,H1618-8)*2,I1618*1.5)+N(J1618)*0.5,2))</f>
        <v/>
      </c>
      <c r="L1618" s="18" t="n"/>
      <c r="M1618" s="18" t="n"/>
      <c r="N1618" s="22" t="n"/>
    </row>
    <row r="1619">
      <c r="A1619" s="19" t="n"/>
      <c r="B1619" s="25">
        <f>IF(A1619="","",CHOOSE(WEEKDAY(A1619,2),"월","화","수","목","금","토","일"))</f>
        <v/>
      </c>
      <c r="C1619" s="18" t="n"/>
      <c r="D1619" s="25">
        <f>IFERROR(IF(C1619="","",INDEX(직원명부!$B$5:$B$24,MATCH(C1619,직원명부!$A$5:$A$24,0))),"사번 확인")</f>
        <v/>
      </c>
      <c r="E1619" s="34" t="n"/>
      <c r="F1619" s="34" t="n"/>
      <c r="G1619" s="28" t="n"/>
      <c r="H1619" s="33">
        <f>IF(OR(E1619="",F1619=""),"",ROUND(MOD(F1619-E1619,1)*24-N(G1619),2))</f>
        <v/>
      </c>
      <c r="I1619" s="33">
        <f>IF(H1619="","",ROUND(MAX(0,H1619-8),2))</f>
        <v/>
      </c>
      <c r="J1619" s="33">
        <f>IF(OR(E1619="",F1619=""),"",ROUND(IF(MOD(F1619,1)&gt;=TIME(22,0,0),(MOD(F1619,1)-TIME(22,0,0))*24,IF(MOD(F1619,1)&lt;TIME(6,0,0),(MOD(F1619,1)+1-TIME(22,0,0))*24,0)),2))</f>
        <v/>
      </c>
      <c r="K1619" s="33">
        <f>IF(H1619="","",ROUND(IF(L1619="휴일근로",MIN(H1619,8)*1.5+MAX(0,H1619-8)*2,I1619*1.5)+N(J1619)*0.5,2))</f>
        <v/>
      </c>
      <c r="L1619" s="18" t="n"/>
      <c r="M1619" s="18" t="n"/>
      <c r="N1619" s="22" t="n"/>
    </row>
    <row r="1620">
      <c r="A1620" s="19" t="n"/>
      <c r="B1620" s="25">
        <f>IF(A1620="","",CHOOSE(WEEKDAY(A1620,2),"월","화","수","목","금","토","일"))</f>
        <v/>
      </c>
      <c r="C1620" s="18" t="n"/>
      <c r="D1620" s="25">
        <f>IFERROR(IF(C1620="","",INDEX(직원명부!$B$5:$B$24,MATCH(C1620,직원명부!$A$5:$A$24,0))),"사번 확인")</f>
        <v/>
      </c>
      <c r="E1620" s="34" t="n"/>
      <c r="F1620" s="34" t="n"/>
      <c r="G1620" s="28" t="n"/>
      <c r="H1620" s="33">
        <f>IF(OR(E1620="",F1620=""),"",ROUND(MOD(F1620-E1620,1)*24-N(G1620),2))</f>
        <v/>
      </c>
      <c r="I1620" s="33">
        <f>IF(H1620="","",ROUND(MAX(0,H1620-8),2))</f>
        <v/>
      </c>
      <c r="J1620" s="33">
        <f>IF(OR(E1620="",F1620=""),"",ROUND(IF(MOD(F1620,1)&gt;=TIME(22,0,0),(MOD(F1620,1)-TIME(22,0,0))*24,IF(MOD(F1620,1)&lt;TIME(6,0,0),(MOD(F1620,1)+1-TIME(22,0,0))*24,0)),2))</f>
        <v/>
      </c>
      <c r="K1620" s="33">
        <f>IF(H1620="","",ROUND(IF(L1620="휴일근로",MIN(H1620,8)*1.5+MAX(0,H1620-8)*2,I1620*1.5)+N(J1620)*0.5,2))</f>
        <v/>
      </c>
      <c r="L1620" s="18" t="n"/>
      <c r="M1620" s="18" t="n"/>
      <c r="N1620" s="22" t="n"/>
    </row>
    <row r="1621">
      <c r="A1621" s="19" t="n"/>
      <c r="B1621" s="25">
        <f>IF(A1621="","",CHOOSE(WEEKDAY(A1621,2),"월","화","수","목","금","토","일"))</f>
        <v/>
      </c>
      <c r="C1621" s="18" t="n"/>
      <c r="D1621" s="25">
        <f>IFERROR(IF(C1621="","",INDEX(직원명부!$B$5:$B$24,MATCH(C1621,직원명부!$A$5:$A$24,0))),"사번 확인")</f>
        <v/>
      </c>
      <c r="E1621" s="34" t="n"/>
      <c r="F1621" s="34" t="n"/>
      <c r="G1621" s="28" t="n"/>
      <c r="H1621" s="33">
        <f>IF(OR(E1621="",F1621=""),"",ROUND(MOD(F1621-E1621,1)*24-N(G1621),2))</f>
        <v/>
      </c>
      <c r="I1621" s="33">
        <f>IF(H1621="","",ROUND(MAX(0,H1621-8),2))</f>
        <v/>
      </c>
      <c r="J1621" s="33">
        <f>IF(OR(E1621="",F1621=""),"",ROUND(IF(MOD(F1621,1)&gt;=TIME(22,0,0),(MOD(F1621,1)-TIME(22,0,0))*24,IF(MOD(F1621,1)&lt;TIME(6,0,0),(MOD(F1621,1)+1-TIME(22,0,0))*24,0)),2))</f>
        <v/>
      </c>
      <c r="K1621" s="33">
        <f>IF(H1621="","",ROUND(IF(L1621="휴일근로",MIN(H1621,8)*1.5+MAX(0,H1621-8)*2,I1621*1.5)+N(J1621)*0.5,2))</f>
        <v/>
      </c>
      <c r="L1621" s="18" t="n"/>
      <c r="M1621" s="18" t="n"/>
      <c r="N1621" s="22" t="n"/>
    </row>
    <row r="1622">
      <c r="A1622" s="19" t="n"/>
      <c r="B1622" s="25">
        <f>IF(A1622="","",CHOOSE(WEEKDAY(A1622,2),"월","화","수","목","금","토","일"))</f>
        <v/>
      </c>
      <c r="C1622" s="18" t="n"/>
      <c r="D1622" s="25">
        <f>IFERROR(IF(C1622="","",INDEX(직원명부!$B$5:$B$24,MATCH(C1622,직원명부!$A$5:$A$24,0))),"사번 확인")</f>
        <v/>
      </c>
      <c r="E1622" s="34" t="n"/>
      <c r="F1622" s="34" t="n"/>
      <c r="G1622" s="28" t="n"/>
      <c r="H1622" s="33">
        <f>IF(OR(E1622="",F1622=""),"",ROUND(MOD(F1622-E1622,1)*24-N(G1622),2))</f>
        <v/>
      </c>
      <c r="I1622" s="33">
        <f>IF(H1622="","",ROUND(MAX(0,H1622-8),2))</f>
        <v/>
      </c>
      <c r="J1622" s="33">
        <f>IF(OR(E1622="",F1622=""),"",ROUND(IF(MOD(F1622,1)&gt;=TIME(22,0,0),(MOD(F1622,1)-TIME(22,0,0))*24,IF(MOD(F1622,1)&lt;TIME(6,0,0),(MOD(F1622,1)+1-TIME(22,0,0))*24,0)),2))</f>
        <v/>
      </c>
      <c r="K1622" s="33">
        <f>IF(H1622="","",ROUND(IF(L1622="휴일근로",MIN(H1622,8)*1.5+MAX(0,H1622-8)*2,I1622*1.5)+N(J1622)*0.5,2))</f>
        <v/>
      </c>
      <c r="L1622" s="18" t="n"/>
      <c r="M1622" s="18" t="n"/>
      <c r="N1622" s="22" t="n"/>
    </row>
    <row r="1623">
      <c r="A1623" s="19" t="n"/>
      <c r="B1623" s="25">
        <f>IF(A1623="","",CHOOSE(WEEKDAY(A1623,2),"월","화","수","목","금","토","일"))</f>
        <v/>
      </c>
      <c r="C1623" s="18" t="n"/>
      <c r="D1623" s="25">
        <f>IFERROR(IF(C1623="","",INDEX(직원명부!$B$5:$B$24,MATCH(C1623,직원명부!$A$5:$A$24,0))),"사번 확인")</f>
        <v/>
      </c>
      <c r="E1623" s="34" t="n"/>
      <c r="F1623" s="34" t="n"/>
      <c r="G1623" s="28" t="n"/>
      <c r="H1623" s="33">
        <f>IF(OR(E1623="",F1623=""),"",ROUND(MOD(F1623-E1623,1)*24-N(G1623),2))</f>
        <v/>
      </c>
      <c r="I1623" s="33">
        <f>IF(H1623="","",ROUND(MAX(0,H1623-8),2))</f>
        <v/>
      </c>
      <c r="J1623" s="33">
        <f>IF(OR(E1623="",F1623=""),"",ROUND(IF(MOD(F1623,1)&gt;=TIME(22,0,0),(MOD(F1623,1)-TIME(22,0,0))*24,IF(MOD(F1623,1)&lt;TIME(6,0,0),(MOD(F1623,1)+1-TIME(22,0,0))*24,0)),2))</f>
        <v/>
      </c>
      <c r="K1623" s="33">
        <f>IF(H1623="","",ROUND(IF(L1623="휴일근로",MIN(H1623,8)*1.5+MAX(0,H1623-8)*2,I1623*1.5)+N(J1623)*0.5,2))</f>
        <v/>
      </c>
      <c r="L1623" s="18" t="n"/>
      <c r="M1623" s="18" t="n"/>
      <c r="N1623" s="22" t="n"/>
    </row>
    <row r="1624">
      <c r="A1624" s="19" t="n"/>
      <c r="B1624" s="25">
        <f>IF(A1624="","",CHOOSE(WEEKDAY(A1624,2),"월","화","수","목","금","토","일"))</f>
        <v/>
      </c>
      <c r="C1624" s="18" t="n"/>
      <c r="D1624" s="25">
        <f>IFERROR(IF(C1624="","",INDEX(직원명부!$B$5:$B$24,MATCH(C1624,직원명부!$A$5:$A$24,0))),"사번 확인")</f>
        <v/>
      </c>
      <c r="E1624" s="34" t="n"/>
      <c r="F1624" s="34" t="n"/>
      <c r="G1624" s="28" t="n"/>
      <c r="H1624" s="33">
        <f>IF(OR(E1624="",F1624=""),"",ROUND(MOD(F1624-E1624,1)*24-N(G1624),2))</f>
        <v/>
      </c>
      <c r="I1624" s="33">
        <f>IF(H1624="","",ROUND(MAX(0,H1624-8),2))</f>
        <v/>
      </c>
      <c r="J1624" s="33">
        <f>IF(OR(E1624="",F1624=""),"",ROUND(IF(MOD(F1624,1)&gt;=TIME(22,0,0),(MOD(F1624,1)-TIME(22,0,0))*24,IF(MOD(F1624,1)&lt;TIME(6,0,0),(MOD(F1624,1)+1-TIME(22,0,0))*24,0)),2))</f>
        <v/>
      </c>
      <c r="K1624" s="33">
        <f>IF(H1624="","",ROUND(IF(L1624="휴일근로",MIN(H1624,8)*1.5+MAX(0,H1624-8)*2,I1624*1.5)+N(J1624)*0.5,2))</f>
        <v/>
      </c>
      <c r="L1624" s="18" t="n"/>
      <c r="M1624" s="18" t="n"/>
      <c r="N1624" s="22" t="n"/>
    </row>
    <row r="1625">
      <c r="A1625" s="19" t="n"/>
      <c r="B1625" s="25">
        <f>IF(A1625="","",CHOOSE(WEEKDAY(A1625,2),"월","화","수","목","금","토","일"))</f>
        <v/>
      </c>
      <c r="C1625" s="18" t="n"/>
      <c r="D1625" s="25">
        <f>IFERROR(IF(C1625="","",INDEX(직원명부!$B$5:$B$24,MATCH(C1625,직원명부!$A$5:$A$24,0))),"사번 확인")</f>
        <v/>
      </c>
      <c r="E1625" s="34" t="n"/>
      <c r="F1625" s="34" t="n"/>
      <c r="G1625" s="28" t="n"/>
      <c r="H1625" s="33">
        <f>IF(OR(E1625="",F1625=""),"",ROUND(MOD(F1625-E1625,1)*24-N(G1625),2))</f>
        <v/>
      </c>
      <c r="I1625" s="33">
        <f>IF(H1625="","",ROUND(MAX(0,H1625-8),2))</f>
        <v/>
      </c>
      <c r="J1625" s="33">
        <f>IF(OR(E1625="",F1625=""),"",ROUND(IF(MOD(F1625,1)&gt;=TIME(22,0,0),(MOD(F1625,1)-TIME(22,0,0))*24,IF(MOD(F1625,1)&lt;TIME(6,0,0),(MOD(F1625,1)+1-TIME(22,0,0))*24,0)),2))</f>
        <v/>
      </c>
      <c r="K1625" s="33">
        <f>IF(H1625="","",ROUND(IF(L1625="휴일근로",MIN(H1625,8)*1.5+MAX(0,H1625-8)*2,I1625*1.5)+N(J1625)*0.5,2))</f>
        <v/>
      </c>
      <c r="L1625" s="18" t="n"/>
      <c r="M1625" s="18" t="n"/>
      <c r="N1625" s="22" t="n"/>
    </row>
    <row r="1626">
      <c r="A1626" s="19" t="n"/>
      <c r="B1626" s="25">
        <f>IF(A1626="","",CHOOSE(WEEKDAY(A1626,2),"월","화","수","목","금","토","일"))</f>
        <v/>
      </c>
      <c r="C1626" s="18" t="n"/>
      <c r="D1626" s="25">
        <f>IFERROR(IF(C1626="","",INDEX(직원명부!$B$5:$B$24,MATCH(C1626,직원명부!$A$5:$A$24,0))),"사번 확인")</f>
        <v/>
      </c>
      <c r="E1626" s="34" t="n"/>
      <c r="F1626" s="34" t="n"/>
      <c r="G1626" s="28" t="n"/>
      <c r="H1626" s="33">
        <f>IF(OR(E1626="",F1626=""),"",ROUND(MOD(F1626-E1626,1)*24-N(G1626),2))</f>
        <v/>
      </c>
      <c r="I1626" s="33">
        <f>IF(H1626="","",ROUND(MAX(0,H1626-8),2))</f>
        <v/>
      </c>
      <c r="J1626" s="33">
        <f>IF(OR(E1626="",F1626=""),"",ROUND(IF(MOD(F1626,1)&gt;=TIME(22,0,0),(MOD(F1626,1)-TIME(22,0,0))*24,IF(MOD(F1626,1)&lt;TIME(6,0,0),(MOD(F1626,1)+1-TIME(22,0,0))*24,0)),2))</f>
        <v/>
      </c>
      <c r="K1626" s="33">
        <f>IF(H1626="","",ROUND(IF(L1626="휴일근로",MIN(H1626,8)*1.5+MAX(0,H1626-8)*2,I1626*1.5)+N(J1626)*0.5,2))</f>
        <v/>
      </c>
      <c r="L1626" s="18" t="n"/>
      <c r="M1626" s="18" t="n"/>
      <c r="N1626" s="22" t="n"/>
    </row>
    <row r="1627">
      <c r="A1627" s="19" t="n"/>
      <c r="B1627" s="25">
        <f>IF(A1627="","",CHOOSE(WEEKDAY(A1627,2),"월","화","수","목","금","토","일"))</f>
        <v/>
      </c>
      <c r="C1627" s="18" t="n"/>
      <c r="D1627" s="25">
        <f>IFERROR(IF(C1627="","",INDEX(직원명부!$B$5:$B$24,MATCH(C1627,직원명부!$A$5:$A$24,0))),"사번 확인")</f>
        <v/>
      </c>
      <c r="E1627" s="34" t="n"/>
      <c r="F1627" s="34" t="n"/>
      <c r="G1627" s="28" t="n"/>
      <c r="H1627" s="33">
        <f>IF(OR(E1627="",F1627=""),"",ROUND(MOD(F1627-E1627,1)*24-N(G1627),2))</f>
        <v/>
      </c>
      <c r="I1627" s="33">
        <f>IF(H1627="","",ROUND(MAX(0,H1627-8),2))</f>
        <v/>
      </c>
      <c r="J1627" s="33">
        <f>IF(OR(E1627="",F1627=""),"",ROUND(IF(MOD(F1627,1)&gt;=TIME(22,0,0),(MOD(F1627,1)-TIME(22,0,0))*24,IF(MOD(F1627,1)&lt;TIME(6,0,0),(MOD(F1627,1)+1-TIME(22,0,0))*24,0)),2))</f>
        <v/>
      </c>
      <c r="K1627" s="33">
        <f>IF(H1627="","",ROUND(IF(L1627="휴일근로",MIN(H1627,8)*1.5+MAX(0,H1627-8)*2,I1627*1.5)+N(J1627)*0.5,2))</f>
        <v/>
      </c>
      <c r="L1627" s="18" t="n"/>
      <c r="M1627" s="18" t="n"/>
      <c r="N1627" s="22" t="n"/>
    </row>
    <row r="1628">
      <c r="A1628" s="19" t="n"/>
      <c r="B1628" s="25">
        <f>IF(A1628="","",CHOOSE(WEEKDAY(A1628,2),"월","화","수","목","금","토","일"))</f>
        <v/>
      </c>
      <c r="C1628" s="18" t="n"/>
      <c r="D1628" s="25">
        <f>IFERROR(IF(C1628="","",INDEX(직원명부!$B$5:$B$24,MATCH(C1628,직원명부!$A$5:$A$24,0))),"사번 확인")</f>
        <v/>
      </c>
      <c r="E1628" s="34" t="n"/>
      <c r="F1628" s="34" t="n"/>
      <c r="G1628" s="28" t="n"/>
      <c r="H1628" s="33">
        <f>IF(OR(E1628="",F1628=""),"",ROUND(MOD(F1628-E1628,1)*24-N(G1628),2))</f>
        <v/>
      </c>
      <c r="I1628" s="33">
        <f>IF(H1628="","",ROUND(MAX(0,H1628-8),2))</f>
        <v/>
      </c>
      <c r="J1628" s="33">
        <f>IF(OR(E1628="",F1628=""),"",ROUND(IF(MOD(F1628,1)&gt;=TIME(22,0,0),(MOD(F1628,1)-TIME(22,0,0))*24,IF(MOD(F1628,1)&lt;TIME(6,0,0),(MOD(F1628,1)+1-TIME(22,0,0))*24,0)),2))</f>
        <v/>
      </c>
      <c r="K1628" s="33">
        <f>IF(H1628="","",ROUND(IF(L1628="휴일근로",MIN(H1628,8)*1.5+MAX(0,H1628-8)*2,I1628*1.5)+N(J1628)*0.5,2))</f>
        <v/>
      </c>
      <c r="L1628" s="18" t="n"/>
      <c r="M1628" s="18" t="n"/>
      <c r="N1628" s="22" t="n"/>
    </row>
    <row r="1629">
      <c r="A1629" s="19" t="n"/>
      <c r="B1629" s="25">
        <f>IF(A1629="","",CHOOSE(WEEKDAY(A1629,2),"월","화","수","목","금","토","일"))</f>
        <v/>
      </c>
      <c r="C1629" s="18" t="n"/>
      <c r="D1629" s="25">
        <f>IFERROR(IF(C1629="","",INDEX(직원명부!$B$5:$B$24,MATCH(C1629,직원명부!$A$5:$A$24,0))),"사번 확인")</f>
        <v/>
      </c>
      <c r="E1629" s="34" t="n"/>
      <c r="F1629" s="34" t="n"/>
      <c r="G1629" s="28" t="n"/>
      <c r="H1629" s="33">
        <f>IF(OR(E1629="",F1629=""),"",ROUND(MOD(F1629-E1629,1)*24-N(G1629),2))</f>
        <v/>
      </c>
      <c r="I1629" s="33">
        <f>IF(H1629="","",ROUND(MAX(0,H1629-8),2))</f>
        <v/>
      </c>
      <c r="J1629" s="33">
        <f>IF(OR(E1629="",F1629=""),"",ROUND(IF(MOD(F1629,1)&gt;=TIME(22,0,0),(MOD(F1629,1)-TIME(22,0,0))*24,IF(MOD(F1629,1)&lt;TIME(6,0,0),(MOD(F1629,1)+1-TIME(22,0,0))*24,0)),2))</f>
        <v/>
      </c>
      <c r="K1629" s="33">
        <f>IF(H1629="","",ROUND(IF(L1629="휴일근로",MIN(H1629,8)*1.5+MAX(0,H1629-8)*2,I1629*1.5)+N(J1629)*0.5,2))</f>
        <v/>
      </c>
      <c r="L1629" s="18" t="n"/>
      <c r="M1629" s="18" t="n"/>
      <c r="N1629" s="22" t="n"/>
    </row>
    <row r="1630">
      <c r="A1630" s="19" t="n"/>
      <c r="B1630" s="25">
        <f>IF(A1630="","",CHOOSE(WEEKDAY(A1630,2),"월","화","수","목","금","토","일"))</f>
        <v/>
      </c>
      <c r="C1630" s="18" t="n"/>
      <c r="D1630" s="25">
        <f>IFERROR(IF(C1630="","",INDEX(직원명부!$B$5:$B$24,MATCH(C1630,직원명부!$A$5:$A$24,0))),"사번 확인")</f>
        <v/>
      </c>
      <c r="E1630" s="34" t="n"/>
      <c r="F1630" s="34" t="n"/>
      <c r="G1630" s="28" t="n"/>
      <c r="H1630" s="33">
        <f>IF(OR(E1630="",F1630=""),"",ROUND(MOD(F1630-E1630,1)*24-N(G1630),2))</f>
        <v/>
      </c>
      <c r="I1630" s="33">
        <f>IF(H1630="","",ROUND(MAX(0,H1630-8),2))</f>
        <v/>
      </c>
      <c r="J1630" s="33">
        <f>IF(OR(E1630="",F1630=""),"",ROUND(IF(MOD(F1630,1)&gt;=TIME(22,0,0),(MOD(F1630,1)-TIME(22,0,0))*24,IF(MOD(F1630,1)&lt;TIME(6,0,0),(MOD(F1630,1)+1-TIME(22,0,0))*24,0)),2))</f>
        <v/>
      </c>
      <c r="K1630" s="33">
        <f>IF(H1630="","",ROUND(IF(L1630="휴일근로",MIN(H1630,8)*1.5+MAX(0,H1630-8)*2,I1630*1.5)+N(J1630)*0.5,2))</f>
        <v/>
      </c>
      <c r="L1630" s="18" t="n"/>
      <c r="M1630" s="18" t="n"/>
      <c r="N1630" s="22" t="n"/>
    </row>
    <row r="1631">
      <c r="A1631" s="19" t="n"/>
      <c r="B1631" s="25">
        <f>IF(A1631="","",CHOOSE(WEEKDAY(A1631,2),"월","화","수","목","금","토","일"))</f>
        <v/>
      </c>
      <c r="C1631" s="18" t="n"/>
      <c r="D1631" s="25">
        <f>IFERROR(IF(C1631="","",INDEX(직원명부!$B$5:$B$24,MATCH(C1631,직원명부!$A$5:$A$24,0))),"사번 확인")</f>
        <v/>
      </c>
      <c r="E1631" s="34" t="n"/>
      <c r="F1631" s="34" t="n"/>
      <c r="G1631" s="28" t="n"/>
      <c r="H1631" s="33">
        <f>IF(OR(E1631="",F1631=""),"",ROUND(MOD(F1631-E1631,1)*24-N(G1631),2))</f>
        <v/>
      </c>
      <c r="I1631" s="33">
        <f>IF(H1631="","",ROUND(MAX(0,H1631-8),2))</f>
        <v/>
      </c>
      <c r="J1631" s="33">
        <f>IF(OR(E1631="",F1631=""),"",ROUND(IF(MOD(F1631,1)&gt;=TIME(22,0,0),(MOD(F1631,1)-TIME(22,0,0))*24,IF(MOD(F1631,1)&lt;TIME(6,0,0),(MOD(F1631,1)+1-TIME(22,0,0))*24,0)),2))</f>
        <v/>
      </c>
      <c r="K1631" s="33">
        <f>IF(H1631="","",ROUND(IF(L1631="휴일근로",MIN(H1631,8)*1.5+MAX(0,H1631-8)*2,I1631*1.5)+N(J1631)*0.5,2))</f>
        <v/>
      </c>
      <c r="L1631" s="18" t="n"/>
      <c r="M1631" s="18" t="n"/>
      <c r="N1631" s="22" t="n"/>
    </row>
    <row r="1632">
      <c r="A1632" s="19" t="n"/>
      <c r="B1632" s="25">
        <f>IF(A1632="","",CHOOSE(WEEKDAY(A1632,2),"월","화","수","목","금","토","일"))</f>
        <v/>
      </c>
      <c r="C1632" s="18" t="n"/>
      <c r="D1632" s="25">
        <f>IFERROR(IF(C1632="","",INDEX(직원명부!$B$5:$B$24,MATCH(C1632,직원명부!$A$5:$A$24,0))),"사번 확인")</f>
        <v/>
      </c>
      <c r="E1632" s="34" t="n"/>
      <c r="F1632" s="34" t="n"/>
      <c r="G1632" s="28" t="n"/>
      <c r="H1632" s="33">
        <f>IF(OR(E1632="",F1632=""),"",ROUND(MOD(F1632-E1632,1)*24-N(G1632),2))</f>
        <v/>
      </c>
      <c r="I1632" s="33">
        <f>IF(H1632="","",ROUND(MAX(0,H1632-8),2))</f>
        <v/>
      </c>
      <c r="J1632" s="33">
        <f>IF(OR(E1632="",F1632=""),"",ROUND(IF(MOD(F1632,1)&gt;=TIME(22,0,0),(MOD(F1632,1)-TIME(22,0,0))*24,IF(MOD(F1632,1)&lt;TIME(6,0,0),(MOD(F1632,1)+1-TIME(22,0,0))*24,0)),2))</f>
        <v/>
      </c>
      <c r="K1632" s="33">
        <f>IF(H1632="","",ROUND(IF(L1632="휴일근로",MIN(H1632,8)*1.5+MAX(0,H1632-8)*2,I1632*1.5)+N(J1632)*0.5,2))</f>
        <v/>
      </c>
      <c r="L1632" s="18" t="n"/>
      <c r="M1632" s="18" t="n"/>
      <c r="N1632" s="22" t="n"/>
    </row>
    <row r="1633">
      <c r="A1633" s="19" t="n"/>
      <c r="B1633" s="25">
        <f>IF(A1633="","",CHOOSE(WEEKDAY(A1633,2),"월","화","수","목","금","토","일"))</f>
        <v/>
      </c>
      <c r="C1633" s="18" t="n"/>
      <c r="D1633" s="25">
        <f>IFERROR(IF(C1633="","",INDEX(직원명부!$B$5:$B$24,MATCH(C1633,직원명부!$A$5:$A$24,0))),"사번 확인")</f>
        <v/>
      </c>
      <c r="E1633" s="34" t="n"/>
      <c r="F1633" s="34" t="n"/>
      <c r="G1633" s="28" t="n"/>
      <c r="H1633" s="33">
        <f>IF(OR(E1633="",F1633=""),"",ROUND(MOD(F1633-E1633,1)*24-N(G1633),2))</f>
        <v/>
      </c>
      <c r="I1633" s="33">
        <f>IF(H1633="","",ROUND(MAX(0,H1633-8),2))</f>
        <v/>
      </c>
      <c r="J1633" s="33">
        <f>IF(OR(E1633="",F1633=""),"",ROUND(IF(MOD(F1633,1)&gt;=TIME(22,0,0),(MOD(F1633,1)-TIME(22,0,0))*24,IF(MOD(F1633,1)&lt;TIME(6,0,0),(MOD(F1633,1)+1-TIME(22,0,0))*24,0)),2))</f>
        <v/>
      </c>
      <c r="K1633" s="33">
        <f>IF(H1633="","",ROUND(IF(L1633="휴일근로",MIN(H1633,8)*1.5+MAX(0,H1633-8)*2,I1633*1.5)+N(J1633)*0.5,2))</f>
        <v/>
      </c>
      <c r="L1633" s="18" t="n"/>
      <c r="M1633" s="18" t="n"/>
      <c r="N1633" s="22" t="n"/>
    </row>
    <row r="1634">
      <c r="A1634" s="19" t="n"/>
      <c r="B1634" s="25">
        <f>IF(A1634="","",CHOOSE(WEEKDAY(A1634,2),"월","화","수","목","금","토","일"))</f>
        <v/>
      </c>
      <c r="C1634" s="18" t="n"/>
      <c r="D1634" s="25">
        <f>IFERROR(IF(C1634="","",INDEX(직원명부!$B$5:$B$24,MATCH(C1634,직원명부!$A$5:$A$24,0))),"사번 확인")</f>
        <v/>
      </c>
      <c r="E1634" s="34" t="n"/>
      <c r="F1634" s="34" t="n"/>
      <c r="G1634" s="28" t="n"/>
      <c r="H1634" s="33">
        <f>IF(OR(E1634="",F1634=""),"",ROUND(MOD(F1634-E1634,1)*24-N(G1634),2))</f>
        <v/>
      </c>
      <c r="I1634" s="33">
        <f>IF(H1634="","",ROUND(MAX(0,H1634-8),2))</f>
        <v/>
      </c>
      <c r="J1634" s="33">
        <f>IF(OR(E1634="",F1634=""),"",ROUND(IF(MOD(F1634,1)&gt;=TIME(22,0,0),(MOD(F1634,1)-TIME(22,0,0))*24,IF(MOD(F1634,1)&lt;TIME(6,0,0),(MOD(F1634,1)+1-TIME(22,0,0))*24,0)),2))</f>
        <v/>
      </c>
      <c r="K1634" s="33">
        <f>IF(H1634="","",ROUND(IF(L1634="휴일근로",MIN(H1634,8)*1.5+MAX(0,H1634-8)*2,I1634*1.5)+N(J1634)*0.5,2))</f>
        <v/>
      </c>
      <c r="L1634" s="18" t="n"/>
      <c r="M1634" s="18" t="n"/>
      <c r="N1634" s="22" t="n"/>
    </row>
    <row r="1635">
      <c r="A1635" s="19" t="n"/>
      <c r="B1635" s="25">
        <f>IF(A1635="","",CHOOSE(WEEKDAY(A1635,2),"월","화","수","목","금","토","일"))</f>
        <v/>
      </c>
      <c r="C1635" s="18" t="n"/>
      <c r="D1635" s="25">
        <f>IFERROR(IF(C1635="","",INDEX(직원명부!$B$5:$B$24,MATCH(C1635,직원명부!$A$5:$A$24,0))),"사번 확인")</f>
        <v/>
      </c>
      <c r="E1635" s="34" t="n"/>
      <c r="F1635" s="34" t="n"/>
      <c r="G1635" s="28" t="n"/>
      <c r="H1635" s="33">
        <f>IF(OR(E1635="",F1635=""),"",ROUND(MOD(F1635-E1635,1)*24-N(G1635),2))</f>
        <v/>
      </c>
      <c r="I1635" s="33">
        <f>IF(H1635="","",ROUND(MAX(0,H1635-8),2))</f>
        <v/>
      </c>
      <c r="J1635" s="33">
        <f>IF(OR(E1635="",F1635=""),"",ROUND(IF(MOD(F1635,1)&gt;=TIME(22,0,0),(MOD(F1635,1)-TIME(22,0,0))*24,IF(MOD(F1635,1)&lt;TIME(6,0,0),(MOD(F1635,1)+1-TIME(22,0,0))*24,0)),2))</f>
        <v/>
      </c>
      <c r="K1635" s="33">
        <f>IF(H1635="","",ROUND(IF(L1635="휴일근로",MIN(H1635,8)*1.5+MAX(0,H1635-8)*2,I1635*1.5)+N(J1635)*0.5,2))</f>
        <v/>
      </c>
      <c r="L1635" s="18" t="n"/>
      <c r="M1635" s="18" t="n"/>
      <c r="N1635" s="22" t="n"/>
    </row>
    <row r="1636">
      <c r="A1636" s="19" t="n"/>
      <c r="B1636" s="25">
        <f>IF(A1636="","",CHOOSE(WEEKDAY(A1636,2),"월","화","수","목","금","토","일"))</f>
        <v/>
      </c>
      <c r="C1636" s="18" t="n"/>
      <c r="D1636" s="25">
        <f>IFERROR(IF(C1636="","",INDEX(직원명부!$B$5:$B$24,MATCH(C1636,직원명부!$A$5:$A$24,0))),"사번 확인")</f>
        <v/>
      </c>
      <c r="E1636" s="34" t="n"/>
      <c r="F1636" s="34" t="n"/>
      <c r="G1636" s="28" t="n"/>
      <c r="H1636" s="33">
        <f>IF(OR(E1636="",F1636=""),"",ROUND(MOD(F1636-E1636,1)*24-N(G1636),2))</f>
        <v/>
      </c>
      <c r="I1636" s="33">
        <f>IF(H1636="","",ROUND(MAX(0,H1636-8),2))</f>
        <v/>
      </c>
      <c r="J1636" s="33">
        <f>IF(OR(E1636="",F1636=""),"",ROUND(IF(MOD(F1636,1)&gt;=TIME(22,0,0),(MOD(F1636,1)-TIME(22,0,0))*24,IF(MOD(F1636,1)&lt;TIME(6,0,0),(MOD(F1636,1)+1-TIME(22,0,0))*24,0)),2))</f>
        <v/>
      </c>
      <c r="K1636" s="33">
        <f>IF(H1636="","",ROUND(IF(L1636="휴일근로",MIN(H1636,8)*1.5+MAX(0,H1636-8)*2,I1636*1.5)+N(J1636)*0.5,2))</f>
        <v/>
      </c>
      <c r="L1636" s="18" t="n"/>
      <c r="M1636" s="18" t="n"/>
      <c r="N1636" s="22" t="n"/>
    </row>
    <row r="1637">
      <c r="A1637" s="19" t="n"/>
      <c r="B1637" s="25">
        <f>IF(A1637="","",CHOOSE(WEEKDAY(A1637,2),"월","화","수","목","금","토","일"))</f>
        <v/>
      </c>
      <c r="C1637" s="18" t="n"/>
      <c r="D1637" s="25">
        <f>IFERROR(IF(C1637="","",INDEX(직원명부!$B$5:$B$24,MATCH(C1637,직원명부!$A$5:$A$24,0))),"사번 확인")</f>
        <v/>
      </c>
      <c r="E1637" s="34" t="n"/>
      <c r="F1637" s="34" t="n"/>
      <c r="G1637" s="28" t="n"/>
      <c r="H1637" s="33">
        <f>IF(OR(E1637="",F1637=""),"",ROUND(MOD(F1637-E1637,1)*24-N(G1637),2))</f>
        <v/>
      </c>
      <c r="I1637" s="33">
        <f>IF(H1637="","",ROUND(MAX(0,H1637-8),2))</f>
        <v/>
      </c>
      <c r="J1637" s="33">
        <f>IF(OR(E1637="",F1637=""),"",ROUND(IF(MOD(F1637,1)&gt;=TIME(22,0,0),(MOD(F1637,1)-TIME(22,0,0))*24,IF(MOD(F1637,1)&lt;TIME(6,0,0),(MOD(F1637,1)+1-TIME(22,0,0))*24,0)),2))</f>
        <v/>
      </c>
      <c r="K1637" s="33">
        <f>IF(H1637="","",ROUND(IF(L1637="휴일근로",MIN(H1637,8)*1.5+MAX(0,H1637-8)*2,I1637*1.5)+N(J1637)*0.5,2))</f>
        <v/>
      </c>
      <c r="L1637" s="18" t="n"/>
      <c r="M1637" s="18" t="n"/>
      <c r="N1637" s="22" t="n"/>
    </row>
    <row r="1638">
      <c r="A1638" s="19" t="n"/>
      <c r="B1638" s="25">
        <f>IF(A1638="","",CHOOSE(WEEKDAY(A1638,2),"월","화","수","목","금","토","일"))</f>
        <v/>
      </c>
      <c r="C1638" s="18" t="n"/>
      <c r="D1638" s="25">
        <f>IFERROR(IF(C1638="","",INDEX(직원명부!$B$5:$B$24,MATCH(C1638,직원명부!$A$5:$A$24,0))),"사번 확인")</f>
        <v/>
      </c>
      <c r="E1638" s="34" t="n"/>
      <c r="F1638" s="34" t="n"/>
      <c r="G1638" s="28" t="n"/>
      <c r="H1638" s="33">
        <f>IF(OR(E1638="",F1638=""),"",ROUND(MOD(F1638-E1638,1)*24-N(G1638),2))</f>
        <v/>
      </c>
      <c r="I1638" s="33">
        <f>IF(H1638="","",ROUND(MAX(0,H1638-8),2))</f>
        <v/>
      </c>
      <c r="J1638" s="33">
        <f>IF(OR(E1638="",F1638=""),"",ROUND(IF(MOD(F1638,1)&gt;=TIME(22,0,0),(MOD(F1638,1)-TIME(22,0,0))*24,IF(MOD(F1638,1)&lt;TIME(6,0,0),(MOD(F1638,1)+1-TIME(22,0,0))*24,0)),2))</f>
        <v/>
      </c>
      <c r="K1638" s="33">
        <f>IF(H1638="","",ROUND(IF(L1638="휴일근로",MIN(H1638,8)*1.5+MAX(0,H1638-8)*2,I1638*1.5)+N(J1638)*0.5,2))</f>
        <v/>
      </c>
      <c r="L1638" s="18" t="n"/>
      <c r="M1638" s="18" t="n"/>
      <c r="N1638" s="22" t="n"/>
    </row>
    <row r="1639">
      <c r="A1639" s="19" t="n"/>
      <c r="B1639" s="25">
        <f>IF(A1639="","",CHOOSE(WEEKDAY(A1639,2),"월","화","수","목","금","토","일"))</f>
        <v/>
      </c>
      <c r="C1639" s="18" t="n"/>
      <c r="D1639" s="25">
        <f>IFERROR(IF(C1639="","",INDEX(직원명부!$B$5:$B$24,MATCH(C1639,직원명부!$A$5:$A$24,0))),"사번 확인")</f>
        <v/>
      </c>
      <c r="E1639" s="34" t="n"/>
      <c r="F1639" s="34" t="n"/>
      <c r="G1639" s="28" t="n"/>
      <c r="H1639" s="33">
        <f>IF(OR(E1639="",F1639=""),"",ROUND(MOD(F1639-E1639,1)*24-N(G1639),2))</f>
        <v/>
      </c>
      <c r="I1639" s="33">
        <f>IF(H1639="","",ROUND(MAX(0,H1639-8),2))</f>
        <v/>
      </c>
      <c r="J1639" s="33">
        <f>IF(OR(E1639="",F1639=""),"",ROUND(IF(MOD(F1639,1)&gt;=TIME(22,0,0),(MOD(F1639,1)-TIME(22,0,0))*24,IF(MOD(F1639,1)&lt;TIME(6,0,0),(MOD(F1639,1)+1-TIME(22,0,0))*24,0)),2))</f>
        <v/>
      </c>
      <c r="K1639" s="33">
        <f>IF(H1639="","",ROUND(IF(L1639="휴일근로",MIN(H1639,8)*1.5+MAX(0,H1639-8)*2,I1639*1.5)+N(J1639)*0.5,2))</f>
        <v/>
      </c>
      <c r="L1639" s="18" t="n"/>
      <c r="M1639" s="18" t="n"/>
      <c r="N1639" s="22" t="n"/>
    </row>
    <row r="1640">
      <c r="A1640" s="19" t="n"/>
      <c r="B1640" s="25">
        <f>IF(A1640="","",CHOOSE(WEEKDAY(A1640,2),"월","화","수","목","금","토","일"))</f>
        <v/>
      </c>
      <c r="C1640" s="18" t="n"/>
      <c r="D1640" s="25">
        <f>IFERROR(IF(C1640="","",INDEX(직원명부!$B$5:$B$24,MATCH(C1640,직원명부!$A$5:$A$24,0))),"사번 확인")</f>
        <v/>
      </c>
      <c r="E1640" s="34" t="n"/>
      <c r="F1640" s="34" t="n"/>
      <c r="G1640" s="28" t="n"/>
      <c r="H1640" s="33">
        <f>IF(OR(E1640="",F1640=""),"",ROUND(MOD(F1640-E1640,1)*24-N(G1640),2))</f>
        <v/>
      </c>
      <c r="I1640" s="33">
        <f>IF(H1640="","",ROUND(MAX(0,H1640-8),2))</f>
        <v/>
      </c>
      <c r="J1640" s="33">
        <f>IF(OR(E1640="",F1640=""),"",ROUND(IF(MOD(F1640,1)&gt;=TIME(22,0,0),(MOD(F1640,1)-TIME(22,0,0))*24,IF(MOD(F1640,1)&lt;TIME(6,0,0),(MOD(F1640,1)+1-TIME(22,0,0))*24,0)),2))</f>
        <v/>
      </c>
      <c r="K1640" s="33">
        <f>IF(H1640="","",ROUND(IF(L1640="휴일근로",MIN(H1640,8)*1.5+MAX(0,H1640-8)*2,I1640*1.5)+N(J1640)*0.5,2))</f>
        <v/>
      </c>
      <c r="L1640" s="18" t="n"/>
      <c r="M1640" s="18" t="n"/>
      <c r="N1640" s="22" t="n"/>
    </row>
    <row r="1641">
      <c r="A1641" s="19" t="n"/>
      <c r="B1641" s="25">
        <f>IF(A1641="","",CHOOSE(WEEKDAY(A1641,2),"월","화","수","목","금","토","일"))</f>
        <v/>
      </c>
      <c r="C1641" s="18" t="n"/>
      <c r="D1641" s="25">
        <f>IFERROR(IF(C1641="","",INDEX(직원명부!$B$5:$B$24,MATCH(C1641,직원명부!$A$5:$A$24,0))),"사번 확인")</f>
        <v/>
      </c>
      <c r="E1641" s="34" t="n"/>
      <c r="F1641" s="34" t="n"/>
      <c r="G1641" s="28" t="n"/>
      <c r="H1641" s="33">
        <f>IF(OR(E1641="",F1641=""),"",ROUND(MOD(F1641-E1641,1)*24-N(G1641),2))</f>
        <v/>
      </c>
      <c r="I1641" s="33">
        <f>IF(H1641="","",ROUND(MAX(0,H1641-8),2))</f>
        <v/>
      </c>
      <c r="J1641" s="33">
        <f>IF(OR(E1641="",F1641=""),"",ROUND(IF(MOD(F1641,1)&gt;=TIME(22,0,0),(MOD(F1641,1)-TIME(22,0,0))*24,IF(MOD(F1641,1)&lt;TIME(6,0,0),(MOD(F1641,1)+1-TIME(22,0,0))*24,0)),2))</f>
        <v/>
      </c>
      <c r="K1641" s="33">
        <f>IF(H1641="","",ROUND(IF(L1641="휴일근로",MIN(H1641,8)*1.5+MAX(0,H1641-8)*2,I1641*1.5)+N(J1641)*0.5,2))</f>
        <v/>
      </c>
      <c r="L1641" s="18" t="n"/>
      <c r="M1641" s="18" t="n"/>
      <c r="N1641" s="22" t="n"/>
    </row>
    <row r="1642">
      <c r="A1642" s="19" t="n"/>
      <c r="B1642" s="25">
        <f>IF(A1642="","",CHOOSE(WEEKDAY(A1642,2),"월","화","수","목","금","토","일"))</f>
        <v/>
      </c>
      <c r="C1642" s="18" t="n"/>
      <c r="D1642" s="25">
        <f>IFERROR(IF(C1642="","",INDEX(직원명부!$B$5:$B$24,MATCH(C1642,직원명부!$A$5:$A$24,0))),"사번 확인")</f>
        <v/>
      </c>
      <c r="E1642" s="34" t="n"/>
      <c r="F1642" s="34" t="n"/>
      <c r="G1642" s="28" t="n"/>
      <c r="H1642" s="33">
        <f>IF(OR(E1642="",F1642=""),"",ROUND(MOD(F1642-E1642,1)*24-N(G1642),2))</f>
        <v/>
      </c>
      <c r="I1642" s="33">
        <f>IF(H1642="","",ROUND(MAX(0,H1642-8),2))</f>
        <v/>
      </c>
      <c r="J1642" s="33">
        <f>IF(OR(E1642="",F1642=""),"",ROUND(IF(MOD(F1642,1)&gt;=TIME(22,0,0),(MOD(F1642,1)-TIME(22,0,0))*24,IF(MOD(F1642,1)&lt;TIME(6,0,0),(MOD(F1642,1)+1-TIME(22,0,0))*24,0)),2))</f>
        <v/>
      </c>
      <c r="K1642" s="33">
        <f>IF(H1642="","",ROUND(IF(L1642="휴일근로",MIN(H1642,8)*1.5+MAX(0,H1642-8)*2,I1642*1.5)+N(J1642)*0.5,2))</f>
        <v/>
      </c>
      <c r="L1642" s="18" t="n"/>
      <c r="M1642" s="18" t="n"/>
      <c r="N1642" s="22" t="n"/>
    </row>
    <row r="1643">
      <c r="A1643" s="19" t="n"/>
      <c r="B1643" s="25">
        <f>IF(A1643="","",CHOOSE(WEEKDAY(A1643,2),"월","화","수","목","금","토","일"))</f>
        <v/>
      </c>
      <c r="C1643" s="18" t="n"/>
      <c r="D1643" s="25">
        <f>IFERROR(IF(C1643="","",INDEX(직원명부!$B$5:$B$24,MATCH(C1643,직원명부!$A$5:$A$24,0))),"사번 확인")</f>
        <v/>
      </c>
      <c r="E1643" s="34" t="n"/>
      <c r="F1643" s="34" t="n"/>
      <c r="G1643" s="28" t="n"/>
      <c r="H1643" s="33">
        <f>IF(OR(E1643="",F1643=""),"",ROUND(MOD(F1643-E1643,1)*24-N(G1643),2))</f>
        <v/>
      </c>
      <c r="I1643" s="33">
        <f>IF(H1643="","",ROUND(MAX(0,H1643-8),2))</f>
        <v/>
      </c>
      <c r="J1643" s="33">
        <f>IF(OR(E1643="",F1643=""),"",ROUND(IF(MOD(F1643,1)&gt;=TIME(22,0,0),(MOD(F1643,1)-TIME(22,0,0))*24,IF(MOD(F1643,1)&lt;TIME(6,0,0),(MOD(F1643,1)+1-TIME(22,0,0))*24,0)),2))</f>
        <v/>
      </c>
      <c r="K1643" s="33">
        <f>IF(H1643="","",ROUND(IF(L1643="휴일근로",MIN(H1643,8)*1.5+MAX(0,H1643-8)*2,I1643*1.5)+N(J1643)*0.5,2))</f>
        <v/>
      </c>
      <c r="L1643" s="18" t="n"/>
      <c r="M1643" s="18" t="n"/>
      <c r="N1643" s="22" t="n"/>
    </row>
    <row r="1644">
      <c r="A1644" s="19" t="n"/>
      <c r="B1644" s="25">
        <f>IF(A1644="","",CHOOSE(WEEKDAY(A1644,2),"월","화","수","목","금","토","일"))</f>
        <v/>
      </c>
      <c r="C1644" s="18" t="n"/>
      <c r="D1644" s="25">
        <f>IFERROR(IF(C1644="","",INDEX(직원명부!$B$5:$B$24,MATCH(C1644,직원명부!$A$5:$A$24,0))),"사번 확인")</f>
        <v/>
      </c>
      <c r="E1644" s="34" t="n"/>
      <c r="F1644" s="34" t="n"/>
      <c r="G1644" s="28" t="n"/>
      <c r="H1644" s="33">
        <f>IF(OR(E1644="",F1644=""),"",ROUND(MOD(F1644-E1644,1)*24-N(G1644),2))</f>
        <v/>
      </c>
      <c r="I1644" s="33">
        <f>IF(H1644="","",ROUND(MAX(0,H1644-8),2))</f>
        <v/>
      </c>
      <c r="J1644" s="33">
        <f>IF(OR(E1644="",F1644=""),"",ROUND(IF(MOD(F1644,1)&gt;=TIME(22,0,0),(MOD(F1644,1)-TIME(22,0,0))*24,IF(MOD(F1644,1)&lt;TIME(6,0,0),(MOD(F1644,1)+1-TIME(22,0,0))*24,0)),2))</f>
        <v/>
      </c>
      <c r="K1644" s="33">
        <f>IF(H1644="","",ROUND(IF(L1644="휴일근로",MIN(H1644,8)*1.5+MAX(0,H1644-8)*2,I1644*1.5)+N(J1644)*0.5,2))</f>
        <v/>
      </c>
      <c r="L1644" s="18" t="n"/>
      <c r="M1644" s="18" t="n"/>
      <c r="N1644" s="22" t="n"/>
    </row>
    <row r="1645">
      <c r="A1645" s="19" t="n"/>
      <c r="B1645" s="25">
        <f>IF(A1645="","",CHOOSE(WEEKDAY(A1645,2),"월","화","수","목","금","토","일"))</f>
        <v/>
      </c>
      <c r="C1645" s="18" t="n"/>
      <c r="D1645" s="25">
        <f>IFERROR(IF(C1645="","",INDEX(직원명부!$B$5:$B$24,MATCH(C1645,직원명부!$A$5:$A$24,0))),"사번 확인")</f>
        <v/>
      </c>
      <c r="E1645" s="34" t="n"/>
      <c r="F1645" s="34" t="n"/>
      <c r="G1645" s="28" t="n"/>
      <c r="H1645" s="33">
        <f>IF(OR(E1645="",F1645=""),"",ROUND(MOD(F1645-E1645,1)*24-N(G1645),2))</f>
        <v/>
      </c>
      <c r="I1645" s="33">
        <f>IF(H1645="","",ROUND(MAX(0,H1645-8),2))</f>
        <v/>
      </c>
      <c r="J1645" s="33">
        <f>IF(OR(E1645="",F1645=""),"",ROUND(IF(MOD(F1645,1)&gt;=TIME(22,0,0),(MOD(F1645,1)-TIME(22,0,0))*24,IF(MOD(F1645,1)&lt;TIME(6,0,0),(MOD(F1645,1)+1-TIME(22,0,0))*24,0)),2))</f>
        <v/>
      </c>
      <c r="K1645" s="33">
        <f>IF(H1645="","",ROUND(IF(L1645="휴일근로",MIN(H1645,8)*1.5+MAX(0,H1645-8)*2,I1645*1.5)+N(J1645)*0.5,2))</f>
        <v/>
      </c>
      <c r="L1645" s="18" t="n"/>
      <c r="M1645" s="18" t="n"/>
      <c r="N1645" s="22" t="n"/>
    </row>
    <row r="1646">
      <c r="A1646" s="19" t="n"/>
      <c r="B1646" s="25">
        <f>IF(A1646="","",CHOOSE(WEEKDAY(A1646,2),"월","화","수","목","금","토","일"))</f>
        <v/>
      </c>
      <c r="C1646" s="18" t="n"/>
      <c r="D1646" s="25">
        <f>IFERROR(IF(C1646="","",INDEX(직원명부!$B$5:$B$24,MATCH(C1646,직원명부!$A$5:$A$24,0))),"사번 확인")</f>
        <v/>
      </c>
      <c r="E1646" s="34" t="n"/>
      <c r="F1646" s="34" t="n"/>
      <c r="G1646" s="28" t="n"/>
      <c r="H1646" s="33">
        <f>IF(OR(E1646="",F1646=""),"",ROUND(MOD(F1646-E1646,1)*24-N(G1646),2))</f>
        <v/>
      </c>
      <c r="I1646" s="33">
        <f>IF(H1646="","",ROUND(MAX(0,H1646-8),2))</f>
        <v/>
      </c>
      <c r="J1646" s="33">
        <f>IF(OR(E1646="",F1646=""),"",ROUND(IF(MOD(F1646,1)&gt;=TIME(22,0,0),(MOD(F1646,1)-TIME(22,0,0))*24,IF(MOD(F1646,1)&lt;TIME(6,0,0),(MOD(F1646,1)+1-TIME(22,0,0))*24,0)),2))</f>
        <v/>
      </c>
      <c r="K1646" s="33">
        <f>IF(H1646="","",ROUND(IF(L1646="휴일근로",MIN(H1646,8)*1.5+MAX(0,H1646-8)*2,I1646*1.5)+N(J1646)*0.5,2))</f>
        <v/>
      </c>
      <c r="L1646" s="18" t="n"/>
      <c r="M1646" s="18" t="n"/>
      <c r="N1646" s="22" t="n"/>
    </row>
    <row r="1647">
      <c r="A1647" s="19" t="n"/>
      <c r="B1647" s="25">
        <f>IF(A1647="","",CHOOSE(WEEKDAY(A1647,2),"월","화","수","목","금","토","일"))</f>
        <v/>
      </c>
      <c r="C1647" s="18" t="n"/>
      <c r="D1647" s="25">
        <f>IFERROR(IF(C1647="","",INDEX(직원명부!$B$5:$B$24,MATCH(C1647,직원명부!$A$5:$A$24,0))),"사번 확인")</f>
        <v/>
      </c>
      <c r="E1647" s="34" t="n"/>
      <c r="F1647" s="34" t="n"/>
      <c r="G1647" s="28" t="n"/>
      <c r="H1647" s="33">
        <f>IF(OR(E1647="",F1647=""),"",ROUND(MOD(F1647-E1647,1)*24-N(G1647),2))</f>
        <v/>
      </c>
      <c r="I1647" s="33">
        <f>IF(H1647="","",ROUND(MAX(0,H1647-8),2))</f>
        <v/>
      </c>
      <c r="J1647" s="33">
        <f>IF(OR(E1647="",F1647=""),"",ROUND(IF(MOD(F1647,1)&gt;=TIME(22,0,0),(MOD(F1647,1)-TIME(22,0,0))*24,IF(MOD(F1647,1)&lt;TIME(6,0,0),(MOD(F1647,1)+1-TIME(22,0,0))*24,0)),2))</f>
        <v/>
      </c>
      <c r="K1647" s="33">
        <f>IF(H1647="","",ROUND(IF(L1647="휴일근로",MIN(H1647,8)*1.5+MAX(0,H1647-8)*2,I1647*1.5)+N(J1647)*0.5,2))</f>
        <v/>
      </c>
      <c r="L1647" s="18" t="n"/>
      <c r="M1647" s="18" t="n"/>
      <c r="N1647" s="22" t="n"/>
    </row>
    <row r="1648">
      <c r="A1648" s="19" t="n"/>
      <c r="B1648" s="25">
        <f>IF(A1648="","",CHOOSE(WEEKDAY(A1648,2),"월","화","수","목","금","토","일"))</f>
        <v/>
      </c>
      <c r="C1648" s="18" t="n"/>
      <c r="D1648" s="25">
        <f>IFERROR(IF(C1648="","",INDEX(직원명부!$B$5:$B$24,MATCH(C1648,직원명부!$A$5:$A$24,0))),"사번 확인")</f>
        <v/>
      </c>
      <c r="E1648" s="34" t="n"/>
      <c r="F1648" s="34" t="n"/>
      <c r="G1648" s="28" t="n"/>
      <c r="H1648" s="33">
        <f>IF(OR(E1648="",F1648=""),"",ROUND(MOD(F1648-E1648,1)*24-N(G1648),2))</f>
        <v/>
      </c>
      <c r="I1648" s="33">
        <f>IF(H1648="","",ROUND(MAX(0,H1648-8),2))</f>
        <v/>
      </c>
      <c r="J1648" s="33">
        <f>IF(OR(E1648="",F1648=""),"",ROUND(IF(MOD(F1648,1)&gt;=TIME(22,0,0),(MOD(F1648,1)-TIME(22,0,0))*24,IF(MOD(F1648,1)&lt;TIME(6,0,0),(MOD(F1648,1)+1-TIME(22,0,0))*24,0)),2))</f>
        <v/>
      </c>
      <c r="K1648" s="33">
        <f>IF(H1648="","",ROUND(IF(L1648="휴일근로",MIN(H1648,8)*1.5+MAX(0,H1648-8)*2,I1648*1.5)+N(J1648)*0.5,2))</f>
        <v/>
      </c>
      <c r="L1648" s="18" t="n"/>
      <c r="M1648" s="18" t="n"/>
      <c r="N1648" s="22" t="n"/>
    </row>
    <row r="1649">
      <c r="A1649" s="19" t="n"/>
      <c r="B1649" s="25">
        <f>IF(A1649="","",CHOOSE(WEEKDAY(A1649,2),"월","화","수","목","금","토","일"))</f>
        <v/>
      </c>
      <c r="C1649" s="18" t="n"/>
      <c r="D1649" s="25">
        <f>IFERROR(IF(C1649="","",INDEX(직원명부!$B$5:$B$24,MATCH(C1649,직원명부!$A$5:$A$24,0))),"사번 확인")</f>
        <v/>
      </c>
      <c r="E1649" s="34" t="n"/>
      <c r="F1649" s="34" t="n"/>
      <c r="G1649" s="28" t="n"/>
      <c r="H1649" s="33">
        <f>IF(OR(E1649="",F1649=""),"",ROUND(MOD(F1649-E1649,1)*24-N(G1649),2))</f>
        <v/>
      </c>
      <c r="I1649" s="33">
        <f>IF(H1649="","",ROUND(MAX(0,H1649-8),2))</f>
        <v/>
      </c>
      <c r="J1649" s="33">
        <f>IF(OR(E1649="",F1649=""),"",ROUND(IF(MOD(F1649,1)&gt;=TIME(22,0,0),(MOD(F1649,1)-TIME(22,0,0))*24,IF(MOD(F1649,1)&lt;TIME(6,0,0),(MOD(F1649,1)+1-TIME(22,0,0))*24,0)),2))</f>
        <v/>
      </c>
      <c r="K1649" s="33">
        <f>IF(H1649="","",ROUND(IF(L1649="휴일근로",MIN(H1649,8)*1.5+MAX(0,H1649-8)*2,I1649*1.5)+N(J1649)*0.5,2))</f>
        <v/>
      </c>
      <c r="L1649" s="18" t="n"/>
      <c r="M1649" s="18" t="n"/>
      <c r="N1649" s="22" t="n"/>
    </row>
    <row r="1650">
      <c r="A1650" s="19" t="n"/>
      <c r="B1650" s="25">
        <f>IF(A1650="","",CHOOSE(WEEKDAY(A1650,2),"월","화","수","목","금","토","일"))</f>
        <v/>
      </c>
      <c r="C1650" s="18" t="n"/>
      <c r="D1650" s="25">
        <f>IFERROR(IF(C1650="","",INDEX(직원명부!$B$5:$B$24,MATCH(C1650,직원명부!$A$5:$A$24,0))),"사번 확인")</f>
        <v/>
      </c>
      <c r="E1650" s="34" t="n"/>
      <c r="F1650" s="34" t="n"/>
      <c r="G1650" s="28" t="n"/>
      <c r="H1650" s="33">
        <f>IF(OR(E1650="",F1650=""),"",ROUND(MOD(F1650-E1650,1)*24-N(G1650),2))</f>
        <v/>
      </c>
      <c r="I1650" s="33">
        <f>IF(H1650="","",ROUND(MAX(0,H1650-8),2))</f>
        <v/>
      </c>
      <c r="J1650" s="33">
        <f>IF(OR(E1650="",F1650=""),"",ROUND(IF(MOD(F1650,1)&gt;=TIME(22,0,0),(MOD(F1650,1)-TIME(22,0,0))*24,IF(MOD(F1650,1)&lt;TIME(6,0,0),(MOD(F1650,1)+1-TIME(22,0,0))*24,0)),2))</f>
        <v/>
      </c>
      <c r="K1650" s="33">
        <f>IF(H1650="","",ROUND(IF(L1650="휴일근로",MIN(H1650,8)*1.5+MAX(0,H1650-8)*2,I1650*1.5)+N(J1650)*0.5,2))</f>
        <v/>
      </c>
      <c r="L1650" s="18" t="n"/>
      <c r="M1650" s="18" t="n"/>
      <c r="N1650" s="22" t="n"/>
    </row>
    <row r="1651">
      <c r="A1651" s="19" t="n"/>
      <c r="B1651" s="25">
        <f>IF(A1651="","",CHOOSE(WEEKDAY(A1651,2),"월","화","수","목","금","토","일"))</f>
        <v/>
      </c>
      <c r="C1651" s="18" t="n"/>
      <c r="D1651" s="25">
        <f>IFERROR(IF(C1651="","",INDEX(직원명부!$B$5:$B$24,MATCH(C1651,직원명부!$A$5:$A$24,0))),"사번 확인")</f>
        <v/>
      </c>
      <c r="E1651" s="34" t="n"/>
      <c r="F1651" s="34" t="n"/>
      <c r="G1651" s="28" t="n"/>
      <c r="H1651" s="33">
        <f>IF(OR(E1651="",F1651=""),"",ROUND(MOD(F1651-E1651,1)*24-N(G1651),2))</f>
        <v/>
      </c>
      <c r="I1651" s="33">
        <f>IF(H1651="","",ROUND(MAX(0,H1651-8),2))</f>
        <v/>
      </c>
      <c r="J1651" s="33">
        <f>IF(OR(E1651="",F1651=""),"",ROUND(IF(MOD(F1651,1)&gt;=TIME(22,0,0),(MOD(F1651,1)-TIME(22,0,0))*24,IF(MOD(F1651,1)&lt;TIME(6,0,0),(MOD(F1651,1)+1-TIME(22,0,0))*24,0)),2))</f>
        <v/>
      </c>
      <c r="K1651" s="33">
        <f>IF(H1651="","",ROUND(IF(L1651="휴일근로",MIN(H1651,8)*1.5+MAX(0,H1651-8)*2,I1651*1.5)+N(J1651)*0.5,2))</f>
        <v/>
      </c>
      <c r="L1651" s="18" t="n"/>
      <c r="M1651" s="18" t="n"/>
      <c r="N1651" s="22" t="n"/>
    </row>
    <row r="1652">
      <c r="A1652" s="19" t="n"/>
      <c r="B1652" s="25">
        <f>IF(A1652="","",CHOOSE(WEEKDAY(A1652,2),"월","화","수","목","금","토","일"))</f>
        <v/>
      </c>
      <c r="C1652" s="18" t="n"/>
      <c r="D1652" s="25">
        <f>IFERROR(IF(C1652="","",INDEX(직원명부!$B$5:$B$24,MATCH(C1652,직원명부!$A$5:$A$24,0))),"사번 확인")</f>
        <v/>
      </c>
      <c r="E1652" s="34" t="n"/>
      <c r="F1652" s="34" t="n"/>
      <c r="G1652" s="28" t="n"/>
      <c r="H1652" s="33">
        <f>IF(OR(E1652="",F1652=""),"",ROUND(MOD(F1652-E1652,1)*24-N(G1652),2))</f>
        <v/>
      </c>
      <c r="I1652" s="33">
        <f>IF(H1652="","",ROUND(MAX(0,H1652-8),2))</f>
        <v/>
      </c>
      <c r="J1652" s="33">
        <f>IF(OR(E1652="",F1652=""),"",ROUND(IF(MOD(F1652,1)&gt;=TIME(22,0,0),(MOD(F1652,1)-TIME(22,0,0))*24,IF(MOD(F1652,1)&lt;TIME(6,0,0),(MOD(F1652,1)+1-TIME(22,0,0))*24,0)),2))</f>
        <v/>
      </c>
      <c r="K1652" s="33">
        <f>IF(H1652="","",ROUND(IF(L1652="휴일근로",MIN(H1652,8)*1.5+MAX(0,H1652-8)*2,I1652*1.5)+N(J1652)*0.5,2))</f>
        <v/>
      </c>
      <c r="L1652" s="18" t="n"/>
      <c r="M1652" s="18" t="n"/>
      <c r="N1652" s="22" t="n"/>
    </row>
    <row r="1653">
      <c r="A1653" s="19" t="n"/>
      <c r="B1653" s="25">
        <f>IF(A1653="","",CHOOSE(WEEKDAY(A1653,2),"월","화","수","목","금","토","일"))</f>
        <v/>
      </c>
      <c r="C1653" s="18" t="n"/>
      <c r="D1653" s="25">
        <f>IFERROR(IF(C1653="","",INDEX(직원명부!$B$5:$B$24,MATCH(C1653,직원명부!$A$5:$A$24,0))),"사번 확인")</f>
        <v/>
      </c>
      <c r="E1653" s="34" t="n"/>
      <c r="F1653" s="34" t="n"/>
      <c r="G1653" s="28" t="n"/>
      <c r="H1653" s="33">
        <f>IF(OR(E1653="",F1653=""),"",ROUND(MOD(F1653-E1653,1)*24-N(G1653),2))</f>
        <v/>
      </c>
      <c r="I1653" s="33">
        <f>IF(H1653="","",ROUND(MAX(0,H1653-8),2))</f>
        <v/>
      </c>
      <c r="J1653" s="33">
        <f>IF(OR(E1653="",F1653=""),"",ROUND(IF(MOD(F1653,1)&gt;=TIME(22,0,0),(MOD(F1653,1)-TIME(22,0,0))*24,IF(MOD(F1653,1)&lt;TIME(6,0,0),(MOD(F1653,1)+1-TIME(22,0,0))*24,0)),2))</f>
        <v/>
      </c>
      <c r="K1653" s="33">
        <f>IF(H1653="","",ROUND(IF(L1653="휴일근로",MIN(H1653,8)*1.5+MAX(0,H1653-8)*2,I1653*1.5)+N(J1653)*0.5,2))</f>
        <v/>
      </c>
      <c r="L1653" s="18" t="n"/>
      <c r="M1653" s="18" t="n"/>
      <c r="N1653" s="22" t="n"/>
    </row>
    <row r="1654">
      <c r="A1654" s="19" t="n"/>
      <c r="B1654" s="25">
        <f>IF(A1654="","",CHOOSE(WEEKDAY(A1654,2),"월","화","수","목","금","토","일"))</f>
        <v/>
      </c>
      <c r="C1654" s="18" t="n"/>
      <c r="D1654" s="25">
        <f>IFERROR(IF(C1654="","",INDEX(직원명부!$B$5:$B$24,MATCH(C1654,직원명부!$A$5:$A$24,0))),"사번 확인")</f>
        <v/>
      </c>
      <c r="E1654" s="34" t="n"/>
      <c r="F1654" s="34" t="n"/>
      <c r="G1654" s="28" t="n"/>
      <c r="H1654" s="33">
        <f>IF(OR(E1654="",F1654=""),"",ROUND(MOD(F1654-E1654,1)*24-N(G1654),2))</f>
        <v/>
      </c>
      <c r="I1654" s="33">
        <f>IF(H1654="","",ROUND(MAX(0,H1654-8),2))</f>
        <v/>
      </c>
      <c r="J1654" s="33">
        <f>IF(OR(E1654="",F1654=""),"",ROUND(IF(MOD(F1654,1)&gt;=TIME(22,0,0),(MOD(F1654,1)-TIME(22,0,0))*24,IF(MOD(F1654,1)&lt;TIME(6,0,0),(MOD(F1654,1)+1-TIME(22,0,0))*24,0)),2))</f>
        <v/>
      </c>
      <c r="K1654" s="33">
        <f>IF(H1654="","",ROUND(IF(L1654="휴일근로",MIN(H1654,8)*1.5+MAX(0,H1654-8)*2,I1654*1.5)+N(J1654)*0.5,2))</f>
        <v/>
      </c>
      <c r="L1654" s="18" t="n"/>
      <c r="M1654" s="18" t="n"/>
      <c r="N1654" s="22" t="n"/>
    </row>
    <row r="1655">
      <c r="A1655" s="19" t="n"/>
      <c r="B1655" s="25">
        <f>IF(A1655="","",CHOOSE(WEEKDAY(A1655,2),"월","화","수","목","금","토","일"))</f>
        <v/>
      </c>
      <c r="C1655" s="18" t="n"/>
      <c r="D1655" s="25">
        <f>IFERROR(IF(C1655="","",INDEX(직원명부!$B$5:$B$24,MATCH(C1655,직원명부!$A$5:$A$24,0))),"사번 확인")</f>
        <v/>
      </c>
      <c r="E1655" s="34" t="n"/>
      <c r="F1655" s="34" t="n"/>
      <c r="G1655" s="28" t="n"/>
      <c r="H1655" s="33">
        <f>IF(OR(E1655="",F1655=""),"",ROUND(MOD(F1655-E1655,1)*24-N(G1655),2))</f>
        <v/>
      </c>
      <c r="I1655" s="33">
        <f>IF(H1655="","",ROUND(MAX(0,H1655-8),2))</f>
        <v/>
      </c>
      <c r="J1655" s="33">
        <f>IF(OR(E1655="",F1655=""),"",ROUND(IF(MOD(F1655,1)&gt;=TIME(22,0,0),(MOD(F1655,1)-TIME(22,0,0))*24,IF(MOD(F1655,1)&lt;TIME(6,0,0),(MOD(F1655,1)+1-TIME(22,0,0))*24,0)),2))</f>
        <v/>
      </c>
      <c r="K1655" s="33">
        <f>IF(H1655="","",ROUND(IF(L1655="휴일근로",MIN(H1655,8)*1.5+MAX(0,H1655-8)*2,I1655*1.5)+N(J1655)*0.5,2))</f>
        <v/>
      </c>
      <c r="L1655" s="18" t="n"/>
      <c r="M1655" s="18" t="n"/>
      <c r="N1655" s="22" t="n"/>
    </row>
    <row r="1656">
      <c r="A1656" s="19" t="n"/>
      <c r="B1656" s="25">
        <f>IF(A1656="","",CHOOSE(WEEKDAY(A1656,2),"월","화","수","목","금","토","일"))</f>
        <v/>
      </c>
      <c r="C1656" s="18" t="n"/>
      <c r="D1656" s="25">
        <f>IFERROR(IF(C1656="","",INDEX(직원명부!$B$5:$B$24,MATCH(C1656,직원명부!$A$5:$A$24,0))),"사번 확인")</f>
        <v/>
      </c>
      <c r="E1656" s="34" t="n"/>
      <c r="F1656" s="34" t="n"/>
      <c r="G1656" s="28" t="n"/>
      <c r="H1656" s="33">
        <f>IF(OR(E1656="",F1656=""),"",ROUND(MOD(F1656-E1656,1)*24-N(G1656),2))</f>
        <v/>
      </c>
      <c r="I1656" s="33">
        <f>IF(H1656="","",ROUND(MAX(0,H1656-8),2))</f>
        <v/>
      </c>
      <c r="J1656" s="33">
        <f>IF(OR(E1656="",F1656=""),"",ROUND(IF(MOD(F1656,1)&gt;=TIME(22,0,0),(MOD(F1656,1)-TIME(22,0,0))*24,IF(MOD(F1656,1)&lt;TIME(6,0,0),(MOD(F1656,1)+1-TIME(22,0,0))*24,0)),2))</f>
        <v/>
      </c>
      <c r="K1656" s="33">
        <f>IF(H1656="","",ROUND(IF(L1656="휴일근로",MIN(H1656,8)*1.5+MAX(0,H1656-8)*2,I1656*1.5)+N(J1656)*0.5,2))</f>
        <v/>
      </c>
      <c r="L1656" s="18" t="n"/>
      <c r="M1656" s="18" t="n"/>
      <c r="N1656" s="22" t="n"/>
    </row>
    <row r="1657">
      <c r="A1657" s="19" t="n"/>
      <c r="B1657" s="25">
        <f>IF(A1657="","",CHOOSE(WEEKDAY(A1657,2),"월","화","수","목","금","토","일"))</f>
        <v/>
      </c>
      <c r="C1657" s="18" t="n"/>
      <c r="D1657" s="25">
        <f>IFERROR(IF(C1657="","",INDEX(직원명부!$B$5:$B$24,MATCH(C1657,직원명부!$A$5:$A$24,0))),"사번 확인")</f>
        <v/>
      </c>
      <c r="E1657" s="34" t="n"/>
      <c r="F1657" s="34" t="n"/>
      <c r="G1657" s="28" t="n"/>
      <c r="H1657" s="33">
        <f>IF(OR(E1657="",F1657=""),"",ROUND(MOD(F1657-E1657,1)*24-N(G1657),2))</f>
        <v/>
      </c>
      <c r="I1657" s="33">
        <f>IF(H1657="","",ROUND(MAX(0,H1657-8),2))</f>
        <v/>
      </c>
      <c r="J1657" s="33">
        <f>IF(OR(E1657="",F1657=""),"",ROUND(IF(MOD(F1657,1)&gt;=TIME(22,0,0),(MOD(F1657,1)-TIME(22,0,0))*24,IF(MOD(F1657,1)&lt;TIME(6,0,0),(MOD(F1657,1)+1-TIME(22,0,0))*24,0)),2))</f>
        <v/>
      </c>
      <c r="K1657" s="33">
        <f>IF(H1657="","",ROUND(IF(L1657="휴일근로",MIN(H1657,8)*1.5+MAX(0,H1657-8)*2,I1657*1.5)+N(J1657)*0.5,2))</f>
        <v/>
      </c>
      <c r="L1657" s="18" t="n"/>
      <c r="M1657" s="18" t="n"/>
      <c r="N1657" s="22" t="n"/>
    </row>
    <row r="1658">
      <c r="A1658" s="19" t="n"/>
      <c r="B1658" s="25">
        <f>IF(A1658="","",CHOOSE(WEEKDAY(A1658,2),"월","화","수","목","금","토","일"))</f>
        <v/>
      </c>
      <c r="C1658" s="18" t="n"/>
      <c r="D1658" s="25">
        <f>IFERROR(IF(C1658="","",INDEX(직원명부!$B$5:$B$24,MATCH(C1658,직원명부!$A$5:$A$24,0))),"사번 확인")</f>
        <v/>
      </c>
      <c r="E1658" s="34" t="n"/>
      <c r="F1658" s="34" t="n"/>
      <c r="G1658" s="28" t="n"/>
      <c r="H1658" s="33">
        <f>IF(OR(E1658="",F1658=""),"",ROUND(MOD(F1658-E1658,1)*24-N(G1658),2))</f>
        <v/>
      </c>
      <c r="I1658" s="33">
        <f>IF(H1658="","",ROUND(MAX(0,H1658-8),2))</f>
        <v/>
      </c>
      <c r="J1658" s="33">
        <f>IF(OR(E1658="",F1658=""),"",ROUND(IF(MOD(F1658,1)&gt;=TIME(22,0,0),(MOD(F1658,1)-TIME(22,0,0))*24,IF(MOD(F1658,1)&lt;TIME(6,0,0),(MOD(F1658,1)+1-TIME(22,0,0))*24,0)),2))</f>
        <v/>
      </c>
      <c r="K1658" s="33">
        <f>IF(H1658="","",ROUND(IF(L1658="휴일근로",MIN(H1658,8)*1.5+MAX(0,H1658-8)*2,I1658*1.5)+N(J1658)*0.5,2))</f>
        <v/>
      </c>
      <c r="L1658" s="18" t="n"/>
      <c r="M1658" s="18" t="n"/>
      <c r="N1658" s="22" t="n"/>
    </row>
    <row r="1659">
      <c r="A1659" s="19" t="n"/>
      <c r="B1659" s="25">
        <f>IF(A1659="","",CHOOSE(WEEKDAY(A1659,2),"월","화","수","목","금","토","일"))</f>
        <v/>
      </c>
      <c r="C1659" s="18" t="n"/>
      <c r="D1659" s="25">
        <f>IFERROR(IF(C1659="","",INDEX(직원명부!$B$5:$B$24,MATCH(C1659,직원명부!$A$5:$A$24,0))),"사번 확인")</f>
        <v/>
      </c>
      <c r="E1659" s="34" t="n"/>
      <c r="F1659" s="34" t="n"/>
      <c r="G1659" s="28" t="n"/>
      <c r="H1659" s="33">
        <f>IF(OR(E1659="",F1659=""),"",ROUND(MOD(F1659-E1659,1)*24-N(G1659),2))</f>
        <v/>
      </c>
      <c r="I1659" s="33">
        <f>IF(H1659="","",ROUND(MAX(0,H1659-8),2))</f>
        <v/>
      </c>
      <c r="J1659" s="33">
        <f>IF(OR(E1659="",F1659=""),"",ROUND(IF(MOD(F1659,1)&gt;=TIME(22,0,0),(MOD(F1659,1)-TIME(22,0,0))*24,IF(MOD(F1659,1)&lt;TIME(6,0,0),(MOD(F1659,1)+1-TIME(22,0,0))*24,0)),2))</f>
        <v/>
      </c>
      <c r="K1659" s="33">
        <f>IF(H1659="","",ROUND(IF(L1659="휴일근로",MIN(H1659,8)*1.5+MAX(0,H1659-8)*2,I1659*1.5)+N(J1659)*0.5,2))</f>
        <v/>
      </c>
      <c r="L1659" s="18" t="n"/>
      <c r="M1659" s="18" t="n"/>
      <c r="N1659" s="22" t="n"/>
    </row>
    <row r="1660">
      <c r="A1660" s="19" t="n"/>
      <c r="B1660" s="25">
        <f>IF(A1660="","",CHOOSE(WEEKDAY(A1660,2),"월","화","수","목","금","토","일"))</f>
        <v/>
      </c>
      <c r="C1660" s="18" t="n"/>
      <c r="D1660" s="25">
        <f>IFERROR(IF(C1660="","",INDEX(직원명부!$B$5:$B$24,MATCH(C1660,직원명부!$A$5:$A$24,0))),"사번 확인")</f>
        <v/>
      </c>
      <c r="E1660" s="34" t="n"/>
      <c r="F1660" s="34" t="n"/>
      <c r="G1660" s="28" t="n"/>
      <c r="H1660" s="33">
        <f>IF(OR(E1660="",F1660=""),"",ROUND(MOD(F1660-E1660,1)*24-N(G1660),2))</f>
        <v/>
      </c>
      <c r="I1660" s="33">
        <f>IF(H1660="","",ROUND(MAX(0,H1660-8),2))</f>
        <v/>
      </c>
      <c r="J1660" s="33">
        <f>IF(OR(E1660="",F1660=""),"",ROUND(IF(MOD(F1660,1)&gt;=TIME(22,0,0),(MOD(F1660,1)-TIME(22,0,0))*24,IF(MOD(F1660,1)&lt;TIME(6,0,0),(MOD(F1660,1)+1-TIME(22,0,0))*24,0)),2))</f>
        <v/>
      </c>
      <c r="K1660" s="33">
        <f>IF(H1660="","",ROUND(IF(L1660="휴일근로",MIN(H1660,8)*1.5+MAX(0,H1660-8)*2,I1660*1.5)+N(J1660)*0.5,2))</f>
        <v/>
      </c>
      <c r="L1660" s="18" t="n"/>
      <c r="M1660" s="18" t="n"/>
      <c r="N1660" s="22" t="n"/>
    </row>
    <row r="1661">
      <c r="A1661" s="19" t="n"/>
      <c r="B1661" s="25">
        <f>IF(A1661="","",CHOOSE(WEEKDAY(A1661,2),"월","화","수","목","금","토","일"))</f>
        <v/>
      </c>
      <c r="C1661" s="18" t="n"/>
      <c r="D1661" s="25">
        <f>IFERROR(IF(C1661="","",INDEX(직원명부!$B$5:$B$24,MATCH(C1661,직원명부!$A$5:$A$24,0))),"사번 확인")</f>
        <v/>
      </c>
      <c r="E1661" s="34" t="n"/>
      <c r="F1661" s="34" t="n"/>
      <c r="G1661" s="28" t="n"/>
      <c r="H1661" s="33">
        <f>IF(OR(E1661="",F1661=""),"",ROUND(MOD(F1661-E1661,1)*24-N(G1661),2))</f>
        <v/>
      </c>
      <c r="I1661" s="33">
        <f>IF(H1661="","",ROUND(MAX(0,H1661-8),2))</f>
        <v/>
      </c>
      <c r="J1661" s="33">
        <f>IF(OR(E1661="",F1661=""),"",ROUND(IF(MOD(F1661,1)&gt;=TIME(22,0,0),(MOD(F1661,1)-TIME(22,0,0))*24,IF(MOD(F1661,1)&lt;TIME(6,0,0),(MOD(F1661,1)+1-TIME(22,0,0))*24,0)),2))</f>
        <v/>
      </c>
      <c r="K1661" s="33">
        <f>IF(H1661="","",ROUND(IF(L1661="휴일근로",MIN(H1661,8)*1.5+MAX(0,H1661-8)*2,I1661*1.5)+N(J1661)*0.5,2))</f>
        <v/>
      </c>
      <c r="L1661" s="18" t="n"/>
      <c r="M1661" s="18" t="n"/>
      <c r="N1661" s="22" t="n"/>
    </row>
    <row r="1662">
      <c r="A1662" s="19" t="n"/>
      <c r="B1662" s="25">
        <f>IF(A1662="","",CHOOSE(WEEKDAY(A1662,2),"월","화","수","목","금","토","일"))</f>
        <v/>
      </c>
      <c r="C1662" s="18" t="n"/>
      <c r="D1662" s="25">
        <f>IFERROR(IF(C1662="","",INDEX(직원명부!$B$5:$B$24,MATCH(C1662,직원명부!$A$5:$A$24,0))),"사번 확인")</f>
        <v/>
      </c>
      <c r="E1662" s="34" t="n"/>
      <c r="F1662" s="34" t="n"/>
      <c r="G1662" s="28" t="n"/>
      <c r="H1662" s="33">
        <f>IF(OR(E1662="",F1662=""),"",ROUND(MOD(F1662-E1662,1)*24-N(G1662),2))</f>
        <v/>
      </c>
      <c r="I1662" s="33">
        <f>IF(H1662="","",ROUND(MAX(0,H1662-8),2))</f>
        <v/>
      </c>
      <c r="J1662" s="33">
        <f>IF(OR(E1662="",F1662=""),"",ROUND(IF(MOD(F1662,1)&gt;=TIME(22,0,0),(MOD(F1662,1)-TIME(22,0,0))*24,IF(MOD(F1662,1)&lt;TIME(6,0,0),(MOD(F1662,1)+1-TIME(22,0,0))*24,0)),2))</f>
        <v/>
      </c>
      <c r="K1662" s="33">
        <f>IF(H1662="","",ROUND(IF(L1662="휴일근로",MIN(H1662,8)*1.5+MAX(0,H1662-8)*2,I1662*1.5)+N(J1662)*0.5,2))</f>
        <v/>
      </c>
      <c r="L1662" s="18" t="n"/>
      <c r="M1662" s="18" t="n"/>
      <c r="N1662" s="22" t="n"/>
    </row>
    <row r="1663">
      <c r="A1663" s="19" t="n"/>
      <c r="B1663" s="25">
        <f>IF(A1663="","",CHOOSE(WEEKDAY(A1663,2),"월","화","수","목","금","토","일"))</f>
        <v/>
      </c>
      <c r="C1663" s="18" t="n"/>
      <c r="D1663" s="25">
        <f>IFERROR(IF(C1663="","",INDEX(직원명부!$B$5:$B$24,MATCH(C1663,직원명부!$A$5:$A$24,0))),"사번 확인")</f>
        <v/>
      </c>
      <c r="E1663" s="34" t="n"/>
      <c r="F1663" s="34" t="n"/>
      <c r="G1663" s="28" t="n"/>
      <c r="H1663" s="33">
        <f>IF(OR(E1663="",F1663=""),"",ROUND(MOD(F1663-E1663,1)*24-N(G1663),2))</f>
        <v/>
      </c>
      <c r="I1663" s="33">
        <f>IF(H1663="","",ROUND(MAX(0,H1663-8),2))</f>
        <v/>
      </c>
      <c r="J1663" s="33">
        <f>IF(OR(E1663="",F1663=""),"",ROUND(IF(MOD(F1663,1)&gt;=TIME(22,0,0),(MOD(F1663,1)-TIME(22,0,0))*24,IF(MOD(F1663,1)&lt;TIME(6,0,0),(MOD(F1663,1)+1-TIME(22,0,0))*24,0)),2))</f>
        <v/>
      </c>
      <c r="K1663" s="33">
        <f>IF(H1663="","",ROUND(IF(L1663="휴일근로",MIN(H1663,8)*1.5+MAX(0,H1663-8)*2,I1663*1.5)+N(J1663)*0.5,2))</f>
        <v/>
      </c>
      <c r="L1663" s="18" t="n"/>
      <c r="M1663" s="18" t="n"/>
      <c r="N1663" s="22" t="n"/>
    </row>
    <row r="1664">
      <c r="A1664" s="19" t="n"/>
      <c r="B1664" s="25">
        <f>IF(A1664="","",CHOOSE(WEEKDAY(A1664,2),"월","화","수","목","금","토","일"))</f>
        <v/>
      </c>
      <c r="C1664" s="18" t="n"/>
      <c r="D1664" s="25">
        <f>IFERROR(IF(C1664="","",INDEX(직원명부!$B$5:$B$24,MATCH(C1664,직원명부!$A$5:$A$24,0))),"사번 확인")</f>
        <v/>
      </c>
      <c r="E1664" s="34" t="n"/>
      <c r="F1664" s="34" t="n"/>
      <c r="G1664" s="28" t="n"/>
      <c r="H1664" s="33">
        <f>IF(OR(E1664="",F1664=""),"",ROUND(MOD(F1664-E1664,1)*24-N(G1664),2))</f>
        <v/>
      </c>
      <c r="I1664" s="33">
        <f>IF(H1664="","",ROUND(MAX(0,H1664-8),2))</f>
        <v/>
      </c>
      <c r="J1664" s="33">
        <f>IF(OR(E1664="",F1664=""),"",ROUND(IF(MOD(F1664,1)&gt;=TIME(22,0,0),(MOD(F1664,1)-TIME(22,0,0))*24,IF(MOD(F1664,1)&lt;TIME(6,0,0),(MOD(F1664,1)+1-TIME(22,0,0))*24,0)),2))</f>
        <v/>
      </c>
      <c r="K1664" s="33">
        <f>IF(H1664="","",ROUND(IF(L1664="휴일근로",MIN(H1664,8)*1.5+MAX(0,H1664-8)*2,I1664*1.5)+N(J1664)*0.5,2))</f>
        <v/>
      </c>
      <c r="L1664" s="18" t="n"/>
      <c r="M1664" s="18" t="n"/>
      <c r="N1664" s="22" t="n"/>
    </row>
    <row r="1665">
      <c r="A1665" s="19" t="n"/>
      <c r="B1665" s="25">
        <f>IF(A1665="","",CHOOSE(WEEKDAY(A1665,2),"월","화","수","목","금","토","일"))</f>
        <v/>
      </c>
      <c r="C1665" s="18" t="n"/>
      <c r="D1665" s="25">
        <f>IFERROR(IF(C1665="","",INDEX(직원명부!$B$5:$B$24,MATCH(C1665,직원명부!$A$5:$A$24,0))),"사번 확인")</f>
        <v/>
      </c>
      <c r="E1665" s="34" t="n"/>
      <c r="F1665" s="34" t="n"/>
      <c r="G1665" s="28" t="n"/>
      <c r="H1665" s="33">
        <f>IF(OR(E1665="",F1665=""),"",ROUND(MOD(F1665-E1665,1)*24-N(G1665),2))</f>
        <v/>
      </c>
      <c r="I1665" s="33">
        <f>IF(H1665="","",ROUND(MAX(0,H1665-8),2))</f>
        <v/>
      </c>
      <c r="J1665" s="33">
        <f>IF(OR(E1665="",F1665=""),"",ROUND(IF(MOD(F1665,1)&gt;=TIME(22,0,0),(MOD(F1665,1)-TIME(22,0,0))*24,IF(MOD(F1665,1)&lt;TIME(6,0,0),(MOD(F1665,1)+1-TIME(22,0,0))*24,0)),2))</f>
        <v/>
      </c>
      <c r="K1665" s="33">
        <f>IF(H1665="","",ROUND(IF(L1665="휴일근로",MIN(H1665,8)*1.5+MAX(0,H1665-8)*2,I1665*1.5)+N(J1665)*0.5,2))</f>
        <v/>
      </c>
      <c r="L1665" s="18" t="n"/>
      <c r="M1665" s="18" t="n"/>
      <c r="N1665" s="22" t="n"/>
    </row>
    <row r="1666">
      <c r="A1666" s="19" t="n"/>
      <c r="B1666" s="25">
        <f>IF(A1666="","",CHOOSE(WEEKDAY(A1666,2),"월","화","수","목","금","토","일"))</f>
        <v/>
      </c>
      <c r="C1666" s="18" t="n"/>
      <c r="D1666" s="25">
        <f>IFERROR(IF(C1666="","",INDEX(직원명부!$B$5:$B$24,MATCH(C1666,직원명부!$A$5:$A$24,0))),"사번 확인")</f>
        <v/>
      </c>
      <c r="E1666" s="34" t="n"/>
      <c r="F1666" s="34" t="n"/>
      <c r="G1666" s="28" t="n"/>
      <c r="H1666" s="33">
        <f>IF(OR(E1666="",F1666=""),"",ROUND(MOD(F1666-E1666,1)*24-N(G1666),2))</f>
        <v/>
      </c>
      <c r="I1666" s="33">
        <f>IF(H1666="","",ROUND(MAX(0,H1666-8),2))</f>
        <v/>
      </c>
      <c r="J1666" s="33">
        <f>IF(OR(E1666="",F1666=""),"",ROUND(IF(MOD(F1666,1)&gt;=TIME(22,0,0),(MOD(F1666,1)-TIME(22,0,0))*24,IF(MOD(F1666,1)&lt;TIME(6,0,0),(MOD(F1666,1)+1-TIME(22,0,0))*24,0)),2))</f>
        <v/>
      </c>
      <c r="K1666" s="33">
        <f>IF(H1666="","",ROUND(IF(L1666="휴일근로",MIN(H1666,8)*1.5+MAX(0,H1666-8)*2,I1666*1.5)+N(J1666)*0.5,2))</f>
        <v/>
      </c>
      <c r="L1666" s="18" t="n"/>
      <c r="M1666" s="18" t="n"/>
      <c r="N1666" s="22" t="n"/>
    </row>
    <row r="1667">
      <c r="A1667" s="19" t="n"/>
      <c r="B1667" s="25">
        <f>IF(A1667="","",CHOOSE(WEEKDAY(A1667,2),"월","화","수","목","금","토","일"))</f>
        <v/>
      </c>
      <c r="C1667" s="18" t="n"/>
      <c r="D1667" s="25">
        <f>IFERROR(IF(C1667="","",INDEX(직원명부!$B$5:$B$24,MATCH(C1667,직원명부!$A$5:$A$24,0))),"사번 확인")</f>
        <v/>
      </c>
      <c r="E1667" s="34" t="n"/>
      <c r="F1667" s="34" t="n"/>
      <c r="G1667" s="28" t="n"/>
      <c r="H1667" s="33">
        <f>IF(OR(E1667="",F1667=""),"",ROUND(MOD(F1667-E1667,1)*24-N(G1667),2))</f>
        <v/>
      </c>
      <c r="I1667" s="33">
        <f>IF(H1667="","",ROUND(MAX(0,H1667-8),2))</f>
        <v/>
      </c>
      <c r="J1667" s="33">
        <f>IF(OR(E1667="",F1667=""),"",ROUND(IF(MOD(F1667,1)&gt;=TIME(22,0,0),(MOD(F1667,1)-TIME(22,0,0))*24,IF(MOD(F1667,1)&lt;TIME(6,0,0),(MOD(F1667,1)+1-TIME(22,0,0))*24,0)),2))</f>
        <v/>
      </c>
      <c r="K1667" s="33">
        <f>IF(H1667="","",ROUND(IF(L1667="휴일근로",MIN(H1667,8)*1.5+MAX(0,H1667-8)*2,I1667*1.5)+N(J1667)*0.5,2))</f>
        <v/>
      </c>
      <c r="L1667" s="18" t="n"/>
      <c r="M1667" s="18" t="n"/>
      <c r="N1667" s="22" t="n"/>
    </row>
    <row r="1668">
      <c r="A1668" s="19" t="n"/>
      <c r="B1668" s="25">
        <f>IF(A1668="","",CHOOSE(WEEKDAY(A1668,2),"월","화","수","목","금","토","일"))</f>
        <v/>
      </c>
      <c r="C1668" s="18" t="n"/>
      <c r="D1668" s="25">
        <f>IFERROR(IF(C1668="","",INDEX(직원명부!$B$5:$B$24,MATCH(C1668,직원명부!$A$5:$A$24,0))),"사번 확인")</f>
        <v/>
      </c>
      <c r="E1668" s="34" t="n"/>
      <c r="F1668" s="34" t="n"/>
      <c r="G1668" s="28" t="n"/>
      <c r="H1668" s="33">
        <f>IF(OR(E1668="",F1668=""),"",ROUND(MOD(F1668-E1668,1)*24-N(G1668),2))</f>
        <v/>
      </c>
      <c r="I1668" s="33">
        <f>IF(H1668="","",ROUND(MAX(0,H1668-8),2))</f>
        <v/>
      </c>
      <c r="J1668" s="33">
        <f>IF(OR(E1668="",F1668=""),"",ROUND(IF(MOD(F1668,1)&gt;=TIME(22,0,0),(MOD(F1668,1)-TIME(22,0,0))*24,IF(MOD(F1668,1)&lt;TIME(6,0,0),(MOD(F1668,1)+1-TIME(22,0,0))*24,0)),2))</f>
        <v/>
      </c>
      <c r="K1668" s="33">
        <f>IF(H1668="","",ROUND(IF(L1668="휴일근로",MIN(H1668,8)*1.5+MAX(0,H1668-8)*2,I1668*1.5)+N(J1668)*0.5,2))</f>
        <v/>
      </c>
      <c r="L1668" s="18" t="n"/>
      <c r="M1668" s="18" t="n"/>
      <c r="N1668" s="22" t="n"/>
    </row>
    <row r="1669">
      <c r="A1669" s="19" t="n"/>
      <c r="B1669" s="25">
        <f>IF(A1669="","",CHOOSE(WEEKDAY(A1669,2),"월","화","수","목","금","토","일"))</f>
        <v/>
      </c>
      <c r="C1669" s="18" t="n"/>
      <c r="D1669" s="25">
        <f>IFERROR(IF(C1669="","",INDEX(직원명부!$B$5:$B$24,MATCH(C1669,직원명부!$A$5:$A$24,0))),"사번 확인")</f>
        <v/>
      </c>
      <c r="E1669" s="34" t="n"/>
      <c r="F1669" s="34" t="n"/>
      <c r="G1669" s="28" t="n"/>
      <c r="H1669" s="33">
        <f>IF(OR(E1669="",F1669=""),"",ROUND(MOD(F1669-E1669,1)*24-N(G1669),2))</f>
        <v/>
      </c>
      <c r="I1669" s="33">
        <f>IF(H1669="","",ROUND(MAX(0,H1669-8),2))</f>
        <v/>
      </c>
      <c r="J1669" s="33">
        <f>IF(OR(E1669="",F1669=""),"",ROUND(IF(MOD(F1669,1)&gt;=TIME(22,0,0),(MOD(F1669,1)-TIME(22,0,0))*24,IF(MOD(F1669,1)&lt;TIME(6,0,0),(MOD(F1669,1)+1-TIME(22,0,0))*24,0)),2))</f>
        <v/>
      </c>
      <c r="K1669" s="33">
        <f>IF(H1669="","",ROUND(IF(L1669="휴일근로",MIN(H1669,8)*1.5+MAX(0,H1669-8)*2,I1669*1.5)+N(J1669)*0.5,2))</f>
        <v/>
      </c>
      <c r="L1669" s="18" t="n"/>
      <c r="M1669" s="18" t="n"/>
      <c r="N1669" s="22" t="n"/>
    </row>
    <row r="1670">
      <c r="A1670" s="19" t="n"/>
      <c r="B1670" s="25">
        <f>IF(A1670="","",CHOOSE(WEEKDAY(A1670,2),"월","화","수","목","금","토","일"))</f>
        <v/>
      </c>
      <c r="C1670" s="18" t="n"/>
      <c r="D1670" s="25">
        <f>IFERROR(IF(C1670="","",INDEX(직원명부!$B$5:$B$24,MATCH(C1670,직원명부!$A$5:$A$24,0))),"사번 확인")</f>
        <v/>
      </c>
      <c r="E1670" s="34" t="n"/>
      <c r="F1670" s="34" t="n"/>
      <c r="G1670" s="28" t="n"/>
      <c r="H1670" s="33">
        <f>IF(OR(E1670="",F1670=""),"",ROUND(MOD(F1670-E1670,1)*24-N(G1670),2))</f>
        <v/>
      </c>
      <c r="I1670" s="33">
        <f>IF(H1670="","",ROUND(MAX(0,H1670-8),2))</f>
        <v/>
      </c>
      <c r="J1670" s="33">
        <f>IF(OR(E1670="",F1670=""),"",ROUND(IF(MOD(F1670,1)&gt;=TIME(22,0,0),(MOD(F1670,1)-TIME(22,0,0))*24,IF(MOD(F1670,1)&lt;TIME(6,0,0),(MOD(F1670,1)+1-TIME(22,0,0))*24,0)),2))</f>
        <v/>
      </c>
      <c r="K1670" s="33">
        <f>IF(H1670="","",ROUND(IF(L1670="휴일근로",MIN(H1670,8)*1.5+MAX(0,H1670-8)*2,I1670*1.5)+N(J1670)*0.5,2))</f>
        <v/>
      </c>
      <c r="L1670" s="18" t="n"/>
      <c r="M1670" s="18" t="n"/>
      <c r="N1670" s="22" t="n"/>
    </row>
    <row r="1671">
      <c r="A1671" s="19" t="n"/>
      <c r="B1671" s="25">
        <f>IF(A1671="","",CHOOSE(WEEKDAY(A1671,2),"월","화","수","목","금","토","일"))</f>
        <v/>
      </c>
      <c r="C1671" s="18" t="n"/>
      <c r="D1671" s="25">
        <f>IFERROR(IF(C1671="","",INDEX(직원명부!$B$5:$B$24,MATCH(C1671,직원명부!$A$5:$A$24,0))),"사번 확인")</f>
        <v/>
      </c>
      <c r="E1671" s="34" t="n"/>
      <c r="F1671" s="34" t="n"/>
      <c r="G1671" s="28" t="n"/>
      <c r="H1671" s="33">
        <f>IF(OR(E1671="",F1671=""),"",ROUND(MOD(F1671-E1671,1)*24-N(G1671),2))</f>
        <v/>
      </c>
      <c r="I1671" s="33">
        <f>IF(H1671="","",ROUND(MAX(0,H1671-8),2))</f>
        <v/>
      </c>
      <c r="J1671" s="33">
        <f>IF(OR(E1671="",F1671=""),"",ROUND(IF(MOD(F1671,1)&gt;=TIME(22,0,0),(MOD(F1671,1)-TIME(22,0,0))*24,IF(MOD(F1671,1)&lt;TIME(6,0,0),(MOD(F1671,1)+1-TIME(22,0,0))*24,0)),2))</f>
        <v/>
      </c>
      <c r="K1671" s="33">
        <f>IF(H1671="","",ROUND(IF(L1671="휴일근로",MIN(H1671,8)*1.5+MAX(0,H1671-8)*2,I1671*1.5)+N(J1671)*0.5,2))</f>
        <v/>
      </c>
      <c r="L1671" s="18" t="n"/>
      <c r="M1671" s="18" t="n"/>
      <c r="N1671" s="22" t="n"/>
    </row>
    <row r="1672">
      <c r="A1672" s="19" t="n"/>
      <c r="B1672" s="25">
        <f>IF(A1672="","",CHOOSE(WEEKDAY(A1672,2),"월","화","수","목","금","토","일"))</f>
        <v/>
      </c>
      <c r="C1672" s="18" t="n"/>
      <c r="D1672" s="25">
        <f>IFERROR(IF(C1672="","",INDEX(직원명부!$B$5:$B$24,MATCH(C1672,직원명부!$A$5:$A$24,0))),"사번 확인")</f>
        <v/>
      </c>
      <c r="E1672" s="34" t="n"/>
      <c r="F1672" s="34" t="n"/>
      <c r="G1672" s="28" t="n"/>
      <c r="H1672" s="33">
        <f>IF(OR(E1672="",F1672=""),"",ROUND(MOD(F1672-E1672,1)*24-N(G1672),2))</f>
        <v/>
      </c>
      <c r="I1672" s="33">
        <f>IF(H1672="","",ROUND(MAX(0,H1672-8),2))</f>
        <v/>
      </c>
      <c r="J1672" s="33">
        <f>IF(OR(E1672="",F1672=""),"",ROUND(IF(MOD(F1672,1)&gt;=TIME(22,0,0),(MOD(F1672,1)-TIME(22,0,0))*24,IF(MOD(F1672,1)&lt;TIME(6,0,0),(MOD(F1672,1)+1-TIME(22,0,0))*24,0)),2))</f>
        <v/>
      </c>
      <c r="K1672" s="33">
        <f>IF(H1672="","",ROUND(IF(L1672="휴일근로",MIN(H1672,8)*1.5+MAX(0,H1672-8)*2,I1672*1.5)+N(J1672)*0.5,2))</f>
        <v/>
      </c>
      <c r="L1672" s="18" t="n"/>
      <c r="M1672" s="18" t="n"/>
      <c r="N1672" s="22" t="n"/>
    </row>
    <row r="1673">
      <c r="A1673" s="19" t="n"/>
      <c r="B1673" s="25">
        <f>IF(A1673="","",CHOOSE(WEEKDAY(A1673,2),"월","화","수","목","금","토","일"))</f>
        <v/>
      </c>
      <c r="C1673" s="18" t="n"/>
      <c r="D1673" s="25">
        <f>IFERROR(IF(C1673="","",INDEX(직원명부!$B$5:$B$24,MATCH(C1673,직원명부!$A$5:$A$24,0))),"사번 확인")</f>
        <v/>
      </c>
      <c r="E1673" s="34" t="n"/>
      <c r="F1673" s="34" t="n"/>
      <c r="G1673" s="28" t="n"/>
      <c r="H1673" s="33">
        <f>IF(OR(E1673="",F1673=""),"",ROUND(MOD(F1673-E1673,1)*24-N(G1673),2))</f>
        <v/>
      </c>
      <c r="I1673" s="33">
        <f>IF(H1673="","",ROUND(MAX(0,H1673-8),2))</f>
        <v/>
      </c>
      <c r="J1673" s="33">
        <f>IF(OR(E1673="",F1673=""),"",ROUND(IF(MOD(F1673,1)&gt;=TIME(22,0,0),(MOD(F1673,1)-TIME(22,0,0))*24,IF(MOD(F1673,1)&lt;TIME(6,0,0),(MOD(F1673,1)+1-TIME(22,0,0))*24,0)),2))</f>
        <v/>
      </c>
      <c r="K1673" s="33">
        <f>IF(H1673="","",ROUND(IF(L1673="휴일근로",MIN(H1673,8)*1.5+MAX(0,H1673-8)*2,I1673*1.5)+N(J1673)*0.5,2))</f>
        <v/>
      </c>
      <c r="L1673" s="18" t="n"/>
      <c r="M1673" s="18" t="n"/>
      <c r="N1673" s="22" t="n"/>
    </row>
    <row r="1674">
      <c r="A1674" s="19" t="n"/>
      <c r="B1674" s="25">
        <f>IF(A1674="","",CHOOSE(WEEKDAY(A1674,2),"월","화","수","목","금","토","일"))</f>
        <v/>
      </c>
      <c r="C1674" s="18" t="n"/>
      <c r="D1674" s="25">
        <f>IFERROR(IF(C1674="","",INDEX(직원명부!$B$5:$B$24,MATCH(C1674,직원명부!$A$5:$A$24,0))),"사번 확인")</f>
        <v/>
      </c>
      <c r="E1674" s="34" t="n"/>
      <c r="F1674" s="34" t="n"/>
      <c r="G1674" s="28" t="n"/>
      <c r="H1674" s="33">
        <f>IF(OR(E1674="",F1674=""),"",ROUND(MOD(F1674-E1674,1)*24-N(G1674),2))</f>
        <v/>
      </c>
      <c r="I1674" s="33">
        <f>IF(H1674="","",ROUND(MAX(0,H1674-8),2))</f>
        <v/>
      </c>
      <c r="J1674" s="33">
        <f>IF(OR(E1674="",F1674=""),"",ROUND(IF(MOD(F1674,1)&gt;=TIME(22,0,0),(MOD(F1674,1)-TIME(22,0,0))*24,IF(MOD(F1674,1)&lt;TIME(6,0,0),(MOD(F1674,1)+1-TIME(22,0,0))*24,0)),2))</f>
        <v/>
      </c>
      <c r="K1674" s="33">
        <f>IF(H1674="","",ROUND(IF(L1674="휴일근로",MIN(H1674,8)*1.5+MAX(0,H1674-8)*2,I1674*1.5)+N(J1674)*0.5,2))</f>
        <v/>
      </c>
      <c r="L1674" s="18" t="n"/>
      <c r="M1674" s="18" t="n"/>
      <c r="N1674" s="22" t="n"/>
    </row>
    <row r="1675">
      <c r="A1675" s="19" t="n"/>
      <c r="B1675" s="25">
        <f>IF(A1675="","",CHOOSE(WEEKDAY(A1675,2),"월","화","수","목","금","토","일"))</f>
        <v/>
      </c>
      <c r="C1675" s="18" t="n"/>
      <c r="D1675" s="25">
        <f>IFERROR(IF(C1675="","",INDEX(직원명부!$B$5:$B$24,MATCH(C1675,직원명부!$A$5:$A$24,0))),"사번 확인")</f>
        <v/>
      </c>
      <c r="E1675" s="34" t="n"/>
      <c r="F1675" s="34" t="n"/>
      <c r="G1675" s="28" t="n"/>
      <c r="H1675" s="33">
        <f>IF(OR(E1675="",F1675=""),"",ROUND(MOD(F1675-E1675,1)*24-N(G1675),2))</f>
        <v/>
      </c>
      <c r="I1675" s="33">
        <f>IF(H1675="","",ROUND(MAX(0,H1675-8),2))</f>
        <v/>
      </c>
      <c r="J1675" s="33">
        <f>IF(OR(E1675="",F1675=""),"",ROUND(IF(MOD(F1675,1)&gt;=TIME(22,0,0),(MOD(F1675,1)-TIME(22,0,0))*24,IF(MOD(F1675,1)&lt;TIME(6,0,0),(MOD(F1675,1)+1-TIME(22,0,0))*24,0)),2))</f>
        <v/>
      </c>
      <c r="K1675" s="33">
        <f>IF(H1675="","",ROUND(IF(L1675="휴일근로",MIN(H1675,8)*1.5+MAX(0,H1675-8)*2,I1675*1.5)+N(J1675)*0.5,2))</f>
        <v/>
      </c>
      <c r="L1675" s="18" t="n"/>
      <c r="M1675" s="18" t="n"/>
      <c r="N1675" s="22" t="n"/>
    </row>
    <row r="1676">
      <c r="A1676" s="19" t="n"/>
      <c r="B1676" s="25">
        <f>IF(A1676="","",CHOOSE(WEEKDAY(A1676,2),"월","화","수","목","금","토","일"))</f>
        <v/>
      </c>
      <c r="C1676" s="18" t="n"/>
      <c r="D1676" s="25">
        <f>IFERROR(IF(C1676="","",INDEX(직원명부!$B$5:$B$24,MATCH(C1676,직원명부!$A$5:$A$24,0))),"사번 확인")</f>
        <v/>
      </c>
      <c r="E1676" s="34" t="n"/>
      <c r="F1676" s="34" t="n"/>
      <c r="G1676" s="28" t="n"/>
      <c r="H1676" s="33">
        <f>IF(OR(E1676="",F1676=""),"",ROUND(MOD(F1676-E1676,1)*24-N(G1676),2))</f>
        <v/>
      </c>
      <c r="I1676" s="33">
        <f>IF(H1676="","",ROUND(MAX(0,H1676-8),2))</f>
        <v/>
      </c>
      <c r="J1676" s="33">
        <f>IF(OR(E1676="",F1676=""),"",ROUND(IF(MOD(F1676,1)&gt;=TIME(22,0,0),(MOD(F1676,1)-TIME(22,0,0))*24,IF(MOD(F1676,1)&lt;TIME(6,0,0),(MOD(F1676,1)+1-TIME(22,0,0))*24,0)),2))</f>
        <v/>
      </c>
      <c r="K1676" s="33">
        <f>IF(H1676="","",ROUND(IF(L1676="휴일근로",MIN(H1676,8)*1.5+MAX(0,H1676-8)*2,I1676*1.5)+N(J1676)*0.5,2))</f>
        <v/>
      </c>
      <c r="L1676" s="18" t="n"/>
      <c r="M1676" s="18" t="n"/>
      <c r="N1676" s="22" t="n"/>
    </row>
    <row r="1677">
      <c r="A1677" s="19" t="n"/>
      <c r="B1677" s="25">
        <f>IF(A1677="","",CHOOSE(WEEKDAY(A1677,2),"월","화","수","목","금","토","일"))</f>
        <v/>
      </c>
      <c r="C1677" s="18" t="n"/>
      <c r="D1677" s="25">
        <f>IFERROR(IF(C1677="","",INDEX(직원명부!$B$5:$B$24,MATCH(C1677,직원명부!$A$5:$A$24,0))),"사번 확인")</f>
        <v/>
      </c>
      <c r="E1677" s="34" t="n"/>
      <c r="F1677" s="34" t="n"/>
      <c r="G1677" s="28" t="n"/>
      <c r="H1677" s="33">
        <f>IF(OR(E1677="",F1677=""),"",ROUND(MOD(F1677-E1677,1)*24-N(G1677),2))</f>
        <v/>
      </c>
      <c r="I1677" s="33">
        <f>IF(H1677="","",ROUND(MAX(0,H1677-8),2))</f>
        <v/>
      </c>
      <c r="J1677" s="33">
        <f>IF(OR(E1677="",F1677=""),"",ROUND(IF(MOD(F1677,1)&gt;=TIME(22,0,0),(MOD(F1677,1)-TIME(22,0,0))*24,IF(MOD(F1677,1)&lt;TIME(6,0,0),(MOD(F1677,1)+1-TIME(22,0,0))*24,0)),2))</f>
        <v/>
      </c>
      <c r="K1677" s="33">
        <f>IF(H1677="","",ROUND(IF(L1677="휴일근로",MIN(H1677,8)*1.5+MAX(0,H1677-8)*2,I1677*1.5)+N(J1677)*0.5,2))</f>
        <v/>
      </c>
      <c r="L1677" s="18" t="n"/>
      <c r="M1677" s="18" t="n"/>
      <c r="N1677" s="22" t="n"/>
    </row>
    <row r="1678">
      <c r="A1678" s="19" t="n"/>
      <c r="B1678" s="25">
        <f>IF(A1678="","",CHOOSE(WEEKDAY(A1678,2),"월","화","수","목","금","토","일"))</f>
        <v/>
      </c>
      <c r="C1678" s="18" t="n"/>
      <c r="D1678" s="25">
        <f>IFERROR(IF(C1678="","",INDEX(직원명부!$B$5:$B$24,MATCH(C1678,직원명부!$A$5:$A$24,0))),"사번 확인")</f>
        <v/>
      </c>
      <c r="E1678" s="34" t="n"/>
      <c r="F1678" s="34" t="n"/>
      <c r="G1678" s="28" t="n"/>
      <c r="H1678" s="33">
        <f>IF(OR(E1678="",F1678=""),"",ROUND(MOD(F1678-E1678,1)*24-N(G1678),2))</f>
        <v/>
      </c>
      <c r="I1678" s="33">
        <f>IF(H1678="","",ROUND(MAX(0,H1678-8),2))</f>
        <v/>
      </c>
      <c r="J1678" s="33">
        <f>IF(OR(E1678="",F1678=""),"",ROUND(IF(MOD(F1678,1)&gt;=TIME(22,0,0),(MOD(F1678,1)-TIME(22,0,0))*24,IF(MOD(F1678,1)&lt;TIME(6,0,0),(MOD(F1678,1)+1-TIME(22,0,0))*24,0)),2))</f>
        <v/>
      </c>
      <c r="K1678" s="33">
        <f>IF(H1678="","",ROUND(IF(L1678="휴일근로",MIN(H1678,8)*1.5+MAX(0,H1678-8)*2,I1678*1.5)+N(J1678)*0.5,2))</f>
        <v/>
      </c>
      <c r="L1678" s="18" t="n"/>
      <c r="M1678" s="18" t="n"/>
      <c r="N1678" s="22" t="n"/>
    </row>
    <row r="1679">
      <c r="A1679" s="19" t="n"/>
      <c r="B1679" s="25">
        <f>IF(A1679="","",CHOOSE(WEEKDAY(A1679,2),"월","화","수","목","금","토","일"))</f>
        <v/>
      </c>
      <c r="C1679" s="18" t="n"/>
      <c r="D1679" s="25">
        <f>IFERROR(IF(C1679="","",INDEX(직원명부!$B$5:$B$24,MATCH(C1679,직원명부!$A$5:$A$24,0))),"사번 확인")</f>
        <v/>
      </c>
      <c r="E1679" s="34" t="n"/>
      <c r="F1679" s="34" t="n"/>
      <c r="G1679" s="28" t="n"/>
      <c r="H1679" s="33">
        <f>IF(OR(E1679="",F1679=""),"",ROUND(MOD(F1679-E1679,1)*24-N(G1679),2))</f>
        <v/>
      </c>
      <c r="I1679" s="33">
        <f>IF(H1679="","",ROUND(MAX(0,H1679-8),2))</f>
        <v/>
      </c>
      <c r="J1679" s="33">
        <f>IF(OR(E1679="",F1679=""),"",ROUND(IF(MOD(F1679,1)&gt;=TIME(22,0,0),(MOD(F1679,1)-TIME(22,0,0))*24,IF(MOD(F1679,1)&lt;TIME(6,0,0),(MOD(F1679,1)+1-TIME(22,0,0))*24,0)),2))</f>
        <v/>
      </c>
      <c r="K1679" s="33">
        <f>IF(H1679="","",ROUND(IF(L1679="휴일근로",MIN(H1679,8)*1.5+MAX(0,H1679-8)*2,I1679*1.5)+N(J1679)*0.5,2))</f>
        <v/>
      </c>
      <c r="L1679" s="18" t="n"/>
      <c r="M1679" s="18" t="n"/>
      <c r="N1679" s="22" t="n"/>
    </row>
    <row r="1680">
      <c r="A1680" s="19" t="n"/>
      <c r="B1680" s="25">
        <f>IF(A1680="","",CHOOSE(WEEKDAY(A1680,2),"월","화","수","목","금","토","일"))</f>
        <v/>
      </c>
      <c r="C1680" s="18" t="n"/>
      <c r="D1680" s="25">
        <f>IFERROR(IF(C1680="","",INDEX(직원명부!$B$5:$B$24,MATCH(C1680,직원명부!$A$5:$A$24,0))),"사번 확인")</f>
        <v/>
      </c>
      <c r="E1680" s="34" t="n"/>
      <c r="F1680" s="34" t="n"/>
      <c r="G1680" s="28" t="n"/>
      <c r="H1680" s="33">
        <f>IF(OR(E1680="",F1680=""),"",ROUND(MOD(F1680-E1680,1)*24-N(G1680),2))</f>
        <v/>
      </c>
      <c r="I1680" s="33">
        <f>IF(H1680="","",ROUND(MAX(0,H1680-8),2))</f>
        <v/>
      </c>
      <c r="J1680" s="33">
        <f>IF(OR(E1680="",F1680=""),"",ROUND(IF(MOD(F1680,1)&gt;=TIME(22,0,0),(MOD(F1680,1)-TIME(22,0,0))*24,IF(MOD(F1680,1)&lt;TIME(6,0,0),(MOD(F1680,1)+1-TIME(22,0,0))*24,0)),2))</f>
        <v/>
      </c>
      <c r="K1680" s="33">
        <f>IF(H1680="","",ROUND(IF(L1680="휴일근로",MIN(H1680,8)*1.5+MAX(0,H1680-8)*2,I1680*1.5)+N(J1680)*0.5,2))</f>
        <v/>
      </c>
      <c r="L1680" s="18" t="n"/>
      <c r="M1680" s="18" t="n"/>
      <c r="N1680" s="22" t="n"/>
    </row>
    <row r="1681">
      <c r="A1681" s="19" t="n"/>
      <c r="B1681" s="25">
        <f>IF(A1681="","",CHOOSE(WEEKDAY(A1681,2),"월","화","수","목","금","토","일"))</f>
        <v/>
      </c>
      <c r="C1681" s="18" t="n"/>
      <c r="D1681" s="25">
        <f>IFERROR(IF(C1681="","",INDEX(직원명부!$B$5:$B$24,MATCH(C1681,직원명부!$A$5:$A$24,0))),"사번 확인")</f>
        <v/>
      </c>
      <c r="E1681" s="34" t="n"/>
      <c r="F1681" s="34" t="n"/>
      <c r="G1681" s="28" t="n"/>
      <c r="H1681" s="33">
        <f>IF(OR(E1681="",F1681=""),"",ROUND(MOD(F1681-E1681,1)*24-N(G1681),2))</f>
        <v/>
      </c>
      <c r="I1681" s="33">
        <f>IF(H1681="","",ROUND(MAX(0,H1681-8),2))</f>
        <v/>
      </c>
      <c r="J1681" s="33">
        <f>IF(OR(E1681="",F1681=""),"",ROUND(IF(MOD(F1681,1)&gt;=TIME(22,0,0),(MOD(F1681,1)-TIME(22,0,0))*24,IF(MOD(F1681,1)&lt;TIME(6,0,0),(MOD(F1681,1)+1-TIME(22,0,0))*24,0)),2))</f>
        <v/>
      </c>
      <c r="K1681" s="33">
        <f>IF(H1681="","",ROUND(IF(L1681="휴일근로",MIN(H1681,8)*1.5+MAX(0,H1681-8)*2,I1681*1.5)+N(J1681)*0.5,2))</f>
        <v/>
      </c>
      <c r="L1681" s="18" t="n"/>
      <c r="M1681" s="18" t="n"/>
      <c r="N1681" s="22" t="n"/>
    </row>
    <row r="1682">
      <c r="A1682" s="19" t="n"/>
      <c r="B1682" s="25">
        <f>IF(A1682="","",CHOOSE(WEEKDAY(A1682,2),"월","화","수","목","금","토","일"))</f>
        <v/>
      </c>
      <c r="C1682" s="18" t="n"/>
      <c r="D1682" s="25">
        <f>IFERROR(IF(C1682="","",INDEX(직원명부!$B$5:$B$24,MATCH(C1682,직원명부!$A$5:$A$24,0))),"사번 확인")</f>
        <v/>
      </c>
      <c r="E1682" s="34" t="n"/>
      <c r="F1682" s="34" t="n"/>
      <c r="G1682" s="28" t="n"/>
      <c r="H1682" s="33">
        <f>IF(OR(E1682="",F1682=""),"",ROUND(MOD(F1682-E1682,1)*24-N(G1682),2))</f>
        <v/>
      </c>
      <c r="I1682" s="33">
        <f>IF(H1682="","",ROUND(MAX(0,H1682-8),2))</f>
        <v/>
      </c>
      <c r="J1682" s="33">
        <f>IF(OR(E1682="",F1682=""),"",ROUND(IF(MOD(F1682,1)&gt;=TIME(22,0,0),(MOD(F1682,1)-TIME(22,0,0))*24,IF(MOD(F1682,1)&lt;TIME(6,0,0),(MOD(F1682,1)+1-TIME(22,0,0))*24,0)),2))</f>
        <v/>
      </c>
      <c r="K1682" s="33">
        <f>IF(H1682="","",ROUND(IF(L1682="휴일근로",MIN(H1682,8)*1.5+MAX(0,H1682-8)*2,I1682*1.5)+N(J1682)*0.5,2))</f>
        <v/>
      </c>
      <c r="L1682" s="18" t="n"/>
      <c r="M1682" s="18" t="n"/>
      <c r="N1682" s="22" t="n"/>
    </row>
    <row r="1683">
      <c r="A1683" s="19" t="n"/>
      <c r="B1683" s="25">
        <f>IF(A1683="","",CHOOSE(WEEKDAY(A1683,2),"월","화","수","목","금","토","일"))</f>
        <v/>
      </c>
      <c r="C1683" s="18" t="n"/>
      <c r="D1683" s="25">
        <f>IFERROR(IF(C1683="","",INDEX(직원명부!$B$5:$B$24,MATCH(C1683,직원명부!$A$5:$A$24,0))),"사번 확인")</f>
        <v/>
      </c>
      <c r="E1683" s="34" t="n"/>
      <c r="F1683" s="34" t="n"/>
      <c r="G1683" s="28" t="n"/>
      <c r="H1683" s="33">
        <f>IF(OR(E1683="",F1683=""),"",ROUND(MOD(F1683-E1683,1)*24-N(G1683),2))</f>
        <v/>
      </c>
      <c r="I1683" s="33">
        <f>IF(H1683="","",ROUND(MAX(0,H1683-8),2))</f>
        <v/>
      </c>
      <c r="J1683" s="33">
        <f>IF(OR(E1683="",F1683=""),"",ROUND(IF(MOD(F1683,1)&gt;=TIME(22,0,0),(MOD(F1683,1)-TIME(22,0,0))*24,IF(MOD(F1683,1)&lt;TIME(6,0,0),(MOD(F1683,1)+1-TIME(22,0,0))*24,0)),2))</f>
        <v/>
      </c>
      <c r="K1683" s="33">
        <f>IF(H1683="","",ROUND(IF(L1683="휴일근로",MIN(H1683,8)*1.5+MAX(0,H1683-8)*2,I1683*1.5)+N(J1683)*0.5,2))</f>
        <v/>
      </c>
      <c r="L1683" s="18" t="n"/>
      <c r="M1683" s="18" t="n"/>
      <c r="N1683" s="22" t="n"/>
    </row>
    <row r="1684">
      <c r="A1684" s="19" t="n"/>
      <c r="B1684" s="25">
        <f>IF(A1684="","",CHOOSE(WEEKDAY(A1684,2),"월","화","수","목","금","토","일"))</f>
        <v/>
      </c>
      <c r="C1684" s="18" t="n"/>
      <c r="D1684" s="25">
        <f>IFERROR(IF(C1684="","",INDEX(직원명부!$B$5:$B$24,MATCH(C1684,직원명부!$A$5:$A$24,0))),"사번 확인")</f>
        <v/>
      </c>
      <c r="E1684" s="34" t="n"/>
      <c r="F1684" s="34" t="n"/>
      <c r="G1684" s="28" t="n"/>
      <c r="H1684" s="33">
        <f>IF(OR(E1684="",F1684=""),"",ROUND(MOD(F1684-E1684,1)*24-N(G1684),2))</f>
        <v/>
      </c>
      <c r="I1684" s="33">
        <f>IF(H1684="","",ROUND(MAX(0,H1684-8),2))</f>
        <v/>
      </c>
      <c r="J1684" s="33">
        <f>IF(OR(E1684="",F1684=""),"",ROUND(IF(MOD(F1684,1)&gt;=TIME(22,0,0),(MOD(F1684,1)-TIME(22,0,0))*24,IF(MOD(F1684,1)&lt;TIME(6,0,0),(MOD(F1684,1)+1-TIME(22,0,0))*24,0)),2))</f>
        <v/>
      </c>
      <c r="K1684" s="33">
        <f>IF(H1684="","",ROUND(IF(L1684="휴일근로",MIN(H1684,8)*1.5+MAX(0,H1684-8)*2,I1684*1.5)+N(J1684)*0.5,2))</f>
        <v/>
      </c>
      <c r="L1684" s="18" t="n"/>
      <c r="M1684" s="18" t="n"/>
      <c r="N1684" s="22" t="n"/>
    </row>
    <row r="1685">
      <c r="A1685" s="19" t="n"/>
      <c r="B1685" s="25">
        <f>IF(A1685="","",CHOOSE(WEEKDAY(A1685,2),"월","화","수","목","금","토","일"))</f>
        <v/>
      </c>
      <c r="C1685" s="18" t="n"/>
      <c r="D1685" s="25">
        <f>IFERROR(IF(C1685="","",INDEX(직원명부!$B$5:$B$24,MATCH(C1685,직원명부!$A$5:$A$24,0))),"사번 확인")</f>
        <v/>
      </c>
      <c r="E1685" s="34" t="n"/>
      <c r="F1685" s="34" t="n"/>
      <c r="G1685" s="28" t="n"/>
      <c r="H1685" s="33">
        <f>IF(OR(E1685="",F1685=""),"",ROUND(MOD(F1685-E1685,1)*24-N(G1685),2))</f>
        <v/>
      </c>
      <c r="I1685" s="33">
        <f>IF(H1685="","",ROUND(MAX(0,H1685-8),2))</f>
        <v/>
      </c>
      <c r="J1685" s="33">
        <f>IF(OR(E1685="",F1685=""),"",ROUND(IF(MOD(F1685,1)&gt;=TIME(22,0,0),(MOD(F1685,1)-TIME(22,0,0))*24,IF(MOD(F1685,1)&lt;TIME(6,0,0),(MOD(F1685,1)+1-TIME(22,0,0))*24,0)),2))</f>
        <v/>
      </c>
      <c r="K1685" s="33">
        <f>IF(H1685="","",ROUND(IF(L1685="휴일근로",MIN(H1685,8)*1.5+MAX(0,H1685-8)*2,I1685*1.5)+N(J1685)*0.5,2))</f>
        <v/>
      </c>
      <c r="L1685" s="18" t="n"/>
      <c r="M1685" s="18" t="n"/>
      <c r="N1685" s="22" t="n"/>
    </row>
    <row r="1686">
      <c r="A1686" s="19" t="n"/>
      <c r="B1686" s="25">
        <f>IF(A1686="","",CHOOSE(WEEKDAY(A1686,2),"월","화","수","목","금","토","일"))</f>
        <v/>
      </c>
      <c r="C1686" s="18" t="n"/>
      <c r="D1686" s="25">
        <f>IFERROR(IF(C1686="","",INDEX(직원명부!$B$5:$B$24,MATCH(C1686,직원명부!$A$5:$A$24,0))),"사번 확인")</f>
        <v/>
      </c>
      <c r="E1686" s="34" t="n"/>
      <c r="F1686" s="34" t="n"/>
      <c r="G1686" s="28" t="n"/>
      <c r="H1686" s="33">
        <f>IF(OR(E1686="",F1686=""),"",ROUND(MOD(F1686-E1686,1)*24-N(G1686),2))</f>
        <v/>
      </c>
      <c r="I1686" s="33">
        <f>IF(H1686="","",ROUND(MAX(0,H1686-8),2))</f>
        <v/>
      </c>
      <c r="J1686" s="33">
        <f>IF(OR(E1686="",F1686=""),"",ROUND(IF(MOD(F1686,1)&gt;=TIME(22,0,0),(MOD(F1686,1)-TIME(22,0,0))*24,IF(MOD(F1686,1)&lt;TIME(6,0,0),(MOD(F1686,1)+1-TIME(22,0,0))*24,0)),2))</f>
        <v/>
      </c>
      <c r="K1686" s="33">
        <f>IF(H1686="","",ROUND(IF(L1686="휴일근로",MIN(H1686,8)*1.5+MAX(0,H1686-8)*2,I1686*1.5)+N(J1686)*0.5,2))</f>
        <v/>
      </c>
      <c r="L1686" s="18" t="n"/>
      <c r="M1686" s="18" t="n"/>
      <c r="N1686" s="22" t="n"/>
    </row>
    <row r="1687">
      <c r="A1687" s="19" t="n"/>
      <c r="B1687" s="25">
        <f>IF(A1687="","",CHOOSE(WEEKDAY(A1687,2),"월","화","수","목","금","토","일"))</f>
        <v/>
      </c>
      <c r="C1687" s="18" t="n"/>
      <c r="D1687" s="25">
        <f>IFERROR(IF(C1687="","",INDEX(직원명부!$B$5:$B$24,MATCH(C1687,직원명부!$A$5:$A$24,0))),"사번 확인")</f>
        <v/>
      </c>
      <c r="E1687" s="34" t="n"/>
      <c r="F1687" s="34" t="n"/>
      <c r="G1687" s="28" t="n"/>
      <c r="H1687" s="33">
        <f>IF(OR(E1687="",F1687=""),"",ROUND(MOD(F1687-E1687,1)*24-N(G1687),2))</f>
        <v/>
      </c>
      <c r="I1687" s="33">
        <f>IF(H1687="","",ROUND(MAX(0,H1687-8),2))</f>
        <v/>
      </c>
      <c r="J1687" s="33">
        <f>IF(OR(E1687="",F1687=""),"",ROUND(IF(MOD(F1687,1)&gt;=TIME(22,0,0),(MOD(F1687,1)-TIME(22,0,0))*24,IF(MOD(F1687,1)&lt;TIME(6,0,0),(MOD(F1687,1)+1-TIME(22,0,0))*24,0)),2))</f>
        <v/>
      </c>
      <c r="K1687" s="33">
        <f>IF(H1687="","",ROUND(IF(L1687="휴일근로",MIN(H1687,8)*1.5+MAX(0,H1687-8)*2,I1687*1.5)+N(J1687)*0.5,2))</f>
        <v/>
      </c>
      <c r="L1687" s="18" t="n"/>
      <c r="M1687" s="18" t="n"/>
      <c r="N1687" s="22" t="n"/>
    </row>
    <row r="1688">
      <c r="A1688" s="19" t="n"/>
      <c r="B1688" s="25">
        <f>IF(A1688="","",CHOOSE(WEEKDAY(A1688,2),"월","화","수","목","금","토","일"))</f>
        <v/>
      </c>
      <c r="C1688" s="18" t="n"/>
      <c r="D1688" s="25">
        <f>IFERROR(IF(C1688="","",INDEX(직원명부!$B$5:$B$24,MATCH(C1688,직원명부!$A$5:$A$24,0))),"사번 확인")</f>
        <v/>
      </c>
      <c r="E1688" s="34" t="n"/>
      <c r="F1688" s="34" t="n"/>
      <c r="G1688" s="28" t="n"/>
      <c r="H1688" s="33">
        <f>IF(OR(E1688="",F1688=""),"",ROUND(MOD(F1688-E1688,1)*24-N(G1688),2))</f>
        <v/>
      </c>
      <c r="I1688" s="33">
        <f>IF(H1688="","",ROUND(MAX(0,H1688-8),2))</f>
        <v/>
      </c>
      <c r="J1688" s="33">
        <f>IF(OR(E1688="",F1688=""),"",ROUND(IF(MOD(F1688,1)&gt;=TIME(22,0,0),(MOD(F1688,1)-TIME(22,0,0))*24,IF(MOD(F1688,1)&lt;TIME(6,0,0),(MOD(F1688,1)+1-TIME(22,0,0))*24,0)),2))</f>
        <v/>
      </c>
      <c r="K1688" s="33">
        <f>IF(H1688="","",ROUND(IF(L1688="휴일근로",MIN(H1688,8)*1.5+MAX(0,H1688-8)*2,I1688*1.5)+N(J1688)*0.5,2))</f>
        <v/>
      </c>
      <c r="L1688" s="18" t="n"/>
      <c r="M1688" s="18" t="n"/>
      <c r="N1688" s="22" t="n"/>
    </row>
    <row r="1689">
      <c r="A1689" s="19" t="n"/>
      <c r="B1689" s="25">
        <f>IF(A1689="","",CHOOSE(WEEKDAY(A1689,2),"월","화","수","목","금","토","일"))</f>
        <v/>
      </c>
      <c r="C1689" s="18" t="n"/>
      <c r="D1689" s="25">
        <f>IFERROR(IF(C1689="","",INDEX(직원명부!$B$5:$B$24,MATCH(C1689,직원명부!$A$5:$A$24,0))),"사번 확인")</f>
        <v/>
      </c>
      <c r="E1689" s="34" t="n"/>
      <c r="F1689" s="34" t="n"/>
      <c r="G1689" s="28" t="n"/>
      <c r="H1689" s="33">
        <f>IF(OR(E1689="",F1689=""),"",ROUND(MOD(F1689-E1689,1)*24-N(G1689),2))</f>
        <v/>
      </c>
      <c r="I1689" s="33">
        <f>IF(H1689="","",ROUND(MAX(0,H1689-8),2))</f>
        <v/>
      </c>
      <c r="J1689" s="33">
        <f>IF(OR(E1689="",F1689=""),"",ROUND(IF(MOD(F1689,1)&gt;=TIME(22,0,0),(MOD(F1689,1)-TIME(22,0,0))*24,IF(MOD(F1689,1)&lt;TIME(6,0,0),(MOD(F1689,1)+1-TIME(22,0,0))*24,0)),2))</f>
        <v/>
      </c>
      <c r="K1689" s="33">
        <f>IF(H1689="","",ROUND(IF(L1689="휴일근로",MIN(H1689,8)*1.5+MAX(0,H1689-8)*2,I1689*1.5)+N(J1689)*0.5,2))</f>
        <v/>
      </c>
      <c r="L1689" s="18" t="n"/>
      <c r="M1689" s="18" t="n"/>
      <c r="N1689" s="22" t="n"/>
    </row>
    <row r="1690">
      <c r="A1690" s="19" t="n"/>
      <c r="B1690" s="25">
        <f>IF(A1690="","",CHOOSE(WEEKDAY(A1690,2),"월","화","수","목","금","토","일"))</f>
        <v/>
      </c>
      <c r="C1690" s="18" t="n"/>
      <c r="D1690" s="25">
        <f>IFERROR(IF(C1690="","",INDEX(직원명부!$B$5:$B$24,MATCH(C1690,직원명부!$A$5:$A$24,0))),"사번 확인")</f>
        <v/>
      </c>
      <c r="E1690" s="34" t="n"/>
      <c r="F1690" s="34" t="n"/>
      <c r="G1690" s="28" t="n"/>
      <c r="H1690" s="33">
        <f>IF(OR(E1690="",F1690=""),"",ROUND(MOD(F1690-E1690,1)*24-N(G1690),2))</f>
        <v/>
      </c>
      <c r="I1690" s="33">
        <f>IF(H1690="","",ROUND(MAX(0,H1690-8),2))</f>
        <v/>
      </c>
      <c r="J1690" s="33">
        <f>IF(OR(E1690="",F1690=""),"",ROUND(IF(MOD(F1690,1)&gt;=TIME(22,0,0),(MOD(F1690,1)-TIME(22,0,0))*24,IF(MOD(F1690,1)&lt;TIME(6,0,0),(MOD(F1690,1)+1-TIME(22,0,0))*24,0)),2))</f>
        <v/>
      </c>
      <c r="K1690" s="33">
        <f>IF(H1690="","",ROUND(IF(L1690="휴일근로",MIN(H1690,8)*1.5+MAX(0,H1690-8)*2,I1690*1.5)+N(J1690)*0.5,2))</f>
        <v/>
      </c>
      <c r="L1690" s="18" t="n"/>
      <c r="M1690" s="18" t="n"/>
      <c r="N1690" s="22" t="n"/>
    </row>
    <row r="1691">
      <c r="A1691" s="19" t="n"/>
      <c r="B1691" s="25">
        <f>IF(A1691="","",CHOOSE(WEEKDAY(A1691,2),"월","화","수","목","금","토","일"))</f>
        <v/>
      </c>
      <c r="C1691" s="18" t="n"/>
      <c r="D1691" s="25">
        <f>IFERROR(IF(C1691="","",INDEX(직원명부!$B$5:$B$24,MATCH(C1691,직원명부!$A$5:$A$24,0))),"사번 확인")</f>
        <v/>
      </c>
      <c r="E1691" s="34" t="n"/>
      <c r="F1691" s="34" t="n"/>
      <c r="G1691" s="28" t="n"/>
      <c r="H1691" s="33">
        <f>IF(OR(E1691="",F1691=""),"",ROUND(MOD(F1691-E1691,1)*24-N(G1691),2))</f>
        <v/>
      </c>
      <c r="I1691" s="33">
        <f>IF(H1691="","",ROUND(MAX(0,H1691-8),2))</f>
        <v/>
      </c>
      <c r="J1691" s="33">
        <f>IF(OR(E1691="",F1691=""),"",ROUND(IF(MOD(F1691,1)&gt;=TIME(22,0,0),(MOD(F1691,1)-TIME(22,0,0))*24,IF(MOD(F1691,1)&lt;TIME(6,0,0),(MOD(F1691,1)+1-TIME(22,0,0))*24,0)),2))</f>
        <v/>
      </c>
      <c r="K1691" s="33">
        <f>IF(H1691="","",ROUND(IF(L1691="휴일근로",MIN(H1691,8)*1.5+MAX(0,H1691-8)*2,I1691*1.5)+N(J1691)*0.5,2))</f>
        <v/>
      </c>
      <c r="L1691" s="18" t="n"/>
      <c r="M1691" s="18" t="n"/>
      <c r="N1691" s="22" t="n"/>
    </row>
    <row r="1692">
      <c r="A1692" s="19" t="n"/>
      <c r="B1692" s="25">
        <f>IF(A1692="","",CHOOSE(WEEKDAY(A1692,2),"월","화","수","목","금","토","일"))</f>
        <v/>
      </c>
      <c r="C1692" s="18" t="n"/>
      <c r="D1692" s="25">
        <f>IFERROR(IF(C1692="","",INDEX(직원명부!$B$5:$B$24,MATCH(C1692,직원명부!$A$5:$A$24,0))),"사번 확인")</f>
        <v/>
      </c>
      <c r="E1692" s="34" t="n"/>
      <c r="F1692" s="34" t="n"/>
      <c r="G1692" s="28" t="n"/>
      <c r="H1692" s="33">
        <f>IF(OR(E1692="",F1692=""),"",ROUND(MOD(F1692-E1692,1)*24-N(G1692),2))</f>
        <v/>
      </c>
      <c r="I1692" s="33">
        <f>IF(H1692="","",ROUND(MAX(0,H1692-8),2))</f>
        <v/>
      </c>
      <c r="J1692" s="33">
        <f>IF(OR(E1692="",F1692=""),"",ROUND(IF(MOD(F1692,1)&gt;=TIME(22,0,0),(MOD(F1692,1)-TIME(22,0,0))*24,IF(MOD(F1692,1)&lt;TIME(6,0,0),(MOD(F1692,1)+1-TIME(22,0,0))*24,0)),2))</f>
        <v/>
      </c>
      <c r="K1692" s="33">
        <f>IF(H1692="","",ROUND(IF(L1692="휴일근로",MIN(H1692,8)*1.5+MAX(0,H1692-8)*2,I1692*1.5)+N(J1692)*0.5,2))</f>
        <v/>
      </c>
      <c r="L1692" s="18" t="n"/>
      <c r="M1692" s="18" t="n"/>
      <c r="N1692" s="22" t="n"/>
    </row>
    <row r="1693">
      <c r="A1693" s="19" t="n"/>
      <c r="B1693" s="25">
        <f>IF(A1693="","",CHOOSE(WEEKDAY(A1693,2),"월","화","수","목","금","토","일"))</f>
        <v/>
      </c>
      <c r="C1693" s="18" t="n"/>
      <c r="D1693" s="25">
        <f>IFERROR(IF(C1693="","",INDEX(직원명부!$B$5:$B$24,MATCH(C1693,직원명부!$A$5:$A$24,0))),"사번 확인")</f>
        <v/>
      </c>
      <c r="E1693" s="34" t="n"/>
      <c r="F1693" s="34" t="n"/>
      <c r="G1693" s="28" t="n"/>
      <c r="H1693" s="33">
        <f>IF(OR(E1693="",F1693=""),"",ROUND(MOD(F1693-E1693,1)*24-N(G1693),2))</f>
        <v/>
      </c>
      <c r="I1693" s="33">
        <f>IF(H1693="","",ROUND(MAX(0,H1693-8),2))</f>
        <v/>
      </c>
      <c r="J1693" s="33">
        <f>IF(OR(E1693="",F1693=""),"",ROUND(IF(MOD(F1693,1)&gt;=TIME(22,0,0),(MOD(F1693,1)-TIME(22,0,0))*24,IF(MOD(F1693,1)&lt;TIME(6,0,0),(MOD(F1693,1)+1-TIME(22,0,0))*24,0)),2))</f>
        <v/>
      </c>
      <c r="K1693" s="33">
        <f>IF(H1693="","",ROUND(IF(L1693="휴일근로",MIN(H1693,8)*1.5+MAX(0,H1693-8)*2,I1693*1.5)+N(J1693)*0.5,2))</f>
        <v/>
      </c>
      <c r="L1693" s="18" t="n"/>
      <c r="M1693" s="18" t="n"/>
      <c r="N1693" s="22" t="n"/>
    </row>
    <row r="1694">
      <c r="A1694" s="19" t="n"/>
      <c r="B1694" s="25">
        <f>IF(A1694="","",CHOOSE(WEEKDAY(A1694,2),"월","화","수","목","금","토","일"))</f>
        <v/>
      </c>
      <c r="C1694" s="18" t="n"/>
      <c r="D1694" s="25">
        <f>IFERROR(IF(C1694="","",INDEX(직원명부!$B$5:$B$24,MATCH(C1694,직원명부!$A$5:$A$24,0))),"사번 확인")</f>
        <v/>
      </c>
      <c r="E1694" s="34" t="n"/>
      <c r="F1694" s="34" t="n"/>
      <c r="G1694" s="28" t="n"/>
      <c r="H1694" s="33">
        <f>IF(OR(E1694="",F1694=""),"",ROUND(MOD(F1694-E1694,1)*24-N(G1694),2))</f>
        <v/>
      </c>
      <c r="I1694" s="33">
        <f>IF(H1694="","",ROUND(MAX(0,H1694-8),2))</f>
        <v/>
      </c>
      <c r="J1694" s="33">
        <f>IF(OR(E1694="",F1694=""),"",ROUND(IF(MOD(F1694,1)&gt;=TIME(22,0,0),(MOD(F1694,1)-TIME(22,0,0))*24,IF(MOD(F1694,1)&lt;TIME(6,0,0),(MOD(F1694,1)+1-TIME(22,0,0))*24,0)),2))</f>
        <v/>
      </c>
      <c r="K1694" s="33">
        <f>IF(H1694="","",ROUND(IF(L1694="휴일근로",MIN(H1694,8)*1.5+MAX(0,H1694-8)*2,I1694*1.5)+N(J1694)*0.5,2))</f>
        <v/>
      </c>
      <c r="L1694" s="18" t="n"/>
      <c r="M1694" s="18" t="n"/>
      <c r="N1694" s="22" t="n"/>
    </row>
    <row r="1695">
      <c r="A1695" s="19" t="n"/>
      <c r="B1695" s="25">
        <f>IF(A1695="","",CHOOSE(WEEKDAY(A1695,2),"월","화","수","목","금","토","일"))</f>
        <v/>
      </c>
      <c r="C1695" s="18" t="n"/>
      <c r="D1695" s="25">
        <f>IFERROR(IF(C1695="","",INDEX(직원명부!$B$5:$B$24,MATCH(C1695,직원명부!$A$5:$A$24,0))),"사번 확인")</f>
        <v/>
      </c>
      <c r="E1695" s="34" t="n"/>
      <c r="F1695" s="34" t="n"/>
      <c r="G1695" s="28" t="n"/>
      <c r="H1695" s="33">
        <f>IF(OR(E1695="",F1695=""),"",ROUND(MOD(F1695-E1695,1)*24-N(G1695),2))</f>
        <v/>
      </c>
      <c r="I1695" s="33">
        <f>IF(H1695="","",ROUND(MAX(0,H1695-8),2))</f>
        <v/>
      </c>
      <c r="J1695" s="33">
        <f>IF(OR(E1695="",F1695=""),"",ROUND(IF(MOD(F1695,1)&gt;=TIME(22,0,0),(MOD(F1695,1)-TIME(22,0,0))*24,IF(MOD(F1695,1)&lt;TIME(6,0,0),(MOD(F1695,1)+1-TIME(22,0,0))*24,0)),2))</f>
        <v/>
      </c>
      <c r="K1695" s="33">
        <f>IF(H1695="","",ROUND(IF(L1695="휴일근로",MIN(H1695,8)*1.5+MAX(0,H1695-8)*2,I1695*1.5)+N(J1695)*0.5,2))</f>
        <v/>
      </c>
      <c r="L1695" s="18" t="n"/>
      <c r="M1695" s="18" t="n"/>
      <c r="N1695" s="22" t="n"/>
    </row>
    <row r="1696">
      <c r="A1696" s="19" t="n"/>
      <c r="B1696" s="25">
        <f>IF(A1696="","",CHOOSE(WEEKDAY(A1696,2),"월","화","수","목","금","토","일"))</f>
        <v/>
      </c>
      <c r="C1696" s="18" t="n"/>
      <c r="D1696" s="25">
        <f>IFERROR(IF(C1696="","",INDEX(직원명부!$B$5:$B$24,MATCH(C1696,직원명부!$A$5:$A$24,0))),"사번 확인")</f>
        <v/>
      </c>
      <c r="E1696" s="34" t="n"/>
      <c r="F1696" s="34" t="n"/>
      <c r="G1696" s="28" t="n"/>
      <c r="H1696" s="33">
        <f>IF(OR(E1696="",F1696=""),"",ROUND(MOD(F1696-E1696,1)*24-N(G1696),2))</f>
        <v/>
      </c>
      <c r="I1696" s="33">
        <f>IF(H1696="","",ROUND(MAX(0,H1696-8),2))</f>
        <v/>
      </c>
      <c r="J1696" s="33">
        <f>IF(OR(E1696="",F1696=""),"",ROUND(IF(MOD(F1696,1)&gt;=TIME(22,0,0),(MOD(F1696,1)-TIME(22,0,0))*24,IF(MOD(F1696,1)&lt;TIME(6,0,0),(MOD(F1696,1)+1-TIME(22,0,0))*24,0)),2))</f>
        <v/>
      </c>
      <c r="K1696" s="33">
        <f>IF(H1696="","",ROUND(IF(L1696="휴일근로",MIN(H1696,8)*1.5+MAX(0,H1696-8)*2,I1696*1.5)+N(J1696)*0.5,2))</f>
        <v/>
      </c>
      <c r="L1696" s="18" t="n"/>
      <c r="M1696" s="18" t="n"/>
      <c r="N1696" s="22" t="n"/>
    </row>
    <row r="1697">
      <c r="A1697" s="19" t="n"/>
      <c r="B1697" s="25">
        <f>IF(A1697="","",CHOOSE(WEEKDAY(A1697,2),"월","화","수","목","금","토","일"))</f>
        <v/>
      </c>
      <c r="C1697" s="18" t="n"/>
      <c r="D1697" s="25">
        <f>IFERROR(IF(C1697="","",INDEX(직원명부!$B$5:$B$24,MATCH(C1697,직원명부!$A$5:$A$24,0))),"사번 확인")</f>
        <v/>
      </c>
      <c r="E1697" s="34" t="n"/>
      <c r="F1697" s="34" t="n"/>
      <c r="G1697" s="28" t="n"/>
      <c r="H1697" s="33">
        <f>IF(OR(E1697="",F1697=""),"",ROUND(MOD(F1697-E1697,1)*24-N(G1697),2))</f>
        <v/>
      </c>
      <c r="I1697" s="33">
        <f>IF(H1697="","",ROUND(MAX(0,H1697-8),2))</f>
        <v/>
      </c>
      <c r="J1697" s="33">
        <f>IF(OR(E1697="",F1697=""),"",ROUND(IF(MOD(F1697,1)&gt;=TIME(22,0,0),(MOD(F1697,1)-TIME(22,0,0))*24,IF(MOD(F1697,1)&lt;TIME(6,0,0),(MOD(F1697,1)+1-TIME(22,0,0))*24,0)),2))</f>
        <v/>
      </c>
      <c r="K1697" s="33">
        <f>IF(H1697="","",ROUND(IF(L1697="휴일근로",MIN(H1697,8)*1.5+MAX(0,H1697-8)*2,I1697*1.5)+N(J1697)*0.5,2))</f>
        <v/>
      </c>
      <c r="L1697" s="18" t="n"/>
      <c r="M1697" s="18" t="n"/>
      <c r="N1697" s="22" t="n"/>
    </row>
    <row r="1698">
      <c r="A1698" s="19" t="n"/>
      <c r="B1698" s="25">
        <f>IF(A1698="","",CHOOSE(WEEKDAY(A1698,2),"월","화","수","목","금","토","일"))</f>
        <v/>
      </c>
      <c r="C1698" s="18" t="n"/>
      <c r="D1698" s="25">
        <f>IFERROR(IF(C1698="","",INDEX(직원명부!$B$5:$B$24,MATCH(C1698,직원명부!$A$5:$A$24,0))),"사번 확인")</f>
        <v/>
      </c>
      <c r="E1698" s="34" t="n"/>
      <c r="F1698" s="34" t="n"/>
      <c r="G1698" s="28" t="n"/>
      <c r="H1698" s="33">
        <f>IF(OR(E1698="",F1698=""),"",ROUND(MOD(F1698-E1698,1)*24-N(G1698),2))</f>
        <v/>
      </c>
      <c r="I1698" s="33">
        <f>IF(H1698="","",ROUND(MAX(0,H1698-8),2))</f>
        <v/>
      </c>
      <c r="J1698" s="33">
        <f>IF(OR(E1698="",F1698=""),"",ROUND(IF(MOD(F1698,1)&gt;=TIME(22,0,0),(MOD(F1698,1)-TIME(22,0,0))*24,IF(MOD(F1698,1)&lt;TIME(6,0,0),(MOD(F1698,1)+1-TIME(22,0,0))*24,0)),2))</f>
        <v/>
      </c>
      <c r="K1698" s="33">
        <f>IF(H1698="","",ROUND(IF(L1698="휴일근로",MIN(H1698,8)*1.5+MAX(0,H1698-8)*2,I1698*1.5)+N(J1698)*0.5,2))</f>
        <v/>
      </c>
      <c r="L1698" s="18" t="n"/>
      <c r="M1698" s="18" t="n"/>
      <c r="N1698" s="22" t="n"/>
    </row>
    <row r="1699">
      <c r="A1699" s="19" t="n"/>
      <c r="B1699" s="25">
        <f>IF(A1699="","",CHOOSE(WEEKDAY(A1699,2),"월","화","수","목","금","토","일"))</f>
        <v/>
      </c>
      <c r="C1699" s="18" t="n"/>
      <c r="D1699" s="25">
        <f>IFERROR(IF(C1699="","",INDEX(직원명부!$B$5:$B$24,MATCH(C1699,직원명부!$A$5:$A$24,0))),"사번 확인")</f>
        <v/>
      </c>
      <c r="E1699" s="34" t="n"/>
      <c r="F1699" s="34" t="n"/>
      <c r="G1699" s="28" t="n"/>
      <c r="H1699" s="33">
        <f>IF(OR(E1699="",F1699=""),"",ROUND(MOD(F1699-E1699,1)*24-N(G1699),2))</f>
        <v/>
      </c>
      <c r="I1699" s="33">
        <f>IF(H1699="","",ROUND(MAX(0,H1699-8),2))</f>
        <v/>
      </c>
      <c r="J1699" s="33">
        <f>IF(OR(E1699="",F1699=""),"",ROUND(IF(MOD(F1699,1)&gt;=TIME(22,0,0),(MOD(F1699,1)-TIME(22,0,0))*24,IF(MOD(F1699,1)&lt;TIME(6,0,0),(MOD(F1699,1)+1-TIME(22,0,0))*24,0)),2))</f>
        <v/>
      </c>
      <c r="K1699" s="33">
        <f>IF(H1699="","",ROUND(IF(L1699="휴일근로",MIN(H1699,8)*1.5+MAX(0,H1699-8)*2,I1699*1.5)+N(J1699)*0.5,2))</f>
        <v/>
      </c>
      <c r="L1699" s="18" t="n"/>
      <c r="M1699" s="18" t="n"/>
      <c r="N1699" s="22" t="n"/>
    </row>
    <row r="1700">
      <c r="A1700" s="19" t="n"/>
      <c r="B1700" s="25">
        <f>IF(A1700="","",CHOOSE(WEEKDAY(A1700,2),"월","화","수","목","금","토","일"))</f>
        <v/>
      </c>
      <c r="C1700" s="18" t="n"/>
      <c r="D1700" s="25">
        <f>IFERROR(IF(C1700="","",INDEX(직원명부!$B$5:$B$24,MATCH(C1700,직원명부!$A$5:$A$24,0))),"사번 확인")</f>
        <v/>
      </c>
      <c r="E1700" s="34" t="n"/>
      <c r="F1700" s="34" t="n"/>
      <c r="G1700" s="28" t="n"/>
      <c r="H1700" s="33">
        <f>IF(OR(E1700="",F1700=""),"",ROUND(MOD(F1700-E1700,1)*24-N(G1700),2))</f>
        <v/>
      </c>
      <c r="I1700" s="33">
        <f>IF(H1700="","",ROUND(MAX(0,H1700-8),2))</f>
        <v/>
      </c>
      <c r="J1700" s="33">
        <f>IF(OR(E1700="",F1700=""),"",ROUND(IF(MOD(F1700,1)&gt;=TIME(22,0,0),(MOD(F1700,1)-TIME(22,0,0))*24,IF(MOD(F1700,1)&lt;TIME(6,0,0),(MOD(F1700,1)+1-TIME(22,0,0))*24,0)),2))</f>
        <v/>
      </c>
      <c r="K1700" s="33">
        <f>IF(H1700="","",ROUND(IF(L1700="휴일근로",MIN(H1700,8)*1.5+MAX(0,H1700-8)*2,I1700*1.5)+N(J1700)*0.5,2))</f>
        <v/>
      </c>
      <c r="L1700" s="18" t="n"/>
      <c r="M1700" s="18" t="n"/>
      <c r="N1700" s="22" t="n"/>
    </row>
    <row r="1701">
      <c r="A1701" s="19" t="n"/>
      <c r="B1701" s="25">
        <f>IF(A1701="","",CHOOSE(WEEKDAY(A1701,2),"월","화","수","목","금","토","일"))</f>
        <v/>
      </c>
      <c r="C1701" s="18" t="n"/>
      <c r="D1701" s="25">
        <f>IFERROR(IF(C1701="","",INDEX(직원명부!$B$5:$B$24,MATCH(C1701,직원명부!$A$5:$A$24,0))),"사번 확인")</f>
        <v/>
      </c>
      <c r="E1701" s="34" t="n"/>
      <c r="F1701" s="34" t="n"/>
      <c r="G1701" s="28" t="n"/>
      <c r="H1701" s="33">
        <f>IF(OR(E1701="",F1701=""),"",ROUND(MOD(F1701-E1701,1)*24-N(G1701),2))</f>
        <v/>
      </c>
      <c r="I1701" s="33">
        <f>IF(H1701="","",ROUND(MAX(0,H1701-8),2))</f>
        <v/>
      </c>
      <c r="J1701" s="33">
        <f>IF(OR(E1701="",F1701=""),"",ROUND(IF(MOD(F1701,1)&gt;=TIME(22,0,0),(MOD(F1701,1)-TIME(22,0,0))*24,IF(MOD(F1701,1)&lt;TIME(6,0,0),(MOD(F1701,1)+1-TIME(22,0,0))*24,0)),2))</f>
        <v/>
      </c>
      <c r="K1701" s="33">
        <f>IF(H1701="","",ROUND(IF(L1701="휴일근로",MIN(H1701,8)*1.5+MAX(0,H1701-8)*2,I1701*1.5)+N(J1701)*0.5,2))</f>
        <v/>
      </c>
      <c r="L1701" s="18" t="n"/>
      <c r="M1701" s="18" t="n"/>
      <c r="N1701" s="22" t="n"/>
    </row>
    <row r="1702">
      <c r="A1702" s="19" t="n"/>
      <c r="B1702" s="25">
        <f>IF(A1702="","",CHOOSE(WEEKDAY(A1702,2),"월","화","수","목","금","토","일"))</f>
        <v/>
      </c>
      <c r="C1702" s="18" t="n"/>
      <c r="D1702" s="25">
        <f>IFERROR(IF(C1702="","",INDEX(직원명부!$B$5:$B$24,MATCH(C1702,직원명부!$A$5:$A$24,0))),"사번 확인")</f>
        <v/>
      </c>
      <c r="E1702" s="34" t="n"/>
      <c r="F1702" s="34" t="n"/>
      <c r="G1702" s="28" t="n"/>
      <c r="H1702" s="33">
        <f>IF(OR(E1702="",F1702=""),"",ROUND(MOD(F1702-E1702,1)*24-N(G1702),2))</f>
        <v/>
      </c>
      <c r="I1702" s="33">
        <f>IF(H1702="","",ROUND(MAX(0,H1702-8),2))</f>
        <v/>
      </c>
      <c r="J1702" s="33">
        <f>IF(OR(E1702="",F1702=""),"",ROUND(IF(MOD(F1702,1)&gt;=TIME(22,0,0),(MOD(F1702,1)-TIME(22,0,0))*24,IF(MOD(F1702,1)&lt;TIME(6,0,0),(MOD(F1702,1)+1-TIME(22,0,0))*24,0)),2))</f>
        <v/>
      </c>
      <c r="K1702" s="33">
        <f>IF(H1702="","",ROUND(IF(L1702="휴일근로",MIN(H1702,8)*1.5+MAX(0,H1702-8)*2,I1702*1.5)+N(J1702)*0.5,2))</f>
        <v/>
      </c>
      <c r="L1702" s="18" t="n"/>
      <c r="M1702" s="18" t="n"/>
      <c r="N1702" s="22" t="n"/>
    </row>
    <row r="1703">
      <c r="A1703" s="19" t="n"/>
      <c r="B1703" s="25">
        <f>IF(A1703="","",CHOOSE(WEEKDAY(A1703,2),"월","화","수","목","금","토","일"))</f>
        <v/>
      </c>
      <c r="C1703" s="18" t="n"/>
      <c r="D1703" s="25">
        <f>IFERROR(IF(C1703="","",INDEX(직원명부!$B$5:$B$24,MATCH(C1703,직원명부!$A$5:$A$24,0))),"사번 확인")</f>
        <v/>
      </c>
      <c r="E1703" s="34" t="n"/>
      <c r="F1703" s="34" t="n"/>
      <c r="G1703" s="28" t="n"/>
      <c r="H1703" s="33">
        <f>IF(OR(E1703="",F1703=""),"",ROUND(MOD(F1703-E1703,1)*24-N(G1703),2))</f>
        <v/>
      </c>
      <c r="I1703" s="33">
        <f>IF(H1703="","",ROUND(MAX(0,H1703-8),2))</f>
        <v/>
      </c>
      <c r="J1703" s="33">
        <f>IF(OR(E1703="",F1703=""),"",ROUND(IF(MOD(F1703,1)&gt;=TIME(22,0,0),(MOD(F1703,1)-TIME(22,0,0))*24,IF(MOD(F1703,1)&lt;TIME(6,0,0),(MOD(F1703,1)+1-TIME(22,0,0))*24,0)),2))</f>
        <v/>
      </c>
      <c r="K1703" s="33">
        <f>IF(H1703="","",ROUND(IF(L1703="휴일근로",MIN(H1703,8)*1.5+MAX(0,H1703-8)*2,I1703*1.5)+N(J1703)*0.5,2))</f>
        <v/>
      </c>
      <c r="L1703" s="18" t="n"/>
      <c r="M1703" s="18" t="n"/>
      <c r="N1703" s="22" t="n"/>
    </row>
    <row r="1704">
      <c r="A1704" s="19" t="n"/>
      <c r="B1704" s="25">
        <f>IF(A1704="","",CHOOSE(WEEKDAY(A1704,2),"월","화","수","목","금","토","일"))</f>
        <v/>
      </c>
      <c r="C1704" s="18" t="n"/>
      <c r="D1704" s="25">
        <f>IFERROR(IF(C1704="","",INDEX(직원명부!$B$5:$B$24,MATCH(C1704,직원명부!$A$5:$A$24,0))),"사번 확인")</f>
        <v/>
      </c>
      <c r="E1704" s="34" t="n"/>
      <c r="F1704" s="34" t="n"/>
      <c r="G1704" s="28" t="n"/>
      <c r="H1704" s="33">
        <f>IF(OR(E1704="",F1704=""),"",ROUND(MOD(F1704-E1704,1)*24-N(G1704),2))</f>
        <v/>
      </c>
      <c r="I1704" s="33">
        <f>IF(H1704="","",ROUND(MAX(0,H1704-8),2))</f>
        <v/>
      </c>
      <c r="J1704" s="33">
        <f>IF(OR(E1704="",F1704=""),"",ROUND(IF(MOD(F1704,1)&gt;=TIME(22,0,0),(MOD(F1704,1)-TIME(22,0,0))*24,IF(MOD(F1704,1)&lt;TIME(6,0,0),(MOD(F1704,1)+1-TIME(22,0,0))*24,0)),2))</f>
        <v/>
      </c>
      <c r="K1704" s="33">
        <f>IF(H1704="","",ROUND(IF(L1704="휴일근로",MIN(H1704,8)*1.5+MAX(0,H1704-8)*2,I1704*1.5)+N(J1704)*0.5,2))</f>
        <v/>
      </c>
      <c r="L1704" s="18" t="n"/>
      <c r="M1704" s="18" t="n"/>
      <c r="N1704" s="22" t="n"/>
    </row>
    <row r="1705">
      <c r="A1705" s="19" t="n"/>
      <c r="B1705" s="25">
        <f>IF(A1705="","",CHOOSE(WEEKDAY(A1705,2),"월","화","수","목","금","토","일"))</f>
        <v/>
      </c>
      <c r="C1705" s="18" t="n"/>
      <c r="D1705" s="25">
        <f>IFERROR(IF(C1705="","",INDEX(직원명부!$B$5:$B$24,MATCH(C1705,직원명부!$A$5:$A$24,0))),"사번 확인")</f>
        <v/>
      </c>
      <c r="E1705" s="34" t="n"/>
      <c r="F1705" s="34" t="n"/>
      <c r="G1705" s="28" t="n"/>
      <c r="H1705" s="33">
        <f>IF(OR(E1705="",F1705=""),"",ROUND(MOD(F1705-E1705,1)*24-N(G1705),2))</f>
        <v/>
      </c>
      <c r="I1705" s="33">
        <f>IF(H1705="","",ROUND(MAX(0,H1705-8),2))</f>
        <v/>
      </c>
      <c r="J1705" s="33">
        <f>IF(OR(E1705="",F1705=""),"",ROUND(IF(MOD(F1705,1)&gt;=TIME(22,0,0),(MOD(F1705,1)-TIME(22,0,0))*24,IF(MOD(F1705,1)&lt;TIME(6,0,0),(MOD(F1705,1)+1-TIME(22,0,0))*24,0)),2))</f>
        <v/>
      </c>
      <c r="K1705" s="33">
        <f>IF(H1705="","",ROUND(IF(L1705="휴일근로",MIN(H1705,8)*1.5+MAX(0,H1705-8)*2,I1705*1.5)+N(J1705)*0.5,2))</f>
        <v/>
      </c>
      <c r="L1705" s="18" t="n"/>
      <c r="M1705" s="18" t="n"/>
      <c r="N1705" s="22" t="n"/>
    </row>
    <row r="1706">
      <c r="A1706" s="19" t="n"/>
      <c r="B1706" s="25">
        <f>IF(A1706="","",CHOOSE(WEEKDAY(A1706,2),"월","화","수","목","금","토","일"))</f>
        <v/>
      </c>
      <c r="C1706" s="18" t="n"/>
      <c r="D1706" s="25">
        <f>IFERROR(IF(C1706="","",INDEX(직원명부!$B$5:$B$24,MATCH(C1706,직원명부!$A$5:$A$24,0))),"사번 확인")</f>
        <v/>
      </c>
      <c r="E1706" s="34" t="n"/>
      <c r="F1706" s="34" t="n"/>
      <c r="G1706" s="28" t="n"/>
      <c r="H1706" s="33">
        <f>IF(OR(E1706="",F1706=""),"",ROUND(MOD(F1706-E1706,1)*24-N(G1706),2))</f>
        <v/>
      </c>
      <c r="I1706" s="33">
        <f>IF(H1706="","",ROUND(MAX(0,H1706-8),2))</f>
        <v/>
      </c>
      <c r="J1706" s="33">
        <f>IF(OR(E1706="",F1706=""),"",ROUND(IF(MOD(F1706,1)&gt;=TIME(22,0,0),(MOD(F1706,1)-TIME(22,0,0))*24,IF(MOD(F1706,1)&lt;TIME(6,0,0),(MOD(F1706,1)+1-TIME(22,0,0))*24,0)),2))</f>
        <v/>
      </c>
      <c r="K1706" s="33">
        <f>IF(H1706="","",ROUND(IF(L1706="휴일근로",MIN(H1706,8)*1.5+MAX(0,H1706-8)*2,I1706*1.5)+N(J1706)*0.5,2))</f>
        <v/>
      </c>
      <c r="L1706" s="18" t="n"/>
      <c r="M1706" s="18" t="n"/>
      <c r="N1706" s="22" t="n"/>
    </row>
    <row r="1707">
      <c r="A1707" s="19" t="n"/>
      <c r="B1707" s="25">
        <f>IF(A1707="","",CHOOSE(WEEKDAY(A1707,2),"월","화","수","목","금","토","일"))</f>
        <v/>
      </c>
      <c r="C1707" s="18" t="n"/>
      <c r="D1707" s="25">
        <f>IFERROR(IF(C1707="","",INDEX(직원명부!$B$5:$B$24,MATCH(C1707,직원명부!$A$5:$A$24,0))),"사번 확인")</f>
        <v/>
      </c>
      <c r="E1707" s="34" t="n"/>
      <c r="F1707" s="34" t="n"/>
      <c r="G1707" s="28" t="n"/>
      <c r="H1707" s="33">
        <f>IF(OR(E1707="",F1707=""),"",ROUND(MOD(F1707-E1707,1)*24-N(G1707),2))</f>
        <v/>
      </c>
      <c r="I1707" s="33">
        <f>IF(H1707="","",ROUND(MAX(0,H1707-8),2))</f>
        <v/>
      </c>
      <c r="J1707" s="33">
        <f>IF(OR(E1707="",F1707=""),"",ROUND(IF(MOD(F1707,1)&gt;=TIME(22,0,0),(MOD(F1707,1)-TIME(22,0,0))*24,IF(MOD(F1707,1)&lt;TIME(6,0,0),(MOD(F1707,1)+1-TIME(22,0,0))*24,0)),2))</f>
        <v/>
      </c>
      <c r="K1707" s="33">
        <f>IF(H1707="","",ROUND(IF(L1707="휴일근로",MIN(H1707,8)*1.5+MAX(0,H1707-8)*2,I1707*1.5)+N(J1707)*0.5,2))</f>
        <v/>
      </c>
      <c r="L1707" s="18" t="n"/>
      <c r="M1707" s="18" t="n"/>
      <c r="N1707" s="22" t="n"/>
    </row>
    <row r="1708">
      <c r="A1708" s="19" t="n"/>
      <c r="B1708" s="25">
        <f>IF(A1708="","",CHOOSE(WEEKDAY(A1708,2),"월","화","수","목","금","토","일"))</f>
        <v/>
      </c>
      <c r="C1708" s="18" t="n"/>
      <c r="D1708" s="25">
        <f>IFERROR(IF(C1708="","",INDEX(직원명부!$B$5:$B$24,MATCH(C1708,직원명부!$A$5:$A$24,0))),"사번 확인")</f>
        <v/>
      </c>
      <c r="E1708" s="34" t="n"/>
      <c r="F1708" s="34" t="n"/>
      <c r="G1708" s="28" t="n"/>
      <c r="H1708" s="33">
        <f>IF(OR(E1708="",F1708=""),"",ROUND(MOD(F1708-E1708,1)*24-N(G1708),2))</f>
        <v/>
      </c>
      <c r="I1708" s="33">
        <f>IF(H1708="","",ROUND(MAX(0,H1708-8),2))</f>
        <v/>
      </c>
      <c r="J1708" s="33">
        <f>IF(OR(E1708="",F1708=""),"",ROUND(IF(MOD(F1708,1)&gt;=TIME(22,0,0),(MOD(F1708,1)-TIME(22,0,0))*24,IF(MOD(F1708,1)&lt;TIME(6,0,0),(MOD(F1708,1)+1-TIME(22,0,0))*24,0)),2))</f>
        <v/>
      </c>
      <c r="K1708" s="33">
        <f>IF(H1708="","",ROUND(IF(L1708="휴일근로",MIN(H1708,8)*1.5+MAX(0,H1708-8)*2,I1708*1.5)+N(J1708)*0.5,2))</f>
        <v/>
      </c>
      <c r="L1708" s="18" t="n"/>
      <c r="M1708" s="18" t="n"/>
      <c r="N1708" s="22" t="n"/>
    </row>
    <row r="1709">
      <c r="A1709" s="19" t="n"/>
      <c r="B1709" s="25">
        <f>IF(A1709="","",CHOOSE(WEEKDAY(A1709,2),"월","화","수","목","금","토","일"))</f>
        <v/>
      </c>
      <c r="C1709" s="18" t="n"/>
      <c r="D1709" s="25">
        <f>IFERROR(IF(C1709="","",INDEX(직원명부!$B$5:$B$24,MATCH(C1709,직원명부!$A$5:$A$24,0))),"사번 확인")</f>
        <v/>
      </c>
      <c r="E1709" s="34" t="n"/>
      <c r="F1709" s="34" t="n"/>
      <c r="G1709" s="28" t="n"/>
      <c r="H1709" s="33">
        <f>IF(OR(E1709="",F1709=""),"",ROUND(MOD(F1709-E1709,1)*24-N(G1709),2))</f>
        <v/>
      </c>
      <c r="I1709" s="33">
        <f>IF(H1709="","",ROUND(MAX(0,H1709-8),2))</f>
        <v/>
      </c>
      <c r="J1709" s="33">
        <f>IF(OR(E1709="",F1709=""),"",ROUND(IF(MOD(F1709,1)&gt;=TIME(22,0,0),(MOD(F1709,1)-TIME(22,0,0))*24,IF(MOD(F1709,1)&lt;TIME(6,0,0),(MOD(F1709,1)+1-TIME(22,0,0))*24,0)),2))</f>
        <v/>
      </c>
      <c r="K1709" s="33">
        <f>IF(H1709="","",ROUND(IF(L1709="휴일근로",MIN(H1709,8)*1.5+MAX(0,H1709-8)*2,I1709*1.5)+N(J1709)*0.5,2))</f>
        <v/>
      </c>
      <c r="L1709" s="18" t="n"/>
      <c r="M1709" s="18" t="n"/>
      <c r="N1709" s="22" t="n"/>
    </row>
    <row r="1710">
      <c r="A1710" s="19" t="n"/>
      <c r="B1710" s="25">
        <f>IF(A1710="","",CHOOSE(WEEKDAY(A1710,2),"월","화","수","목","금","토","일"))</f>
        <v/>
      </c>
      <c r="C1710" s="18" t="n"/>
      <c r="D1710" s="25">
        <f>IFERROR(IF(C1710="","",INDEX(직원명부!$B$5:$B$24,MATCH(C1710,직원명부!$A$5:$A$24,0))),"사번 확인")</f>
        <v/>
      </c>
      <c r="E1710" s="34" t="n"/>
      <c r="F1710" s="34" t="n"/>
      <c r="G1710" s="28" t="n"/>
      <c r="H1710" s="33">
        <f>IF(OR(E1710="",F1710=""),"",ROUND(MOD(F1710-E1710,1)*24-N(G1710),2))</f>
        <v/>
      </c>
      <c r="I1710" s="33">
        <f>IF(H1710="","",ROUND(MAX(0,H1710-8),2))</f>
        <v/>
      </c>
      <c r="J1710" s="33">
        <f>IF(OR(E1710="",F1710=""),"",ROUND(IF(MOD(F1710,1)&gt;=TIME(22,0,0),(MOD(F1710,1)-TIME(22,0,0))*24,IF(MOD(F1710,1)&lt;TIME(6,0,0),(MOD(F1710,1)+1-TIME(22,0,0))*24,0)),2))</f>
        <v/>
      </c>
      <c r="K1710" s="33">
        <f>IF(H1710="","",ROUND(IF(L1710="휴일근로",MIN(H1710,8)*1.5+MAX(0,H1710-8)*2,I1710*1.5)+N(J1710)*0.5,2))</f>
        <v/>
      </c>
      <c r="L1710" s="18" t="n"/>
      <c r="M1710" s="18" t="n"/>
      <c r="N1710" s="22" t="n"/>
    </row>
    <row r="1711">
      <c r="A1711" s="19" t="n"/>
      <c r="B1711" s="25">
        <f>IF(A1711="","",CHOOSE(WEEKDAY(A1711,2),"월","화","수","목","금","토","일"))</f>
        <v/>
      </c>
      <c r="C1711" s="18" t="n"/>
      <c r="D1711" s="25">
        <f>IFERROR(IF(C1711="","",INDEX(직원명부!$B$5:$B$24,MATCH(C1711,직원명부!$A$5:$A$24,0))),"사번 확인")</f>
        <v/>
      </c>
      <c r="E1711" s="34" t="n"/>
      <c r="F1711" s="34" t="n"/>
      <c r="G1711" s="28" t="n"/>
      <c r="H1711" s="33">
        <f>IF(OR(E1711="",F1711=""),"",ROUND(MOD(F1711-E1711,1)*24-N(G1711),2))</f>
        <v/>
      </c>
      <c r="I1711" s="33">
        <f>IF(H1711="","",ROUND(MAX(0,H1711-8),2))</f>
        <v/>
      </c>
      <c r="J1711" s="33">
        <f>IF(OR(E1711="",F1711=""),"",ROUND(IF(MOD(F1711,1)&gt;=TIME(22,0,0),(MOD(F1711,1)-TIME(22,0,0))*24,IF(MOD(F1711,1)&lt;TIME(6,0,0),(MOD(F1711,1)+1-TIME(22,0,0))*24,0)),2))</f>
        <v/>
      </c>
      <c r="K1711" s="33">
        <f>IF(H1711="","",ROUND(IF(L1711="휴일근로",MIN(H1711,8)*1.5+MAX(0,H1711-8)*2,I1711*1.5)+N(J1711)*0.5,2))</f>
        <v/>
      </c>
      <c r="L1711" s="18" t="n"/>
      <c r="M1711" s="18" t="n"/>
      <c r="N1711" s="22" t="n"/>
    </row>
    <row r="1712">
      <c r="A1712" s="19" t="n"/>
      <c r="B1712" s="25">
        <f>IF(A1712="","",CHOOSE(WEEKDAY(A1712,2),"월","화","수","목","금","토","일"))</f>
        <v/>
      </c>
      <c r="C1712" s="18" t="n"/>
      <c r="D1712" s="25">
        <f>IFERROR(IF(C1712="","",INDEX(직원명부!$B$5:$B$24,MATCH(C1712,직원명부!$A$5:$A$24,0))),"사번 확인")</f>
        <v/>
      </c>
      <c r="E1712" s="34" t="n"/>
      <c r="F1712" s="34" t="n"/>
      <c r="G1712" s="28" t="n"/>
      <c r="H1712" s="33">
        <f>IF(OR(E1712="",F1712=""),"",ROUND(MOD(F1712-E1712,1)*24-N(G1712),2))</f>
        <v/>
      </c>
      <c r="I1712" s="33">
        <f>IF(H1712="","",ROUND(MAX(0,H1712-8),2))</f>
        <v/>
      </c>
      <c r="J1712" s="33">
        <f>IF(OR(E1712="",F1712=""),"",ROUND(IF(MOD(F1712,1)&gt;=TIME(22,0,0),(MOD(F1712,1)-TIME(22,0,0))*24,IF(MOD(F1712,1)&lt;TIME(6,0,0),(MOD(F1712,1)+1-TIME(22,0,0))*24,0)),2))</f>
        <v/>
      </c>
      <c r="K1712" s="33">
        <f>IF(H1712="","",ROUND(IF(L1712="휴일근로",MIN(H1712,8)*1.5+MAX(0,H1712-8)*2,I1712*1.5)+N(J1712)*0.5,2))</f>
        <v/>
      </c>
      <c r="L1712" s="18" t="n"/>
      <c r="M1712" s="18" t="n"/>
      <c r="N1712" s="22" t="n"/>
    </row>
    <row r="1713">
      <c r="A1713" s="19" t="n"/>
      <c r="B1713" s="25">
        <f>IF(A1713="","",CHOOSE(WEEKDAY(A1713,2),"월","화","수","목","금","토","일"))</f>
        <v/>
      </c>
      <c r="C1713" s="18" t="n"/>
      <c r="D1713" s="25">
        <f>IFERROR(IF(C1713="","",INDEX(직원명부!$B$5:$B$24,MATCH(C1713,직원명부!$A$5:$A$24,0))),"사번 확인")</f>
        <v/>
      </c>
      <c r="E1713" s="34" t="n"/>
      <c r="F1713" s="34" t="n"/>
      <c r="G1713" s="28" t="n"/>
      <c r="H1713" s="33">
        <f>IF(OR(E1713="",F1713=""),"",ROUND(MOD(F1713-E1713,1)*24-N(G1713),2))</f>
        <v/>
      </c>
      <c r="I1713" s="33">
        <f>IF(H1713="","",ROUND(MAX(0,H1713-8),2))</f>
        <v/>
      </c>
      <c r="J1713" s="33">
        <f>IF(OR(E1713="",F1713=""),"",ROUND(IF(MOD(F1713,1)&gt;=TIME(22,0,0),(MOD(F1713,1)-TIME(22,0,0))*24,IF(MOD(F1713,1)&lt;TIME(6,0,0),(MOD(F1713,1)+1-TIME(22,0,0))*24,0)),2))</f>
        <v/>
      </c>
      <c r="K1713" s="33">
        <f>IF(H1713="","",ROUND(IF(L1713="휴일근로",MIN(H1713,8)*1.5+MAX(0,H1713-8)*2,I1713*1.5)+N(J1713)*0.5,2))</f>
        <v/>
      </c>
      <c r="L1713" s="18" t="n"/>
      <c r="M1713" s="18" t="n"/>
      <c r="N1713" s="22" t="n"/>
    </row>
    <row r="1714">
      <c r="A1714" s="19" t="n"/>
      <c r="B1714" s="25">
        <f>IF(A1714="","",CHOOSE(WEEKDAY(A1714,2),"월","화","수","목","금","토","일"))</f>
        <v/>
      </c>
      <c r="C1714" s="18" t="n"/>
      <c r="D1714" s="25">
        <f>IFERROR(IF(C1714="","",INDEX(직원명부!$B$5:$B$24,MATCH(C1714,직원명부!$A$5:$A$24,0))),"사번 확인")</f>
        <v/>
      </c>
      <c r="E1714" s="34" t="n"/>
      <c r="F1714" s="34" t="n"/>
      <c r="G1714" s="28" t="n"/>
      <c r="H1714" s="33">
        <f>IF(OR(E1714="",F1714=""),"",ROUND(MOD(F1714-E1714,1)*24-N(G1714),2))</f>
        <v/>
      </c>
      <c r="I1714" s="33">
        <f>IF(H1714="","",ROUND(MAX(0,H1714-8),2))</f>
        <v/>
      </c>
      <c r="J1714" s="33">
        <f>IF(OR(E1714="",F1714=""),"",ROUND(IF(MOD(F1714,1)&gt;=TIME(22,0,0),(MOD(F1714,1)-TIME(22,0,0))*24,IF(MOD(F1714,1)&lt;TIME(6,0,0),(MOD(F1714,1)+1-TIME(22,0,0))*24,0)),2))</f>
        <v/>
      </c>
      <c r="K1714" s="33">
        <f>IF(H1714="","",ROUND(IF(L1714="휴일근로",MIN(H1714,8)*1.5+MAX(0,H1714-8)*2,I1714*1.5)+N(J1714)*0.5,2))</f>
        <v/>
      </c>
      <c r="L1714" s="18" t="n"/>
      <c r="M1714" s="18" t="n"/>
      <c r="N1714" s="22" t="n"/>
    </row>
    <row r="1715">
      <c r="A1715" s="19" t="n"/>
      <c r="B1715" s="25">
        <f>IF(A1715="","",CHOOSE(WEEKDAY(A1715,2),"월","화","수","목","금","토","일"))</f>
        <v/>
      </c>
      <c r="C1715" s="18" t="n"/>
      <c r="D1715" s="25">
        <f>IFERROR(IF(C1715="","",INDEX(직원명부!$B$5:$B$24,MATCH(C1715,직원명부!$A$5:$A$24,0))),"사번 확인")</f>
        <v/>
      </c>
      <c r="E1715" s="34" t="n"/>
      <c r="F1715" s="34" t="n"/>
      <c r="G1715" s="28" t="n"/>
      <c r="H1715" s="33">
        <f>IF(OR(E1715="",F1715=""),"",ROUND(MOD(F1715-E1715,1)*24-N(G1715),2))</f>
        <v/>
      </c>
      <c r="I1715" s="33">
        <f>IF(H1715="","",ROUND(MAX(0,H1715-8),2))</f>
        <v/>
      </c>
      <c r="J1715" s="33">
        <f>IF(OR(E1715="",F1715=""),"",ROUND(IF(MOD(F1715,1)&gt;=TIME(22,0,0),(MOD(F1715,1)-TIME(22,0,0))*24,IF(MOD(F1715,1)&lt;TIME(6,0,0),(MOD(F1715,1)+1-TIME(22,0,0))*24,0)),2))</f>
        <v/>
      </c>
      <c r="K1715" s="33">
        <f>IF(H1715="","",ROUND(IF(L1715="휴일근로",MIN(H1715,8)*1.5+MAX(0,H1715-8)*2,I1715*1.5)+N(J1715)*0.5,2))</f>
        <v/>
      </c>
      <c r="L1715" s="18" t="n"/>
      <c r="M1715" s="18" t="n"/>
      <c r="N1715" s="22" t="n"/>
    </row>
    <row r="1716">
      <c r="A1716" s="19" t="n"/>
      <c r="B1716" s="25">
        <f>IF(A1716="","",CHOOSE(WEEKDAY(A1716,2),"월","화","수","목","금","토","일"))</f>
        <v/>
      </c>
      <c r="C1716" s="18" t="n"/>
      <c r="D1716" s="25">
        <f>IFERROR(IF(C1716="","",INDEX(직원명부!$B$5:$B$24,MATCH(C1716,직원명부!$A$5:$A$24,0))),"사번 확인")</f>
        <v/>
      </c>
      <c r="E1716" s="34" t="n"/>
      <c r="F1716" s="34" t="n"/>
      <c r="G1716" s="28" t="n"/>
      <c r="H1716" s="33">
        <f>IF(OR(E1716="",F1716=""),"",ROUND(MOD(F1716-E1716,1)*24-N(G1716),2))</f>
        <v/>
      </c>
      <c r="I1716" s="33">
        <f>IF(H1716="","",ROUND(MAX(0,H1716-8),2))</f>
        <v/>
      </c>
      <c r="J1716" s="33">
        <f>IF(OR(E1716="",F1716=""),"",ROUND(IF(MOD(F1716,1)&gt;=TIME(22,0,0),(MOD(F1716,1)-TIME(22,0,0))*24,IF(MOD(F1716,1)&lt;TIME(6,0,0),(MOD(F1716,1)+1-TIME(22,0,0))*24,0)),2))</f>
        <v/>
      </c>
      <c r="K1716" s="33">
        <f>IF(H1716="","",ROUND(IF(L1716="휴일근로",MIN(H1716,8)*1.5+MAX(0,H1716-8)*2,I1716*1.5)+N(J1716)*0.5,2))</f>
        <v/>
      </c>
      <c r="L1716" s="18" t="n"/>
      <c r="M1716" s="18" t="n"/>
      <c r="N1716" s="22" t="n"/>
    </row>
    <row r="1717">
      <c r="A1717" s="19" t="n"/>
      <c r="B1717" s="25">
        <f>IF(A1717="","",CHOOSE(WEEKDAY(A1717,2),"월","화","수","목","금","토","일"))</f>
        <v/>
      </c>
      <c r="C1717" s="18" t="n"/>
      <c r="D1717" s="25">
        <f>IFERROR(IF(C1717="","",INDEX(직원명부!$B$5:$B$24,MATCH(C1717,직원명부!$A$5:$A$24,0))),"사번 확인")</f>
        <v/>
      </c>
      <c r="E1717" s="34" t="n"/>
      <c r="F1717" s="34" t="n"/>
      <c r="G1717" s="28" t="n"/>
      <c r="H1717" s="33">
        <f>IF(OR(E1717="",F1717=""),"",ROUND(MOD(F1717-E1717,1)*24-N(G1717),2))</f>
        <v/>
      </c>
      <c r="I1717" s="33">
        <f>IF(H1717="","",ROUND(MAX(0,H1717-8),2))</f>
        <v/>
      </c>
      <c r="J1717" s="33">
        <f>IF(OR(E1717="",F1717=""),"",ROUND(IF(MOD(F1717,1)&gt;=TIME(22,0,0),(MOD(F1717,1)-TIME(22,0,0))*24,IF(MOD(F1717,1)&lt;TIME(6,0,0),(MOD(F1717,1)+1-TIME(22,0,0))*24,0)),2))</f>
        <v/>
      </c>
      <c r="K1717" s="33">
        <f>IF(H1717="","",ROUND(IF(L1717="휴일근로",MIN(H1717,8)*1.5+MAX(0,H1717-8)*2,I1717*1.5)+N(J1717)*0.5,2))</f>
        <v/>
      </c>
      <c r="L1717" s="18" t="n"/>
      <c r="M1717" s="18" t="n"/>
      <c r="N1717" s="22" t="n"/>
    </row>
    <row r="1718">
      <c r="A1718" s="19" t="n"/>
      <c r="B1718" s="25">
        <f>IF(A1718="","",CHOOSE(WEEKDAY(A1718,2),"월","화","수","목","금","토","일"))</f>
        <v/>
      </c>
      <c r="C1718" s="18" t="n"/>
      <c r="D1718" s="25">
        <f>IFERROR(IF(C1718="","",INDEX(직원명부!$B$5:$B$24,MATCH(C1718,직원명부!$A$5:$A$24,0))),"사번 확인")</f>
        <v/>
      </c>
      <c r="E1718" s="34" t="n"/>
      <c r="F1718" s="34" t="n"/>
      <c r="G1718" s="28" t="n"/>
      <c r="H1718" s="33">
        <f>IF(OR(E1718="",F1718=""),"",ROUND(MOD(F1718-E1718,1)*24-N(G1718),2))</f>
        <v/>
      </c>
      <c r="I1718" s="33">
        <f>IF(H1718="","",ROUND(MAX(0,H1718-8),2))</f>
        <v/>
      </c>
      <c r="J1718" s="33">
        <f>IF(OR(E1718="",F1718=""),"",ROUND(IF(MOD(F1718,1)&gt;=TIME(22,0,0),(MOD(F1718,1)-TIME(22,0,0))*24,IF(MOD(F1718,1)&lt;TIME(6,0,0),(MOD(F1718,1)+1-TIME(22,0,0))*24,0)),2))</f>
        <v/>
      </c>
      <c r="K1718" s="33">
        <f>IF(H1718="","",ROUND(IF(L1718="휴일근로",MIN(H1718,8)*1.5+MAX(0,H1718-8)*2,I1718*1.5)+N(J1718)*0.5,2))</f>
        <v/>
      </c>
      <c r="L1718" s="18" t="n"/>
      <c r="M1718" s="18" t="n"/>
      <c r="N1718" s="22" t="n"/>
    </row>
    <row r="1719">
      <c r="A1719" s="19" t="n"/>
      <c r="B1719" s="25">
        <f>IF(A1719="","",CHOOSE(WEEKDAY(A1719,2),"월","화","수","목","금","토","일"))</f>
        <v/>
      </c>
      <c r="C1719" s="18" t="n"/>
      <c r="D1719" s="25">
        <f>IFERROR(IF(C1719="","",INDEX(직원명부!$B$5:$B$24,MATCH(C1719,직원명부!$A$5:$A$24,0))),"사번 확인")</f>
        <v/>
      </c>
      <c r="E1719" s="34" t="n"/>
      <c r="F1719" s="34" t="n"/>
      <c r="G1719" s="28" t="n"/>
      <c r="H1719" s="33">
        <f>IF(OR(E1719="",F1719=""),"",ROUND(MOD(F1719-E1719,1)*24-N(G1719),2))</f>
        <v/>
      </c>
      <c r="I1719" s="33">
        <f>IF(H1719="","",ROUND(MAX(0,H1719-8),2))</f>
        <v/>
      </c>
      <c r="J1719" s="33">
        <f>IF(OR(E1719="",F1719=""),"",ROUND(IF(MOD(F1719,1)&gt;=TIME(22,0,0),(MOD(F1719,1)-TIME(22,0,0))*24,IF(MOD(F1719,1)&lt;TIME(6,0,0),(MOD(F1719,1)+1-TIME(22,0,0))*24,0)),2))</f>
        <v/>
      </c>
      <c r="K1719" s="33">
        <f>IF(H1719="","",ROUND(IF(L1719="휴일근로",MIN(H1719,8)*1.5+MAX(0,H1719-8)*2,I1719*1.5)+N(J1719)*0.5,2))</f>
        <v/>
      </c>
      <c r="L1719" s="18" t="n"/>
      <c r="M1719" s="18" t="n"/>
      <c r="N1719" s="22" t="n"/>
    </row>
    <row r="1720">
      <c r="A1720" s="19" t="n"/>
      <c r="B1720" s="25">
        <f>IF(A1720="","",CHOOSE(WEEKDAY(A1720,2),"월","화","수","목","금","토","일"))</f>
        <v/>
      </c>
      <c r="C1720" s="18" t="n"/>
      <c r="D1720" s="25">
        <f>IFERROR(IF(C1720="","",INDEX(직원명부!$B$5:$B$24,MATCH(C1720,직원명부!$A$5:$A$24,0))),"사번 확인")</f>
        <v/>
      </c>
      <c r="E1720" s="34" t="n"/>
      <c r="F1720" s="34" t="n"/>
      <c r="G1720" s="28" t="n"/>
      <c r="H1720" s="33">
        <f>IF(OR(E1720="",F1720=""),"",ROUND(MOD(F1720-E1720,1)*24-N(G1720),2))</f>
        <v/>
      </c>
      <c r="I1720" s="33">
        <f>IF(H1720="","",ROUND(MAX(0,H1720-8),2))</f>
        <v/>
      </c>
      <c r="J1720" s="33">
        <f>IF(OR(E1720="",F1720=""),"",ROUND(IF(MOD(F1720,1)&gt;=TIME(22,0,0),(MOD(F1720,1)-TIME(22,0,0))*24,IF(MOD(F1720,1)&lt;TIME(6,0,0),(MOD(F1720,1)+1-TIME(22,0,0))*24,0)),2))</f>
        <v/>
      </c>
      <c r="K1720" s="33">
        <f>IF(H1720="","",ROUND(IF(L1720="휴일근로",MIN(H1720,8)*1.5+MAX(0,H1720-8)*2,I1720*1.5)+N(J1720)*0.5,2))</f>
        <v/>
      </c>
      <c r="L1720" s="18" t="n"/>
      <c r="M1720" s="18" t="n"/>
      <c r="N1720" s="22" t="n"/>
    </row>
    <row r="1721">
      <c r="A1721" s="19" t="n"/>
      <c r="B1721" s="25">
        <f>IF(A1721="","",CHOOSE(WEEKDAY(A1721,2),"월","화","수","목","금","토","일"))</f>
        <v/>
      </c>
      <c r="C1721" s="18" t="n"/>
      <c r="D1721" s="25">
        <f>IFERROR(IF(C1721="","",INDEX(직원명부!$B$5:$B$24,MATCH(C1721,직원명부!$A$5:$A$24,0))),"사번 확인")</f>
        <v/>
      </c>
      <c r="E1721" s="34" t="n"/>
      <c r="F1721" s="34" t="n"/>
      <c r="G1721" s="28" t="n"/>
      <c r="H1721" s="33">
        <f>IF(OR(E1721="",F1721=""),"",ROUND(MOD(F1721-E1721,1)*24-N(G1721),2))</f>
        <v/>
      </c>
      <c r="I1721" s="33">
        <f>IF(H1721="","",ROUND(MAX(0,H1721-8),2))</f>
        <v/>
      </c>
      <c r="J1721" s="33">
        <f>IF(OR(E1721="",F1721=""),"",ROUND(IF(MOD(F1721,1)&gt;=TIME(22,0,0),(MOD(F1721,1)-TIME(22,0,0))*24,IF(MOD(F1721,1)&lt;TIME(6,0,0),(MOD(F1721,1)+1-TIME(22,0,0))*24,0)),2))</f>
        <v/>
      </c>
      <c r="K1721" s="33">
        <f>IF(H1721="","",ROUND(IF(L1721="휴일근로",MIN(H1721,8)*1.5+MAX(0,H1721-8)*2,I1721*1.5)+N(J1721)*0.5,2))</f>
        <v/>
      </c>
      <c r="L1721" s="18" t="n"/>
      <c r="M1721" s="18" t="n"/>
      <c r="N1721" s="22" t="n"/>
    </row>
    <row r="1722">
      <c r="A1722" s="19" t="n"/>
      <c r="B1722" s="25">
        <f>IF(A1722="","",CHOOSE(WEEKDAY(A1722,2),"월","화","수","목","금","토","일"))</f>
        <v/>
      </c>
      <c r="C1722" s="18" t="n"/>
      <c r="D1722" s="25">
        <f>IFERROR(IF(C1722="","",INDEX(직원명부!$B$5:$B$24,MATCH(C1722,직원명부!$A$5:$A$24,0))),"사번 확인")</f>
        <v/>
      </c>
      <c r="E1722" s="34" t="n"/>
      <c r="F1722" s="34" t="n"/>
      <c r="G1722" s="28" t="n"/>
      <c r="H1722" s="33">
        <f>IF(OR(E1722="",F1722=""),"",ROUND(MOD(F1722-E1722,1)*24-N(G1722),2))</f>
        <v/>
      </c>
      <c r="I1722" s="33">
        <f>IF(H1722="","",ROUND(MAX(0,H1722-8),2))</f>
        <v/>
      </c>
      <c r="J1722" s="33">
        <f>IF(OR(E1722="",F1722=""),"",ROUND(IF(MOD(F1722,1)&gt;=TIME(22,0,0),(MOD(F1722,1)-TIME(22,0,0))*24,IF(MOD(F1722,1)&lt;TIME(6,0,0),(MOD(F1722,1)+1-TIME(22,0,0))*24,0)),2))</f>
        <v/>
      </c>
      <c r="K1722" s="33">
        <f>IF(H1722="","",ROUND(IF(L1722="휴일근로",MIN(H1722,8)*1.5+MAX(0,H1722-8)*2,I1722*1.5)+N(J1722)*0.5,2))</f>
        <v/>
      </c>
      <c r="L1722" s="18" t="n"/>
      <c r="M1722" s="18" t="n"/>
      <c r="N1722" s="22" t="n"/>
    </row>
    <row r="1723">
      <c r="A1723" s="19" t="n"/>
      <c r="B1723" s="25">
        <f>IF(A1723="","",CHOOSE(WEEKDAY(A1723,2),"월","화","수","목","금","토","일"))</f>
        <v/>
      </c>
      <c r="C1723" s="18" t="n"/>
      <c r="D1723" s="25">
        <f>IFERROR(IF(C1723="","",INDEX(직원명부!$B$5:$B$24,MATCH(C1723,직원명부!$A$5:$A$24,0))),"사번 확인")</f>
        <v/>
      </c>
      <c r="E1723" s="34" t="n"/>
      <c r="F1723" s="34" t="n"/>
      <c r="G1723" s="28" t="n"/>
      <c r="H1723" s="33">
        <f>IF(OR(E1723="",F1723=""),"",ROUND(MOD(F1723-E1723,1)*24-N(G1723),2))</f>
        <v/>
      </c>
      <c r="I1723" s="33">
        <f>IF(H1723="","",ROUND(MAX(0,H1723-8),2))</f>
        <v/>
      </c>
      <c r="J1723" s="33">
        <f>IF(OR(E1723="",F1723=""),"",ROUND(IF(MOD(F1723,1)&gt;=TIME(22,0,0),(MOD(F1723,1)-TIME(22,0,0))*24,IF(MOD(F1723,1)&lt;TIME(6,0,0),(MOD(F1723,1)+1-TIME(22,0,0))*24,0)),2))</f>
        <v/>
      </c>
      <c r="K1723" s="33">
        <f>IF(H1723="","",ROUND(IF(L1723="휴일근로",MIN(H1723,8)*1.5+MAX(0,H1723-8)*2,I1723*1.5)+N(J1723)*0.5,2))</f>
        <v/>
      </c>
      <c r="L1723" s="18" t="n"/>
      <c r="M1723" s="18" t="n"/>
      <c r="N1723" s="22" t="n"/>
    </row>
    <row r="1724">
      <c r="A1724" s="19" t="n"/>
      <c r="B1724" s="25">
        <f>IF(A1724="","",CHOOSE(WEEKDAY(A1724,2),"월","화","수","목","금","토","일"))</f>
        <v/>
      </c>
      <c r="C1724" s="18" t="n"/>
      <c r="D1724" s="25">
        <f>IFERROR(IF(C1724="","",INDEX(직원명부!$B$5:$B$24,MATCH(C1724,직원명부!$A$5:$A$24,0))),"사번 확인")</f>
        <v/>
      </c>
      <c r="E1724" s="34" t="n"/>
      <c r="F1724" s="34" t="n"/>
      <c r="G1724" s="28" t="n"/>
      <c r="H1724" s="33">
        <f>IF(OR(E1724="",F1724=""),"",ROUND(MOD(F1724-E1724,1)*24-N(G1724),2))</f>
        <v/>
      </c>
      <c r="I1724" s="33">
        <f>IF(H1724="","",ROUND(MAX(0,H1724-8),2))</f>
        <v/>
      </c>
      <c r="J1724" s="33">
        <f>IF(OR(E1724="",F1724=""),"",ROUND(IF(MOD(F1724,1)&gt;=TIME(22,0,0),(MOD(F1724,1)-TIME(22,0,0))*24,IF(MOD(F1724,1)&lt;TIME(6,0,0),(MOD(F1724,1)+1-TIME(22,0,0))*24,0)),2))</f>
        <v/>
      </c>
      <c r="K1724" s="33">
        <f>IF(H1724="","",ROUND(IF(L1724="휴일근로",MIN(H1724,8)*1.5+MAX(0,H1724-8)*2,I1724*1.5)+N(J1724)*0.5,2))</f>
        <v/>
      </c>
      <c r="L1724" s="18" t="n"/>
      <c r="M1724" s="18" t="n"/>
      <c r="N1724" s="22" t="n"/>
    </row>
    <row r="1725">
      <c r="A1725" s="19" t="n"/>
      <c r="B1725" s="25">
        <f>IF(A1725="","",CHOOSE(WEEKDAY(A1725,2),"월","화","수","목","금","토","일"))</f>
        <v/>
      </c>
      <c r="C1725" s="18" t="n"/>
      <c r="D1725" s="25">
        <f>IFERROR(IF(C1725="","",INDEX(직원명부!$B$5:$B$24,MATCH(C1725,직원명부!$A$5:$A$24,0))),"사번 확인")</f>
        <v/>
      </c>
      <c r="E1725" s="34" t="n"/>
      <c r="F1725" s="34" t="n"/>
      <c r="G1725" s="28" t="n"/>
      <c r="H1725" s="33">
        <f>IF(OR(E1725="",F1725=""),"",ROUND(MOD(F1725-E1725,1)*24-N(G1725),2))</f>
        <v/>
      </c>
      <c r="I1725" s="33">
        <f>IF(H1725="","",ROUND(MAX(0,H1725-8),2))</f>
        <v/>
      </c>
      <c r="J1725" s="33">
        <f>IF(OR(E1725="",F1725=""),"",ROUND(IF(MOD(F1725,1)&gt;=TIME(22,0,0),(MOD(F1725,1)-TIME(22,0,0))*24,IF(MOD(F1725,1)&lt;TIME(6,0,0),(MOD(F1725,1)+1-TIME(22,0,0))*24,0)),2))</f>
        <v/>
      </c>
      <c r="K1725" s="33">
        <f>IF(H1725="","",ROUND(IF(L1725="휴일근로",MIN(H1725,8)*1.5+MAX(0,H1725-8)*2,I1725*1.5)+N(J1725)*0.5,2))</f>
        <v/>
      </c>
      <c r="L1725" s="18" t="n"/>
      <c r="M1725" s="18" t="n"/>
      <c r="N1725" s="22" t="n"/>
    </row>
    <row r="1726">
      <c r="A1726" s="19" t="n"/>
      <c r="B1726" s="25">
        <f>IF(A1726="","",CHOOSE(WEEKDAY(A1726,2),"월","화","수","목","금","토","일"))</f>
        <v/>
      </c>
      <c r="C1726" s="18" t="n"/>
      <c r="D1726" s="25">
        <f>IFERROR(IF(C1726="","",INDEX(직원명부!$B$5:$B$24,MATCH(C1726,직원명부!$A$5:$A$24,0))),"사번 확인")</f>
        <v/>
      </c>
      <c r="E1726" s="34" t="n"/>
      <c r="F1726" s="34" t="n"/>
      <c r="G1726" s="28" t="n"/>
      <c r="H1726" s="33">
        <f>IF(OR(E1726="",F1726=""),"",ROUND(MOD(F1726-E1726,1)*24-N(G1726),2))</f>
        <v/>
      </c>
      <c r="I1726" s="33">
        <f>IF(H1726="","",ROUND(MAX(0,H1726-8),2))</f>
        <v/>
      </c>
      <c r="J1726" s="33">
        <f>IF(OR(E1726="",F1726=""),"",ROUND(IF(MOD(F1726,1)&gt;=TIME(22,0,0),(MOD(F1726,1)-TIME(22,0,0))*24,IF(MOD(F1726,1)&lt;TIME(6,0,0),(MOD(F1726,1)+1-TIME(22,0,0))*24,0)),2))</f>
        <v/>
      </c>
      <c r="K1726" s="33">
        <f>IF(H1726="","",ROUND(IF(L1726="휴일근로",MIN(H1726,8)*1.5+MAX(0,H1726-8)*2,I1726*1.5)+N(J1726)*0.5,2))</f>
        <v/>
      </c>
      <c r="L1726" s="18" t="n"/>
      <c r="M1726" s="18" t="n"/>
      <c r="N1726" s="22" t="n"/>
    </row>
    <row r="1727">
      <c r="A1727" s="19" t="n"/>
      <c r="B1727" s="25">
        <f>IF(A1727="","",CHOOSE(WEEKDAY(A1727,2),"월","화","수","목","금","토","일"))</f>
        <v/>
      </c>
      <c r="C1727" s="18" t="n"/>
      <c r="D1727" s="25">
        <f>IFERROR(IF(C1727="","",INDEX(직원명부!$B$5:$B$24,MATCH(C1727,직원명부!$A$5:$A$24,0))),"사번 확인")</f>
        <v/>
      </c>
      <c r="E1727" s="34" t="n"/>
      <c r="F1727" s="34" t="n"/>
      <c r="G1727" s="28" t="n"/>
      <c r="H1727" s="33">
        <f>IF(OR(E1727="",F1727=""),"",ROUND(MOD(F1727-E1727,1)*24-N(G1727),2))</f>
        <v/>
      </c>
      <c r="I1727" s="33">
        <f>IF(H1727="","",ROUND(MAX(0,H1727-8),2))</f>
        <v/>
      </c>
      <c r="J1727" s="33">
        <f>IF(OR(E1727="",F1727=""),"",ROUND(IF(MOD(F1727,1)&gt;=TIME(22,0,0),(MOD(F1727,1)-TIME(22,0,0))*24,IF(MOD(F1727,1)&lt;TIME(6,0,0),(MOD(F1727,1)+1-TIME(22,0,0))*24,0)),2))</f>
        <v/>
      </c>
      <c r="K1727" s="33">
        <f>IF(H1727="","",ROUND(IF(L1727="휴일근로",MIN(H1727,8)*1.5+MAX(0,H1727-8)*2,I1727*1.5)+N(J1727)*0.5,2))</f>
        <v/>
      </c>
      <c r="L1727" s="18" t="n"/>
      <c r="M1727" s="18" t="n"/>
      <c r="N1727" s="22" t="n"/>
    </row>
    <row r="1728">
      <c r="A1728" s="19" t="n"/>
      <c r="B1728" s="25">
        <f>IF(A1728="","",CHOOSE(WEEKDAY(A1728,2),"월","화","수","목","금","토","일"))</f>
        <v/>
      </c>
      <c r="C1728" s="18" t="n"/>
      <c r="D1728" s="25">
        <f>IFERROR(IF(C1728="","",INDEX(직원명부!$B$5:$B$24,MATCH(C1728,직원명부!$A$5:$A$24,0))),"사번 확인")</f>
        <v/>
      </c>
      <c r="E1728" s="34" t="n"/>
      <c r="F1728" s="34" t="n"/>
      <c r="G1728" s="28" t="n"/>
      <c r="H1728" s="33">
        <f>IF(OR(E1728="",F1728=""),"",ROUND(MOD(F1728-E1728,1)*24-N(G1728),2))</f>
        <v/>
      </c>
      <c r="I1728" s="33">
        <f>IF(H1728="","",ROUND(MAX(0,H1728-8),2))</f>
        <v/>
      </c>
      <c r="J1728" s="33">
        <f>IF(OR(E1728="",F1728=""),"",ROUND(IF(MOD(F1728,1)&gt;=TIME(22,0,0),(MOD(F1728,1)-TIME(22,0,0))*24,IF(MOD(F1728,1)&lt;TIME(6,0,0),(MOD(F1728,1)+1-TIME(22,0,0))*24,0)),2))</f>
        <v/>
      </c>
      <c r="K1728" s="33">
        <f>IF(H1728="","",ROUND(IF(L1728="휴일근로",MIN(H1728,8)*1.5+MAX(0,H1728-8)*2,I1728*1.5)+N(J1728)*0.5,2))</f>
        <v/>
      </c>
      <c r="L1728" s="18" t="n"/>
      <c r="M1728" s="18" t="n"/>
      <c r="N1728" s="22" t="n"/>
    </row>
    <row r="1729">
      <c r="A1729" s="19" t="n"/>
      <c r="B1729" s="25">
        <f>IF(A1729="","",CHOOSE(WEEKDAY(A1729,2),"월","화","수","목","금","토","일"))</f>
        <v/>
      </c>
      <c r="C1729" s="18" t="n"/>
      <c r="D1729" s="25">
        <f>IFERROR(IF(C1729="","",INDEX(직원명부!$B$5:$B$24,MATCH(C1729,직원명부!$A$5:$A$24,0))),"사번 확인")</f>
        <v/>
      </c>
      <c r="E1729" s="34" t="n"/>
      <c r="F1729" s="34" t="n"/>
      <c r="G1729" s="28" t="n"/>
      <c r="H1729" s="33">
        <f>IF(OR(E1729="",F1729=""),"",ROUND(MOD(F1729-E1729,1)*24-N(G1729),2))</f>
        <v/>
      </c>
      <c r="I1729" s="33">
        <f>IF(H1729="","",ROUND(MAX(0,H1729-8),2))</f>
        <v/>
      </c>
      <c r="J1729" s="33">
        <f>IF(OR(E1729="",F1729=""),"",ROUND(IF(MOD(F1729,1)&gt;=TIME(22,0,0),(MOD(F1729,1)-TIME(22,0,0))*24,IF(MOD(F1729,1)&lt;TIME(6,0,0),(MOD(F1729,1)+1-TIME(22,0,0))*24,0)),2))</f>
        <v/>
      </c>
      <c r="K1729" s="33">
        <f>IF(H1729="","",ROUND(IF(L1729="휴일근로",MIN(H1729,8)*1.5+MAX(0,H1729-8)*2,I1729*1.5)+N(J1729)*0.5,2))</f>
        <v/>
      </c>
      <c r="L1729" s="18" t="n"/>
      <c r="M1729" s="18" t="n"/>
      <c r="N1729" s="22" t="n"/>
    </row>
    <row r="1730">
      <c r="A1730" s="19" t="n"/>
      <c r="B1730" s="25">
        <f>IF(A1730="","",CHOOSE(WEEKDAY(A1730,2),"월","화","수","목","금","토","일"))</f>
        <v/>
      </c>
      <c r="C1730" s="18" t="n"/>
      <c r="D1730" s="25">
        <f>IFERROR(IF(C1730="","",INDEX(직원명부!$B$5:$B$24,MATCH(C1730,직원명부!$A$5:$A$24,0))),"사번 확인")</f>
        <v/>
      </c>
      <c r="E1730" s="34" t="n"/>
      <c r="F1730" s="34" t="n"/>
      <c r="G1730" s="28" t="n"/>
      <c r="H1730" s="33">
        <f>IF(OR(E1730="",F1730=""),"",ROUND(MOD(F1730-E1730,1)*24-N(G1730),2))</f>
        <v/>
      </c>
      <c r="I1730" s="33">
        <f>IF(H1730="","",ROUND(MAX(0,H1730-8),2))</f>
        <v/>
      </c>
      <c r="J1730" s="33">
        <f>IF(OR(E1730="",F1730=""),"",ROUND(IF(MOD(F1730,1)&gt;=TIME(22,0,0),(MOD(F1730,1)-TIME(22,0,0))*24,IF(MOD(F1730,1)&lt;TIME(6,0,0),(MOD(F1730,1)+1-TIME(22,0,0))*24,0)),2))</f>
        <v/>
      </c>
      <c r="K1730" s="33">
        <f>IF(H1730="","",ROUND(IF(L1730="휴일근로",MIN(H1730,8)*1.5+MAX(0,H1730-8)*2,I1730*1.5)+N(J1730)*0.5,2))</f>
        <v/>
      </c>
      <c r="L1730" s="18" t="n"/>
      <c r="M1730" s="18" t="n"/>
      <c r="N1730" s="22" t="n"/>
    </row>
    <row r="1731">
      <c r="A1731" s="19" t="n"/>
      <c r="B1731" s="25">
        <f>IF(A1731="","",CHOOSE(WEEKDAY(A1731,2),"월","화","수","목","금","토","일"))</f>
        <v/>
      </c>
      <c r="C1731" s="18" t="n"/>
      <c r="D1731" s="25">
        <f>IFERROR(IF(C1731="","",INDEX(직원명부!$B$5:$B$24,MATCH(C1731,직원명부!$A$5:$A$24,0))),"사번 확인")</f>
        <v/>
      </c>
      <c r="E1731" s="34" t="n"/>
      <c r="F1731" s="34" t="n"/>
      <c r="G1731" s="28" t="n"/>
      <c r="H1731" s="33">
        <f>IF(OR(E1731="",F1731=""),"",ROUND(MOD(F1731-E1731,1)*24-N(G1731),2))</f>
        <v/>
      </c>
      <c r="I1731" s="33">
        <f>IF(H1731="","",ROUND(MAX(0,H1731-8),2))</f>
        <v/>
      </c>
      <c r="J1731" s="33">
        <f>IF(OR(E1731="",F1731=""),"",ROUND(IF(MOD(F1731,1)&gt;=TIME(22,0,0),(MOD(F1731,1)-TIME(22,0,0))*24,IF(MOD(F1731,1)&lt;TIME(6,0,0),(MOD(F1731,1)+1-TIME(22,0,0))*24,0)),2))</f>
        <v/>
      </c>
      <c r="K1731" s="33">
        <f>IF(H1731="","",ROUND(IF(L1731="휴일근로",MIN(H1731,8)*1.5+MAX(0,H1731-8)*2,I1731*1.5)+N(J1731)*0.5,2))</f>
        <v/>
      </c>
      <c r="L1731" s="18" t="n"/>
      <c r="M1731" s="18" t="n"/>
      <c r="N1731" s="22" t="n"/>
    </row>
    <row r="1732">
      <c r="A1732" s="19" t="n"/>
      <c r="B1732" s="25">
        <f>IF(A1732="","",CHOOSE(WEEKDAY(A1732,2),"월","화","수","목","금","토","일"))</f>
        <v/>
      </c>
      <c r="C1732" s="18" t="n"/>
      <c r="D1732" s="25">
        <f>IFERROR(IF(C1732="","",INDEX(직원명부!$B$5:$B$24,MATCH(C1732,직원명부!$A$5:$A$24,0))),"사번 확인")</f>
        <v/>
      </c>
      <c r="E1732" s="34" t="n"/>
      <c r="F1732" s="34" t="n"/>
      <c r="G1732" s="28" t="n"/>
      <c r="H1732" s="33">
        <f>IF(OR(E1732="",F1732=""),"",ROUND(MOD(F1732-E1732,1)*24-N(G1732),2))</f>
        <v/>
      </c>
      <c r="I1732" s="33">
        <f>IF(H1732="","",ROUND(MAX(0,H1732-8),2))</f>
        <v/>
      </c>
      <c r="J1732" s="33">
        <f>IF(OR(E1732="",F1732=""),"",ROUND(IF(MOD(F1732,1)&gt;=TIME(22,0,0),(MOD(F1732,1)-TIME(22,0,0))*24,IF(MOD(F1732,1)&lt;TIME(6,0,0),(MOD(F1732,1)+1-TIME(22,0,0))*24,0)),2))</f>
        <v/>
      </c>
      <c r="K1732" s="33">
        <f>IF(H1732="","",ROUND(IF(L1732="휴일근로",MIN(H1732,8)*1.5+MAX(0,H1732-8)*2,I1732*1.5)+N(J1732)*0.5,2))</f>
        <v/>
      </c>
      <c r="L1732" s="18" t="n"/>
      <c r="M1732" s="18" t="n"/>
      <c r="N1732" s="22" t="n"/>
    </row>
    <row r="1733">
      <c r="A1733" s="19" t="n"/>
      <c r="B1733" s="25">
        <f>IF(A1733="","",CHOOSE(WEEKDAY(A1733,2),"월","화","수","목","금","토","일"))</f>
        <v/>
      </c>
      <c r="C1733" s="18" t="n"/>
      <c r="D1733" s="25">
        <f>IFERROR(IF(C1733="","",INDEX(직원명부!$B$5:$B$24,MATCH(C1733,직원명부!$A$5:$A$24,0))),"사번 확인")</f>
        <v/>
      </c>
      <c r="E1733" s="34" t="n"/>
      <c r="F1733" s="34" t="n"/>
      <c r="G1733" s="28" t="n"/>
      <c r="H1733" s="33">
        <f>IF(OR(E1733="",F1733=""),"",ROUND(MOD(F1733-E1733,1)*24-N(G1733),2))</f>
        <v/>
      </c>
      <c r="I1733" s="33">
        <f>IF(H1733="","",ROUND(MAX(0,H1733-8),2))</f>
        <v/>
      </c>
      <c r="J1733" s="33">
        <f>IF(OR(E1733="",F1733=""),"",ROUND(IF(MOD(F1733,1)&gt;=TIME(22,0,0),(MOD(F1733,1)-TIME(22,0,0))*24,IF(MOD(F1733,1)&lt;TIME(6,0,0),(MOD(F1733,1)+1-TIME(22,0,0))*24,0)),2))</f>
        <v/>
      </c>
      <c r="K1733" s="33">
        <f>IF(H1733="","",ROUND(IF(L1733="휴일근로",MIN(H1733,8)*1.5+MAX(0,H1733-8)*2,I1733*1.5)+N(J1733)*0.5,2))</f>
        <v/>
      </c>
      <c r="L1733" s="18" t="n"/>
      <c r="M1733" s="18" t="n"/>
      <c r="N1733" s="22" t="n"/>
    </row>
    <row r="1734">
      <c r="A1734" s="19" t="n"/>
      <c r="B1734" s="25">
        <f>IF(A1734="","",CHOOSE(WEEKDAY(A1734,2),"월","화","수","목","금","토","일"))</f>
        <v/>
      </c>
      <c r="C1734" s="18" t="n"/>
      <c r="D1734" s="25">
        <f>IFERROR(IF(C1734="","",INDEX(직원명부!$B$5:$B$24,MATCH(C1734,직원명부!$A$5:$A$24,0))),"사번 확인")</f>
        <v/>
      </c>
      <c r="E1734" s="34" t="n"/>
      <c r="F1734" s="34" t="n"/>
      <c r="G1734" s="28" t="n"/>
      <c r="H1734" s="33">
        <f>IF(OR(E1734="",F1734=""),"",ROUND(MOD(F1734-E1734,1)*24-N(G1734),2))</f>
        <v/>
      </c>
      <c r="I1734" s="33">
        <f>IF(H1734="","",ROUND(MAX(0,H1734-8),2))</f>
        <v/>
      </c>
      <c r="J1734" s="33">
        <f>IF(OR(E1734="",F1734=""),"",ROUND(IF(MOD(F1734,1)&gt;=TIME(22,0,0),(MOD(F1734,1)-TIME(22,0,0))*24,IF(MOD(F1734,1)&lt;TIME(6,0,0),(MOD(F1734,1)+1-TIME(22,0,0))*24,0)),2))</f>
        <v/>
      </c>
      <c r="K1734" s="33">
        <f>IF(H1734="","",ROUND(IF(L1734="휴일근로",MIN(H1734,8)*1.5+MAX(0,H1734-8)*2,I1734*1.5)+N(J1734)*0.5,2))</f>
        <v/>
      </c>
      <c r="L1734" s="18" t="n"/>
      <c r="M1734" s="18" t="n"/>
      <c r="N1734" s="22" t="n"/>
    </row>
    <row r="1735">
      <c r="A1735" s="19" t="n"/>
      <c r="B1735" s="25">
        <f>IF(A1735="","",CHOOSE(WEEKDAY(A1735,2),"월","화","수","목","금","토","일"))</f>
        <v/>
      </c>
      <c r="C1735" s="18" t="n"/>
      <c r="D1735" s="25">
        <f>IFERROR(IF(C1735="","",INDEX(직원명부!$B$5:$B$24,MATCH(C1735,직원명부!$A$5:$A$24,0))),"사번 확인")</f>
        <v/>
      </c>
      <c r="E1735" s="34" t="n"/>
      <c r="F1735" s="34" t="n"/>
      <c r="G1735" s="28" t="n"/>
      <c r="H1735" s="33">
        <f>IF(OR(E1735="",F1735=""),"",ROUND(MOD(F1735-E1735,1)*24-N(G1735),2))</f>
        <v/>
      </c>
      <c r="I1735" s="33">
        <f>IF(H1735="","",ROUND(MAX(0,H1735-8),2))</f>
        <v/>
      </c>
      <c r="J1735" s="33">
        <f>IF(OR(E1735="",F1735=""),"",ROUND(IF(MOD(F1735,1)&gt;=TIME(22,0,0),(MOD(F1735,1)-TIME(22,0,0))*24,IF(MOD(F1735,1)&lt;TIME(6,0,0),(MOD(F1735,1)+1-TIME(22,0,0))*24,0)),2))</f>
        <v/>
      </c>
      <c r="K1735" s="33">
        <f>IF(H1735="","",ROUND(IF(L1735="휴일근로",MIN(H1735,8)*1.5+MAX(0,H1735-8)*2,I1735*1.5)+N(J1735)*0.5,2))</f>
        <v/>
      </c>
      <c r="L1735" s="18" t="n"/>
      <c r="M1735" s="18" t="n"/>
      <c r="N1735" s="22" t="n"/>
    </row>
    <row r="1736">
      <c r="A1736" s="19" t="n"/>
      <c r="B1736" s="25">
        <f>IF(A1736="","",CHOOSE(WEEKDAY(A1736,2),"월","화","수","목","금","토","일"))</f>
        <v/>
      </c>
      <c r="C1736" s="18" t="n"/>
      <c r="D1736" s="25">
        <f>IFERROR(IF(C1736="","",INDEX(직원명부!$B$5:$B$24,MATCH(C1736,직원명부!$A$5:$A$24,0))),"사번 확인")</f>
        <v/>
      </c>
      <c r="E1736" s="34" t="n"/>
      <c r="F1736" s="34" t="n"/>
      <c r="G1736" s="28" t="n"/>
      <c r="H1736" s="33">
        <f>IF(OR(E1736="",F1736=""),"",ROUND(MOD(F1736-E1736,1)*24-N(G1736),2))</f>
        <v/>
      </c>
      <c r="I1736" s="33">
        <f>IF(H1736="","",ROUND(MAX(0,H1736-8),2))</f>
        <v/>
      </c>
      <c r="J1736" s="33">
        <f>IF(OR(E1736="",F1736=""),"",ROUND(IF(MOD(F1736,1)&gt;=TIME(22,0,0),(MOD(F1736,1)-TIME(22,0,0))*24,IF(MOD(F1736,1)&lt;TIME(6,0,0),(MOD(F1736,1)+1-TIME(22,0,0))*24,0)),2))</f>
        <v/>
      </c>
      <c r="K1736" s="33">
        <f>IF(H1736="","",ROUND(IF(L1736="휴일근로",MIN(H1736,8)*1.5+MAX(0,H1736-8)*2,I1736*1.5)+N(J1736)*0.5,2))</f>
        <v/>
      </c>
      <c r="L1736" s="18" t="n"/>
      <c r="M1736" s="18" t="n"/>
      <c r="N1736" s="22" t="n"/>
    </row>
    <row r="1737">
      <c r="A1737" s="19" t="n"/>
      <c r="B1737" s="25">
        <f>IF(A1737="","",CHOOSE(WEEKDAY(A1737,2),"월","화","수","목","금","토","일"))</f>
        <v/>
      </c>
      <c r="C1737" s="18" t="n"/>
      <c r="D1737" s="25">
        <f>IFERROR(IF(C1737="","",INDEX(직원명부!$B$5:$B$24,MATCH(C1737,직원명부!$A$5:$A$24,0))),"사번 확인")</f>
        <v/>
      </c>
      <c r="E1737" s="34" t="n"/>
      <c r="F1737" s="34" t="n"/>
      <c r="G1737" s="28" t="n"/>
      <c r="H1737" s="33">
        <f>IF(OR(E1737="",F1737=""),"",ROUND(MOD(F1737-E1737,1)*24-N(G1737),2))</f>
        <v/>
      </c>
      <c r="I1737" s="33">
        <f>IF(H1737="","",ROUND(MAX(0,H1737-8),2))</f>
        <v/>
      </c>
      <c r="J1737" s="33">
        <f>IF(OR(E1737="",F1737=""),"",ROUND(IF(MOD(F1737,1)&gt;=TIME(22,0,0),(MOD(F1737,1)-TIME(22,0,0))*24,IF(MOD(F1737,1)&lt;TIME(6,0,0),(MOD(F1737,1)+1-TIME(22,0,0))*24,0)),2))</f>
        <v/>
      </c>
      <c r="K1737" s="33">
        <f>IF(H1737="","",ROUND(IF(L1737="휴일근로",MIN(H1737,8)*1.5+MAX(0,H1737-8)*2,I1737*1.5)+N(J1737)*0.5,2))</f>
        <v/>
      </c>
      <c r="L1737" s="18" t="n"/>
      <c r="M1737" s="18" t="n"/>
      <c r="N1737" s="22" t="n"/>
    </row>
    <row r="1738">
      <c r="A1738" s="19" t="n"/>
      <c r="B1738" s="25">
        <f>IF(A1738="","",CHOOSE(WEEKDAY(A1738,2),"월","화","수","목","금","토","일"))</f>
        <v/>
      </c>
      <c r="C1738" s="18" t="n"/>
      <c r="D1738" s="25">
        <f>IFERROR(IF(C1738="","",INDEX(직원명부!$B$5:$B$24,MATCH(C1738,직원명부!$A$5:$A$24,0))),"사번 확인")</f>
        <v/>
      </c>
      <c r="E1738" s="34" t="n"/>
      <c r="F1738" s="34" t="n"/>
      <c r="G1738" s="28" t="n"/>
      <c r="H1738" s="33">
        <f>IF(OR(E1738="",F1738=""),"",ROUND(MOD(F1738-E1738,1)*24-N(G1738),2))</f>
        <v/>
      </c>
      <c r="I1738" s="33">
        <f>IF(H1738="","",ROUND(MAX(0,H1738-8),2))</f>
        <v/>
      </c>
      <c r="J1738" s="33">
        <f>IF(OR(E1738="",F1738=""),"",ROUND(IF(MOD(F1738,1)&gt;=TIME(22,0,0),(MOD(F1738,1)-TIME(22,0,0))*24,IF(MOD(F1738,1)&lt;TIME(6,0,0),(MOD(F1738,1)+1-TIME(22,0,0))*24,0)),2))</f>
        <v/>
      </c>
      <c r="K1738" s="33">
        <f>IF(H1738="","",ROUND(IF(L1738="휴일근로",MIN(H1738,8)*1.5+MAX(0,H1738-8)*2,I1738*1.5)+N(J1738)*0.5,2))</f>
        <v/>
      </c>
      <c r="L1738" s="18" t="n"/>
      <c r="M1738" s="18" t="n"/>
      <c r="N1738" s="22" t="n"/>
    </row>
    <row r="1739">
      <c r="A1739" s="19" t="n"/>
      <c r="B1739" s="25">
        <f>IF(A1739="","",CHOOSE(WEEKDAY(A1739,2),"월","화","수","목","금","토","일"))</f>
        <v/>
      </c>
      <c r="C1739" s="18" t="n"/>
      <c r="D1739" s="25">
        <f>IFERROR(IF(C1739="","",INDEX(직원명부!$B$5:$B$24,MATCH(C1739,직원명부!$A$5:$A$24,0))),"사번 확인")</f>
        <v/>
      </c>
      <c r="E1739" s="34" t="n"/>
      <c r="F1739" s="34" t="n"/>
      <c r="G1739" s="28" t="n"/>
      <c r="H1739" s="33">
        <f>IF(OR(E1739="",F1739=""),"",ROUND(MOD(F1739-E1739,1)*24-N(G1739),2))</f>
        <v/>
      </c>
      <c r="I1739" s="33">
        <f>IF(H1739="","",ROUND(MAX(0,H1739-8),2))</f>
        <v/>
      </c>
      <c r="J1739" s="33">
        <f>IF(OR(E1739="",F1739=""),"",ROUND(IF(MOD(F1739,1)&gt;=TIME(22,0,0),(MOD(F1739,1)-TIME(22,0,0))*24,IF(MOD(F1739,1)&lt;TIME(6,0,0),(MOD(F1739,1)+1-TIME(22,0,0))*24,0)),2))</f>
        <v/>
      </c>
      <c r="K1739" s="33">
        <f>IF(H1739="","",ROUND(IF(L1739="휴일근로",MIN(H1739,8)*1.5+MAX(0,H1739-8)*2,I1739*1.5)+N(J1739)*0.5,2))</f>
        <v/>
      </c>
      <c r="L1739" s="18" t="n"/>
      <c r="M1739" s="18" t="n"/>
      <c r="N1739" s="22" t="n"/>
    </row>
    <row r="1740">
      <c r="A1740" s="19" t="n"/>
      <c r="B1740" s="25">
        <f>IF(A1740="","",CHOOSE(WEEKDAY(A1740,2),"월","화","수","목","금","토","일"))</f>
        <v/>
      </c>
      <c r="C1740" s="18" t="n"/>
      <c r="D1740" s="25">
        <f>IFERROR(IF(C1740="","",INDEX(직원명부!$B$5:$B$24,MATCH(C1740,직원명부!$A$5:$A$24,0))),"사번 확인")</f>
        <v/>
      </c>
      <c r="E1740" s="34" t="n"/>
      <c r="F1740" s="34" t="n"/>
      <c r="G1740" s="28" t="n"/>
      <c r="H1740" s="33">
        <f>IF(OR(E1740="",F1740=""),"",ROUND(MOD(F1740-E1740,1)*24-N(G1740),2))</f>
        <v/>
      </c>
      <c r="I1740" s="33">
        <f>IF(H1740="","",ROUND(MAX(0,H1740-8),2))</f>
        <v/>
      </c>
      <c r="J1740" s="33">
        <f>IF(OR(E1740="",F1740=""),"",ROUND(IF(MOD(F1740,1)&gt;=TIME(22,0,0),(MOD(F1740,1)-TIME(22,0,0))*24,IF(MOD(F1740,1)&lt;TIME(6,0,0),(MOD(F1740,1)+1-TIME(22,0,0))*24,0)),2))</f>
        <v/>
      </c>
      <c r="K1740" s="33">
        <f>IF(H1740="","",ROUND(IF(L1740="휴일근로",MIN(H1740,8)*1.5+MAX(0,H1740-8)*2,I1740*1.5)+N(J1740)*0.5,2))</f>
        <v/>
      </c>
      <c r="L1740" s="18" t="n"/>
      <c r="M1740" s="18" t="n"/>
      <c r="N1740" s="22" t="n"/>
    </row>
    <row r="1741">
      <c r="A1741" s="19" t="n"/>
      <c r="B1741" s="25">
        <f>IF(A1741="","",CHOOSE(WEEKDAY(A1741,2),"월","화","수","목","금","토","일"))</f>
        <v/>
      </c>
      <c r="C1741" s="18" t="n"/>
      <c r="D1741" s="25">
        <f>IFERROR(IF(C1741="","",INDEX(직원명부!$B$5:$B$24,MATCH(C1741,직원명부!$A$5:$A$24,0))),"사번 확인")</f>
        <v/>
      </c>
      <c r="E1741" s="34" t="n"/>
      <c r="F1741" s="34" t="n"/>
      <c r="G1741" s="28" t="n"/>
      <c r="H1741" s="33">
        <f>IF(OR(E1741="",F1741=""),"",ROUND(MOD(F1741-E1741,1)*24-N(G1741),2))</f>
        <v/>
      </c>
      <c r="I1741" s="33">
        <f>IF(H1741="","",ROUND(MAX(0,H1741-8),2))</f>
        <v/>
      </c>
      <c r="J1741" s="33">
        <f>IF(OR(E1741="",F1741=""),"",ROUND(IF(MOD(F1741,1)&gt;=TIME(22,0,0),(MOD(F1741,1)-TIME(22,0,0))*24,IF(MOD(F1741,1)&lt;TIME(6,0,0),(MOD(F1741,1)+1-TIME(22,0,0))*24,0)),2))</f>
        <v/>
      </c>
      <c r="K1741" s="33">
        <f>IF(H1741="","",ROUND(IF(L1741="휴일근로",MIN(H1741,8)*1.5+MAX(0,H1741-8)*2,I1741*1.5)+N(J1741)*0.5,2))</f>
        <v/>
      </c>
      <c r="L1741" s="18" t="n"/>
      <c r="M1741" s="18" t="n"/>
      <c r="N1741" s="22" t="n"/>
    </row>
    <row r="1742">
      <c r="A1742" s="19" t="n"/>
      <c r="B1742" s="25">
        <f>IF(A1742="","",CHOOSE(WEEKDAY(A1742,2),"월","화","수","목","금","토","일"))</f>
        <v/>
      </c>
      <c r="C1742" s="18" t="n"/>
      <c r="D1742" s="25">
        <f>IFERROR(IF(C1742="","",INDEX(직원명부!$B$5:$B$24,MATCH(C1742,직원명부!$A$5:$A$24,0))),"사번 확인")</f>
        <v/>
      </c>
      <c r="E1742" s="34" t="n"/>
      <c r="F1742" s="34" t="n"/>
      <c r="G1742" s="28" t="n"/>
      <c r="H1742" s="33">
        <f>IF(OR(E1742="",F1742=""),"",ROUND(MOD(F1742-E1742,1)*24-N(G1742),2))</f>
        <v/>
      </c>
      <c r="I1742" s="33">
        <f>IF(H1742="","",ROUND(MAX(0,H1742-8),2))</f>
        <v/>
      </c>
      <c r="J1742" s="33">
        <f>IF(OR(E1742="",F1742=""),"",ROUND(IF(MOD(F1742,1)&gt;=TIME(22,0,0),(MOD(F1742,1)-TIME(22,0,0))*24,IF(MOD(F1742,1)&lt;TIME(6,0,0),(MOD(F1742,1)+1-TIME(22,0,0))*24,0)),2))</f>
        <v/>
      </c>
      <c r="K1742" s="33">
        <f>IF(H1742="","",ROUND(IF(L1742="휴일근로",MIN(H1742,8)*1.5+MAX(0,H1742-8)*2,I1742*1.5)+N(J1742)*0.5,2))</f>
        <v/>
      </c>
      <c r="L1742" s="18" t="n"/>
      <c r="M1742" s="18" t="n"/>
      <c r="N1742" s="22" t="n"/>
    </row>
    <row r="1743">
      <c r="A1743" s="19" t="n"/>
      <c r="B1743" s="25">
        <f>IF(A1743="","",CHOOSE(WEEKDAY(A1743,2),"월","화","수","목","금","토","일"))</f>
        <v/>
      </c>
      <c r="C1743" s="18" t="n"/>
      <c r="D1743" s="25">
        <f>IFERROR(IF(C1743="","",INDEX(직원명부!$B$5:$B$24,MATCH(C1743,직원명부!$A$5:$A$24,0))),"사번 확인")</f>
        <v/>
      </c>
      <c r="E1743" s="34" t="n"/>
      <c r="F1743" s="34" t="n"/>
      <c r="G1743" s="28" t="n"/>
      <c r="H1743" s="33">
        <f>IF(OR(E1743="",F1743=""),"",ROUND(MOD(F1743-E1743,1)*24-N(G1743),2))</f>
        <v/>
      </c>
      <c r="I1743" s="33">
        <f>IF(H1743="","",ROUND(MAX(0,H1743-8),2))</f>
        <v/>
      </c>
      <c r="J1743" s="33">
        <f>IF(OR(E1743="",F1743=""),"",ROUND(IF(MOD(F1743,1)&gt;=TIME(22,0,0),(MOD(F1743,1)-TIME(22,0,0))*24,IF(MOD(F1743,1)&lt;TIME(6,0,0),(MOD(F1743,1)+1-TIME(22,0,0))*24,0)),2))</f>
        <v/>
      </c>
      <c r="K1743" s="33">
        <f>IF(H1743="","",ROUND(IF(L1743="휴일근로",MIN(H1743,8)*1.5+MAX(0,H1743-8)*2,I1743*1.5)+N(J1743)*0.5,2))</f>
        <v/>
      </c>
      <c r="L1743" s="18" t="n"/>
      <c r="M1743" s="18" t="n"/>
      <c r="N1743" s="22" t="n"/>
    </row>
    <row r="1744">
      <c r="A1744" s="19" t="n"/>
      <c r="B1744" s="25">
        <f>IF(A1744="","",CHOOSE(WEEKDAY(A1744,2),"월","화","수","목","금","토","일"))</f>
        <v/>
      </c>
      <c r="C1744" s="18" t="n"/>
      <c r="D1744" s="25">
        <f>IFERROR(IF(C1744="","",INDEX(직원명부!$B$5:$B$24,MATCH(C1744,직원명부!$A$5:$A$24,0))),"사번 확인")</f>
        <v/>
      </c>
      <c r="E1744" s="34" t="n"/>
      <c r="F1744" s="34" t="n"/>
      <c r="G1744" s="28" t="n"/>
      <c r="H1744" s="33">
        <f>IF(OR(E1744="",F1744=""),"",ROUND(MOD(F1744-E1744,1)*24-N(G1744),2))</f>
        <v/>
      </c>
      <c r="I1744" s="33">
        <f>IF(H1744="","",ROUND(MAX(0,H1744-8),2))</f>
        <v/>
      </c>
      <c r="J1744" s="33">
        <f>IF(OR(E1744="",F1744=""),"",ROUND(IF(MOD(F1744,1)&gt;=TIME(22,0,0),(MOD(F1744,1)-TIME(22,0,0))*24,IF(MOD(F1744,1)&lt;TIME(6,0,0),(MOD(F1744,1)+1-TIME(22,0,0))*24,0)),2))</f>
        <v/>
      </c>
      <c r="K1744" s="33">
        <f>IF(H1744="","",ROUND(IF(L1744="휴일근로",MIN(H1744,8)*1.5+MAX(0,H1744-8)*2,I1744*1.5)+N(J1744)*0.5,2))</f>
        <v/>
      </c>
      <c r="L1744" s="18" t="n"/>
      <c r="M1744" s="18" t="n"/>
      <c r="N1744" s="22" t="n"/>
    </row>
    <row r="1745">
      <c r="A1745" s="19" t="n"/>
      <c r="B1745" s="25">
        <f>IF(A1745="","",CHOOSE(WEEKDAY(A1745,2),"월","화","수","목","금","토","일"))</f>
        <v/>
      </c>
      <c r="C1745" s="18" t="n"/>
      <c r="D1745" s="25">
        <f>IFERROR(IF(C1745="","",INDEX(직원명부!$B$5:$B$24,MATCH(C1745,직원명부!$A$5:$A$24,0))),"사번 확인")</f>
        <v/>
      </c>
      <c r="E1745" s="34" t="n"/>
      <c r="F1745" s="34" t="n"/>
      <c r="G1745" s="28" t="n"/>
      <c r="H1745" s="33">
        <f>IF(OR(E1745="",F1745=""),"",ROUND(MOD(F1745-E1745,1)*24-N(G1745),2))</f>
        <v/>
      </c>
      <c r="I1745" s="33">
        <f>IF(H1745="","",ROUND(MAX(0,H1745-8),2))</f>
        <v/>
      </c>
      <c r="J1745" s="33">
        <f>IF(OR(E1745="",F1745=""),"",ROUND(IF(MOD(F1745,1)&gt;=TIME(22,0,0),(MOD(F1745,1)-TIME(22,0,0))*24,IF(MOD(F1745,1)&lt;TIME(6,0,0),(MOD(F1745,1)+1-TIME(22,0,0))*24,0)),2))</f>
        <v/>
      </c>
      <c r="K1745" s="33">
        <f>IF(H1745="","",ROUND(IF(L1745="휴일근로",MIN(H1745,8)*1.5+MAX(0,H1745-8)*2,I1745*1.5)+N(J1745)*0.5,2))</f>
        <v/>
      </c>
      <c r="L1745" s="18" t="n"/>
      <c r="M1745" s="18" t="n"/>
      <c r="N1745" s="22" t="n"/>
    </row>
    <row r="1746">
      <c r="A1746" s="19" t="n"/>
      <c r="B1746" s="25">
        <f>IF(A1746="","",CHOOSE(WEEKDAY(A1746,2),"월","화","수","목","금","토","일"))</f>
        <v/>
      </c>
      <c r="C1746" s="18" t="n"/>
      <c r="D1746" s="25">
        <f>IFERROR(IF(C1746="","",INDEX(직원명부!$B$5:$B$24,MATCH(C1746,직원명부!$A$5:$A$24,0))),"사번 확인")</f>
        <v/>
      </c>
      <c r="E1746" s="34" t="n"/>
      <c r="F1746" s="34" t="n"/>
      <c r="G1746" s="28" t="n"/>
      <c r="H1746" s="33">
        <f>IF(OR(E1746="",F1746=""),"",ROUND(MOD(F1746-E1746,1)*24-N(G1746),2))</f>
        <v/>
      </c>
      <c r="I1746" s="33">
        <f>IF(H1746="","",ROUND(MAX(0,H1746-8),2))</f>
        <v/>
      </c>
      <c r="J1746" s="33">
        <f>IF(OR(E1746="",F1746=""),"",ROUND(IF(MOD(F1746,1)&gt;=TIME(22,0,0),(MOD(F1746,1)-TIME(22,0,0))*24,IF(MOD(F1746,1)&lt;TIME(6,0,0),(MOD(F1746,1)+1-TIME(22,0,0))*24,0)),2))</f>
        <v/>
      </c>
      <c r="K1746" s="33">
        <f>IF(H1746="","",ROUND(IF(L1746="휴일근로",MIN(H1746,8)*1.5+MAX(0,H1746-8)*2,I1746*1.5)+N(J1746)*0.5,2))</f>
        <v/>
      </c>
      <c r="L1746" s="18" t="n"/>
      <c r="M1746" s="18" t="n"/>
      <c r="N1746" s="22" t="n"/>
    </row>
    <row r="1747">
      <c r="A1747" s="19" t="n"/>
      <c r="B1747" s="25">
        <f>IF(A1747="","",CHOOSE(WEEKDAY(A1747,2),"월","화","수","목","금","토","일"))</f>
        <v/>
      </c>
      <c r="C1747" s="18" t="n"/>
      <c r="D1747" s="25">
        <f>IFERROR(IF(C1747="","",INDEX(직원명부!$B$5:$B$24,MATCH(C1747,직원명부!$A$5:$A$24,0))),"사번 확인")</f>
        <v/>
      </c>
      <c r="E1747" s="34" t="n"/>
      <c r="F1747" s="34" t="n"/>
      <c r="G1747" s="28" t="n"/>
      <c r="H1747" s="33">
        <f>IF(OR(E1747="",F1747=""),"",ROUND(MOD(F1747-E1747,1)*24-N(G1747),2))</f>
        <v/>
      </c>
      <c r="I1747" s="33">
        <f>IF(H1747="","",ROUND(MAX(0,H1747-8),2))</f>
        <v/>
      </c>
      <c r="J1747" s="33">
        <f>IF(OR(E1747="",F1747=""),"",ROUND(IF(MOD(F1747,1)&gt;=TIME(22,0,0),(MOD(F1747,1)-TIME(22,0,0))*24,IF(MOD(F1747,1)&lt;TIME(6,0,0),(MOD(F1747,1)+1-TIME(22,0,0))*24,0)),2))</f>
        <v/>
      </c>
      <c r="K1747" s="33">
        <f>IF(H1747="","",ROUND(IF(L1747="휴일근로",MIN(H1747,8)*1.5+MAX(0,H1747-8)*2,I1747*1.5)+N(J1747)*0.5,2))</f>
        <v/>
      </c>
      <c r="L1747" s="18" t="n"/>
      <c r="M1747" s="18" t="n"/>
      <c r="N1747" s="22" t="n"/>
    </row>
    <row r="1748">
      <c r="A1748" s="19" t="n"/>
      <c r="B1748" s="25">
        <f>IF(A1748="","",CHOOSE(WEEKDAY(A1748,2),"월","화","수","목","금","토","일"))</f>
        <v/>
      </c>
      <c r="C1748" s="18" t="n"/>
      <c r="D1748" s="25">
        <f>IFERROR(IF(C1748="","",INDEX(직원명부!$B$5:$B$24,MATCH(C1748,직원명부!$A$5:$A$24,0))),"사번 확인")</f>
        <v/>
      </c>
      <c r="E1748" s="34" t="n"/>
      <c r="F1748" s="34" t="n"/>
      <c r="G1748" s="28" t="n"/>
      <c r="H1748" s="33">
        <f>IF(OR(E1748="",F1748=""),"",ROUND(MOD(F1748-E1748,1)*24-N(G1748),2))</f>
        <v/>
      </c>
      <c r="I1748" s="33">
        <f>IF(H1748="","",ROUND(MAX(0,H1748-8),2))</f>
        <v/>
      </c>
      <c r="J1748" s="33">
        <f>IF(OR(E1748="",F1748=""),"",ROUND(IF(MOD(F1748,1)&gt;=TIME(22,0,0),(MOD(F1748,1)-TIME(22,0,0))*24,IF(MOD(F1748,1)&lt;TIME(6,0,0),(MOD(F1748,1)+1-TIME(22,0,0))*24,0)),2))</f>
        <v/>
      </c>
      <c r="K1748" s="33">
        <f>IF(H1748="","",ROUND(IF(L1748="휴일근로",MIN(H1748,8)*1.5+MAX(0,H1748-8)*2,I1748*1.5)+N(J1748)*0.5,2))</f>
        <v/>
      </c>
      <c r="L1748" s="18" t="n"/>
      <c r="M1748" s="18" t="n"/>
      <c r="N1748" s="22" t="n"/>
    </row>
    <row r="1749">
      <c r="A1749" s="19" t="n"/>
      <c r="B1749" s="25">
        <f>IF(A1749="","",CHOOSE(WEEKDAY(A1749,2),"월","화","수","목","금","토","일"))</f>
        <v/>
      </c>
      <c r="C1749" s="18" t="n"/>
      <c r="D1749" s="25">
        <f>IFERROR(IF(C1749="","",INDEX(직원명부!$B$5:$B$24,MATCH(C1749,직원명부!$A$5:$A$24,0))),"사번 확인")</f>
        <v/>
      </c>
      <c r="E1749" s="34" t="n"/>
      <c r="F1749" s="34" t="n"/>
      <c r="G1749" s="28" t="n"/>
      <c r="H1749" s="33">
        <f>IF(OR(E1749="",F1749=""),"",ROUND(MOD(F1749-E1749,1)*24-N(G1749),2))</f>
        <v/>
      </c>
      <c r="I1749" s="33">
        <f>IF(H1749="","",ROUND(MAX(0,H1749-8),2))</f>
        <v/>
      </c>
      <c r="J1749" s="33">
        <f>IF(OR(E1749="",F1749=""),"",ROUND(IF(MOD(F1749,1)&gt;=TIME(22,0,0),(MOD(F1749,1)-TIME(22,0,0))*24,IF(MOD(F1749,1)&lt;TIME(6,0,0),(MOD(F1749,1)+1-TIME(22,0,0))*24,0)),2))</f>
        <v/>
      </c>
      <c r="K1749" s="33">
        <f>IF(H1749="","",ROUND(IF(L1749="휴일근로",MIN(H1749,8)*1.5+MAX(0,H1749-8)*2,I1749*1.5)+N(J1749)*0.5,2))</f>
        <v/>
      </c>
      <c r="L1749" s="18" t="n"/>
      <c r="M1749" s="18" t="n"/>
      <c r="N1749" s="22" t="n"/>
    </row>
    <row r="1750">
      <c r="A1750" s="19" t="n"/>
      <c r="B1750" s="25">
        <f>IF(A1750="","",CHOOSE(WEEKDAY(A1750,2),"월","화","수","목","금","토","일"))</f>
        <v/>
      </c>
      <c r="C1750" s="18" t="n"/>
      <c r="D1750" s="25">
        <f>IFERROR(IF(C1750="","",INDEX(직원명부!$B$5:$B$24,MATCH(C1750,직원명부!$A$5:$A$24,0))),"사번 확인")</f>
        <v/>
      </c>
      <c r="E1750" s="34" t="n"/>
      <c r="F1750" s="34" t="n"/>
      <c r="G1750" s="28" t="n"/>
      <c r="H1750" s="33">
        <f>IF(OR(E1750="",F1750=""),"",ROUND(MOD(F1750-E1750,1)*24-N(G1750),2))</f>
        <v/>
      </c>
      <c r="I1750" s="33">
        <f>IF(H1750="","",ROUND(MAX(0,H1750-8),2))</f>
        <v/>
      </c>
      <c r="J1750" s="33">
        <f>IF(OR(E1750="",F1750=""),"",ROUND(IF(MOD(F1750,1)&gt;=TIME(22,0,0),(MOD(F1750,1)-TIME(22,0,0))*24,IF(MOD(F1750,1)&lt;TIME(6,0,0),(MOD(F1750,1)+1-TIME(22,0,0))*24,0)),2))</f>
        <v/>
      </c>
      <c r="K1750" s="33">
        <f>IF(H1750="","",ROUND(IF(L1750="휴일근로",MIN(H1750,8)*1.5+MAX(0,H1750-8)*2,I1750*1.5)+N(J1750)*0.5,2))</f>
        <v/>
      </c>
      <c r="L1750" s="18" t="n"/>
      <c r="M1750" s="18" t="n"/>
      <c r="N1750" s="22" t="n"/>
    </row>
    <row r="1751">
      <c r="A1751" s="19" t="n"/>
      <c r="B1751" s="25">
        <f>IF(A1751="","",CHOOSE(WEEKDAY(A1751,2),"월","화","수","목","금","토","일"))</f>
        <v/>
      </c>
      <c r="C1751" s="18" t="n"/>
      <c r="D1751" s="25">
        <f>IFERROR(IF(C1751="","",INDEX(직원명부!$B$5:$B$24,MATCH(C1751,직원명부!$A$5:$A$24,0))),"사번 확인")</f>
        <v/>
      </c>
      <c r="E1751" s="34" t="n"/>
      <c r="F1751" s="34" t="n"/>
      <c r="G1751" s="28" t="n"/>
      <c r="H1751" s="33">
        <f>IF(OR(E1751="",F1751=""),"",ROUND(MOD(F1751-E1751,1)*24-N(G1751),2))</f>
        <v/>
      </c>
      <c r="I1751" s="33">
        <f>IF(H1751="","",ROUND(MAX(0,H1751-8),2))</f>
        <v/>
      </c>
      <c r="J1751" s="33">
        <f>IF(OR(E1751="",F1751=""),"",ROUND(IF(MOD(F1751,1)&gt;=TIME(22,0,0),(MOD(F1751,1)-TIME(22,0,0))*24,IF(MOD(F1751,1)&lt;TIME(6,0,0),(MOD(F1751,1)+1-TIME(22,0,0))*24,0)),2))</f>
        <v/>
      </c>
      <c r="K1751" s="33">
        <f>IF(H1751="","",ROUND(IF(L1751="휴일근로",MIN(H1751,8)*1.5+MAX(0,H1751-8)*2,I1751*1.5)+N(J1751)*0.5,2))</f>
        <v/>
      </c>
      <c r="L1751" s="18" t="n"/>
      <c r="M1751" s="18" t="n"/>
      <c r="N1751" s="22" t="n"/>
    </row>
    <row r="1752">
      <c r="A1752" s="19" t="n"/>
      <c r="B1752" s="25">
        <f>IF(A1752="","",CHOOSE(WEEKDAY(A1752,2),"월","화","수","목","금","토","일"))</f>
        <v/>
      </c>
      <c r="C1752" s="18" t="n"/>
      <c r="D1752" s="25">
        <f>IFERROR(IF(C1752="","",INDEX(직원명부!$B$5:$B$24,MATCH(C1752,직원명부!$A$5:$A$24,0))),"사번 확인")</f>
        <v/>
      </c>
      <c r="E1752" s="34" t="n"/>
      <c r="F1752" s="34" t="n"/>
      <c r="G1752" s="28" t="n"/>
      <c r="H1752" s="33">
        <f>IF(OR(E1752="",F1752=""),"",ROUND(MOD(F1752-E1752,1)*24-N(G1752),2))</f>
        <v/>
      </c>
      <c r="I1752" s="33">
        <f>IF(H1752="","",ROUND(MAX(0,H1752-8),2))</f>
        <v/>
      </c>
      <c r="J1752" s="33">
        <f>IF(OR(E1752="",F1752=""),"",ROUND(IF(MOD(F1752,1)&gt;=TIME(22,0,0),(MOD(F1752,1)-TIME(22,0,0))*24,IF(MOD(F1752,1)&lt;TIME(6,0,0),(MOD(F1752,1)+1-TIME(22,0,0))*24,0)),2))</f>
        <v/>
      </c>
      <c r="K1752" s="33">
        <f>IF(H1752="","",ROUND(IF(L1752="휴일근로",MIN(H1752,8)*1.5+MAX(0,H1752-8)*2,I1752*1.5)+N(J1752)*0.5,2))</f>
        <v/>
      </c>
      <c r="L1752" s="18" t="n"/>
      <c r="M1752" s="18" t="n"/>
      <c r="N1752" s="22" t="n"/>
    </row>
    <row r="1753">
      <c r="A1753" s="19" t="n"/>
      <c r="B1753" s="25">
        <f>IF(A1753="","",CHOOSE(WEEKDAY(A1753,2),"월","화","수","목","금","토","일"))</f>
        <v/>
      </c>
      <c r="C1753" s="18" t="n"/>
      <c r="D1753" s="25">
        <f>IFERROR(IF(C1753="","",INDEX(직원명부!$B$5:$B$24,MATCH(C1753,직원명부!$A$5:$A$24,0))),"사번 확인")</f>
        <v/>
      </c>
      <c r="E1753" s="34" t="n"/>
      <c r="F1753" s="34" t="n"/>
      <c r="G1753" s="28" t="n"/>
      <c r="H1753" s="33">
        <f>IF(OR(E1753="",F1753=""),"",ROUND(MOD(F1753-E1753,1)*24-N(G1753),2))</f>
        <v/>
      </c>
      <c r="I1753" s="33">
        <f>IF(H1753="","",ROUND(MAX(0,H1753-8),2))</f>
        <v/>
      </c>
      <c r="J1753" s="33">
        <f>IF(OR(E1753="",F1753=""),"",ROUND(IF(MOD(F1753,1)&gt;=TIME(22,0,0),(MOD(F1753,1)-TIME(22,0,0))*24,IF(MOD(F1753,1)&lt;TIME(6,0,0),(MOD(F1753,1)+1-TIME(22,0,0))*24,0)),2))</f>
        <v/>
      </c>
      <c r="K1753" s="33">
        <f>IF(H1753="","",ROUND(IF(L1753="휴일근로",MIN(H1753,8)*1.5+MAX(0,H1753-8)*2,I1753*1.5)+N(J1753)*0.5,2))</f>
        <v/>
      </c>
      <c r="L1753" s="18" t="n"/>
      <c r="M1753" s="18" t="n"/>
      <c r="N1753" s="22" t="n"/>
    </row>
    <row r="1754">
      <c r="A1754" s="19" t="n"/>
      <c r="B1754" s="25">
        <f>IF(A1754="","",CHOOSE(WEEKDAY(A1754,2),"월","화","수","목","금","토","일"))</f>
        <v/>
      </c>
      <c r="C1754" s="18" t="n"/>
      <c r="D1754" s="25">
        <f>IFERROR(IF(C1754="","",INDEX(직원명부!$B$5:$B$24,MATCH(C1754,직원명부!$A$5:$A$24,0))),"사번 확인")</f>
        <v/>
      </c>
      <c r="E1754" s="34" t="n"/>
      <c r="F1754" s="34" t="n"/>
      <c r="G1754" s="28" t="n"/>
      <c r="H1754" s="33">
        <f>IF(OR(E1754="",F1754=""),"",ROUND(MOD(F1754-E1754,1)*24-N(G1754),2))</f>
        <v/>
      </c>
      <c r="I1754" s="33">
        <f>IF(H1754="","",ROUND(MAX(0,H1754-8),2))</f>
        <v/>
      </c>
      <c r="J1754" s="33">
        <f>IF(OR(E1754="",F1754=""),"",ROUND(IF(MOD(F1754,1)&gt;=TIME(22,0,0),(MOD(F1754,1)-TIME(22,0,0))*24,IF(MOD(F1754,1)&lt;TIME(6,0,0),(MOD(F1754,1)+1-TIME(22,0,0))*24,0)),2))</f>
        <v/>
      </c>
      <c r="K1754" s="33">
        <f>IF(H1754="","",ROUND(IF(L1754="휴일근로",MIN(H1754,8)*1.5+MAX(0,H1754-8)*2,I1754*1.5)+N(J1754)*0.5,2))</f>
        <v/>
      </c>
      <c r="L1754" s="18" t="n"/>
      <c r="M1754" s="18" t="n"/>
      <c r="N1754" s="22" t="n"/>
    </row>
    <row r="1755">
      <c r="A1755" s="19" t="n"/>
      <c r="B1755" s="25">
        <f>IF(A1755="","",CHOOSE(WEEKDAY(A1755,2),"월","화","수","목","금","토","일"))</f>
        <v/>
      </c>
      <c r="C1755" s="18" t="n"/>
      <c r="D1755" s="25">
        <f>IFERROR(IF(C1755="","",INDEX(직원명부!$B$5:$B$24,MATCH(C1755,직원명부!$A$5:$A$24,0))),"사번 확인")</f>
        <v/>
      </c>
      <c r="E1755" s="34" t="n"/>
      <c r="F1755" s="34" t="n"/>
      <c r="G1755" s="28" t="n"/>
      <c r="H1755" s="33">
        <f>IF(OR(E1755="",F1755=""),"",ROUND(MOD(F1755-E1755,1)*24-N(G1755),2))</f>
        <v/>
      </c>
      <c r="I1755" s="33">
        <f>IF(H1755="","",ROUND(MAX(0,H1755-8),2))</f>
        <v/>
      </c>
      <c r="J1755" s="33">
        <f>IF(OR(E1755="",F1755=""),"",ROUND(IF(MOD(F1755,1)&gt;=TIME(22,0,0),(MOD(F1755,1)-TIME(22,0,0))*24,IF(MOD(F1755,1)&lt;TIME(6,0,0),(MOD(F1755,1)+1-TIME(22,0,0))*24,0)),2))</f>
        <v/>
      </c>
      <c r="K1755" s="33">
        <f>IF(H1755="","",ROUND(IF(L1755="휴일근로",MIN(H1755,8)*1.5+MAX(0,H1755-8)*2,I1755*1.5)+N(J1755)*0.5,2))</f>
        <v/>
      </c>
      <c r="L1755" s="18" t="n"/>
      <c r="M1755" s="18" t="n"/>
      <c r="N1755" s="22" t="n"/>
    </row>
    <row r="1756">
      <c r="A1756" s="19" t="n"/>
      <c r="B1756" s="25">
        <f>IF(A1756="","",CHOOSE(WEEKDAY(A1756,2),"월","화","수","목","금","토","일"))</f>
        <v/>
      </c>
      <c r="C1756" s="18" t="n"/>
      <c r="D1756" s="25">
        <f>IFERROR(IF(C1756="","",INDEX(직원명부!$B$5:$B$24,MATCH(C1756,직원명부!$A$5:$A$24,0))),"사번 확인")</f>
        <v/>
      </c>
      <c r="E1756" s="34" t="n"/>
      <c r="F1756" s="34" t="n"/>
      <c r="G1756" s="28" t="n"/>
      <c r="H1756" s="33">
        <f>IF(OR(E1756="",F1756=""),"",ROUND(MOD(F1756-E1756,1)*24-N(G1756),2))</f>
        <v/>
      </c>
      <c r="I1756" s="33">
        <f>IF(H1756="","",ROUND(MAX(0,H1756-8),2))</f>
        <v/>
      </c>
      <c r="J1756" s="33">
        <f>IF(OR(E1756="",F1756=""),"",ROUND(IF(MOD(F1756,1)&gt;=TIME(22,0,0),(MOD(F1756,1)-TIME(22,0,0))*24,IF(MOD(F1756,1)&lt;TIME(6,0,0),(MOD(F1756,1)+1-TIME(22,0,0))*24,0)),2))</f>
        <v/>
      </c>
      <c r="K1756" s="33">
        <f>IF(H1756="","",ROUND(IF(L1756="휴일근로",MIN(H1756,8)*1.5+MAX(0,H1756-8)*2,I1756*1.5)+N(J1756)*0.5,2))</f>
        <v/>
      </c>
      <c r="L1756" s="18" t="n"/>
      <c r="M1756" s="18" t="n"/>
      <c r="N1756" s="22" t="n"/>
    </row>
    <row r="1757">
      <c r="A1757" s="19" t="n"/>
      <c r="B1757" s="25">
        <f>IF(A1757="","",CHOOSE(WEEKDAY(A1757,2),"월","화","수","목","금","토","일"))</f>
        <v/>
      </c>
      <c r="C1757" s="18" t="n"/>
      <c r="D1757" s="25">
        <f>IFERROR(IF(C1757="","",INDEX(직원명부!$B$5:$B$24,MATCH(C1757,직원명부!$A$5:$A$24,0))),"사번 확인")</f>
        <v/>
      </c>
      <c r="E1757" s="34" t="n"/>
      <c r="F1757" s="34" t="n"/>
      <c r="G1757" s="28" t="n"/>
      <c r="H1757" s="33">
        <f>IF(OR(E1757="",F1757=""),"",ROUND(MOD(F1757-E1757,1)*24-N(G1757),2))</f>
        <v/>
      </c>
      <c r="I1757" s="33">
        <f>IF(H1757="","",ROUND(MAX(0,H1757-8),2))</f>
        <v/>
      </c>
      <c r="J1757" s="33">
        <f>IF(OR(E1757="",F1757=""),"",ROUND(IF(MOD(F1757,1)&gt;=TIME(22,0,0),(MOD(F1757,1)-TIME(22,0,0))*24,IF(MOD(F1757,1)&lt;TIME(6,0,0),(MOD(F1757,1)+1-TIME(22,0,0))*24,0)),2))</f>
        <v/>
      </c>
      <c r="K1757" s="33">
        <f>IF(H1757="","",ROUND(IF(L1757="휴일근로",MIN(H1757,8)*1.5+MAX(0,H1757-8)*2,I1757*1.5)+N(J1757)*0.5,2))</f>
        <v/>
      </c>
      <c r="L1757" s="18" t="n"/>
      <c r="M1757" s="18" t="n"/>
      <c r="N1757" s="22" t="n"/>
    </row>
    <row r="1758">
      <c r="A1758" s="19" t="n"/>
      <c r="B1758" s="25">
        <f>IF(A1758="","",CHOOSE(WEEKDAY(A1758,2),"월","화","수","목","금","토","일"))</f>
        <v/>
      </c>
      <c r="C1758" s="18" t="n"/>
      <c r="D1758" s="25">
        <f>IFERROR(IF(C1758="","",INDEX(직원명부!$B$5:$B$24,MATCH(C1758,직원명부!$A$5:$A$24,0))),"사번 확인")</f>
        <v/>
      </c>
      <c r="E1758" s="34" t="n"/>
      <c r="F1758" s="34" t="n"/>
      <c r="G1758" s="28" t="n"/>
      <c r="H1758" s="33">
        <f>IF(OR(E1758="",F1758=""),"",ROUND(MOD(F1758-E1758,1)*24-N(G1758),2))</f>
        <v/>
      </c>
      <c r="I1758" s="33">
        <f>IF(H1758="","",ROUND(MAX(0,H1758-8),2))</f>
        <v/>
      </c>
      <c r="J1758" s="33">
        <f>IF(OR(E1758="",F1758=""),"",ROUND(IF(MOD(F1758,1)&gt;=TIME(22,0,0),(MOD(F1758,1)-TIME(22,0,0))*24,IF(MOD(F1758,1)&lt;TIME(6,0,0),(MOD(F1758,1)+1-TIME(22,0,0))*24,0)),2))</f>
        <v/>
      </c>
      <c r="K1758" s="33">
        <f>IF(H1758="","",ROUND(IF(L1758="휴일근로",MIN(H1758,8)*1.5+MAX(0,H1758-8)*2,I1758*1.5)+N(J1758)*0.5,2))</f>
        <v/>
      </c>
      <c r="L1758" s="18" t="n"/>
      <c r="M1758" s="18" t="n"/>
      <c r="N1758" s="22" t="n"/>
    </row>
    <row r="1759">
      <c r="A1759" s="19" t="n"/>
      <c r="B1759" s="25">
        <f>IF(A1759="","",CHOOSE(WEEKDAY(A1759,2),"월","화","수","목","금","토","일"))</f>
        <v/>
      </c>
      <c r="C1759" s="18" t="n"/>
      <c r="D1759" s="25">
        <f>IFERROR(IF(C1759="","",INDEX(직원명부!$B$5:$B$24,MATCH(C1759,직원명부!$A$5:$A$24,0))),"사번 확인")</f>
        <v/>
      </c>
      <c r="E1759" s="34" t="n"/>
      <c r="F1759" s="34" t="n"/>
      <c r="G1759" s="28" t="n"/>
      <c r="H1759" s="33">
        <f>IF(OR(E1759="",F1759=""),"",ROUND(MOD(F1759-E1759,1)*24-N(G1759),2))</f>
        <v/>
      </c>
      <c r="I1759" s="33">
        <f>IF(H1759="","",ROUND(MAX(0,H1759-8),2))</f>
        <v/>
      </c>
      <c r="J1759" s="33">
        <f>IF(OR(E1759="",F1759=""),"",ROUND(IF(MOD(F1759,1)&gt;=TIME(22,0,0),(MOD(F1759,1)-TIME(22,0,0))*24,IF(MOD(F1759,1)&lt;TIME(6,0,0),(MOD(F1759,1)+1-TIME(22,0,0))*24,0)),2))</f>
        <v/>
      </c>
      <c r="K1759" s="33">
        <f>IF(H1759="","",ROUND(IF(L1759="휴일근로",MIN(H1759,8)*1.5+MAX(0,H1759-8)*2,I1759*1.5)+N(J1759)*0.5,2))</f>
        <v/>
      </c>
      <c r="L1759" s="18" t="n"/>
      <c r="M1759" s="18" t="n"/>
      <c r="N1759" s="22" t="n"/>
    </row>
    <row r="1760">
      <c r="A1760" s="19" t="n"/>
      <c r="B1760" s="25">
        <f>IF(A1760="","",CHOOSE(WEEKDAY(A1760,2),"월","화","수","목","금","토","일"))</f>
        <v/>
      </c>
      <c r="C1760" s="18" t="n"/>
      <c r="D1760" s="25">
        <f>IFERROR(IF(C1760="","",INDEX(직원명부!$B$5:$B$24,MATCH(C1760,직원명부!$A$5:$A$24,0))),"사번 확인")</f>
        <v/>
      </c>
      <c r="E1760" s="34" t="n"/>
      <c r="F1760" s="34" t="n"/>
      <c r="G1760" s="28" t="n"/>
      <c r="H1760" s="33">
        <f>IF(OR(E1760="",F1760=""),"",ROUND(MOD(F1760-E1760,1)*24-N(G1760),2))</f>
        <v/>
      </c>
      <c r="I1760" s="33">
        <f>IF(H1760="","",ROUND(MAX(0,H1760-8),2))</f>
        <v/>
      </c>
      <c r="J1760" s="33">
        <f>IF(OR(E1760="",F1760=""),"",ROUND(IF(MOD(F1760,1)&gt;=TIME(22,0,0),(MOD(F1760,1)-TIME(22,0,0))*24,IF(MOD(F1760,1)&lt;TIME(6,0,0),(MOD(F1760,1)+1-TIME(22,0,0))*24,0)),2))</f>
        <v/>
      </c>
      <c r="K1760" s="33">
        <f>IF(H1760="","",ROUND(IF(L1760="휴일근로",MIN(H1760,8)*1.5+MAX(0,H1760-8)*2,I1760*1.5)+N(J1760)*0.5,2))</f>
        <v/>
      </c>
      <c r="L1760" s="18" t="n"/>
      <c r="M1760" s="18" t="n"/>
      <c r="N1760" s="22" t="n"/>
    </row>
    <row r="1761">
      <c r="A1761" s="19" t="n"/>
      <c r="B1761" s="25">
        <f>IF(A1761="","",CHOOSE(WEEKDAY(A1761,2),"월","화","수","목","금","토","일"))</f>
        <v/>
      </c>
      <c r="C1761" s="18" t="n"/>
      <c r="D1761" s="25">
        <f>IFERROR(IF(C1761="","",INDEX(직원명부!$B$5:$B$24,MATCH(C1761,직원명부!$A$5:$A$24,0))),"사번 확인")</f>
        <v/>
      </c>
      <c r="E1761" s="34" t="n"/>
      <c r="F1761" s="34" t="n"/>
      <c r="G1761" s="28" t="n"/>
      <c r="H1761" s="33">
        <f>IF(OR(E1761="",F1761=""),"",ROUND(MOD(F1761-E1761,1)*24-N(G1761),2))</f>
        <v/>
      </c>
      <c r="I1761" s="33">
        <f>IF(H1761="","",ROUND(MAX(0,H1761-8),2))</f>
        <v/>
      </c>
      <c r="J1761" s="33">
        <f>IF(OR(E1761="",F1761=""),"",ROUND(IF(MOD(F1761,1)&gt;=TIME(22,0,0),(MOD(F1761,1)-TIME(22,0,0))*24,IF(MOD(F1761,1)&lt;TIME(6,0,0),(MOD(F1761,1)+1-TIME(22,0,0))*24,0)),2))</f>
        <v/>
      </c>
      <c r="K1761" s="33">
        <f>IF(H1761="","",ROUND(IF(L1761="휴일근로",MIN(H1761,8)*1.5+MAX(0,H1761-8)*2,I1761*1.5)+N(J1761)*0.5,2))</f>
        <v/>
      </c>
      <c r="L1761" s="18" t="n"/>
      <c r="M1761" s="18" t="n"/>
      <c r="N1761" s="22" t="n"/>
    </row>
    <row r="1762">
      <c r="A1762" s="19" t="n"/>
      <c r="B1762" s="25">
        <f>IF(A1762="","",CHOOSE(WEEKDAY(A1762,2),"월","화","수","목","금","토","일"))</f>
        <v/>
      </c>
      <c r="C1762" s="18" t="n"/>
      <c r="D1762" s="25">
        <f>IFERROR(IF(C1762="","",INDEX(직원명부!$B$5:$B$24,MATCH(C1762,직원명부!$A$5:$A$24,0))),"사번 확인")</f>
        <v/>
      </c>
      <c r="E1762" s="34" t="n"/>
      <c r="F1762" s="34" t="n"/>
      <c r="G1762" s="28" t="n"/>
      <c r="H1762" s="33">
        <f>IF(OR(E1762="",F1762=""),"",ROUND(MOD(F1762-E1762,1)*24-N(G1762),2))</f>
        <v/>
      </c>
      <c r="I1762" s="33">
        <f>IF(H1762="","",ROUND(MAX(0,H1762-8),2))</f>
        <v/>
      </c>
      <c r="J1762" s="33">
        <f>IF(OR(E1762="",F1762=""),"",ROUND(IF(MOD(F1762,1)&gt;=TIME(22,0,0),(MOD(F1762,1)-TIME(22,0,0))*24,IF(MOD(F1762,1)&lt;TIME(6,0,0),(MOD(F1762,1)+1-TIME(22,0,0))*24,0)),2))</f>
        <v/>
      </c>
      <c r="K1762" s="33">
        <f>IF(H1762="","",ROUND(IF(L1762="휴일근로",MIN(H1762,8)*1.5+MAX(0,H1762-8)*2,I1762*1.5)+N(J1762)*0.5,2))</f>
        <v/>
      </c>
      <c r="L1762" s="18" t="n"/>
      <c r="M1762" s="18" t="n"/>
      <c r="N1762" s="22" t="n"/>
    </row>
    <row r="1763">
      <c r="A1763" s="19" t="n"/>
      <c r="B1763" s="25">
        <f>IF(A1763="","",CHOOSE(WEEKDAY(A1763,2),"월","화","수","목","금","토","일"))</f>
        <v/>
      </c>
      <c r="C1763" s="18" t="n"/>
      <c r="D1763" s="25">
        <f>IFERROR(IF(C1763="","",INDEX(직원명부!$B$5:$B$24,MATCH(C1763,직원명부!$A$5:$A$24,0))),"사번 확인")</f>
        <v/>
      </c>
      <c r="E1763" s="34" t="n"/>
      <c r="F1763" s="34" t="n"/>
      <c r="G1763" s="28" t="n"/>
      <c r="H1763" s="33">
        <f>IF(OR(E1763="",F1763=""),"",ROUND(MOD(F1763-E1763,1)*24-N(G1763),2))</f>
        <v/>
      </c>
      <c r="I1763" s="33">
        <f>IF(H1763="","",ROUND(MAX(0,H1763-8),2))</f>
        <v/>
      </c>
      <c r="J1763" s="33">
        <f>IF(OR(E1763="",F1763=""),"",ROUND(IF(MOD(F1763,1)&gt;=TIME(22,0,0),(MOD(F1763,1)-TIME(22,0,0))*24,IF(MOD(F1763,1)&lt;TIME(6,0,0),(MOD(F1763,1)+1-TIME(22,0,0))*24,0)),2))</f>
        <v/>
      </c>
      <c r="K1763" s="33">
        <f>IF(H1763="","",ROUND(IF(L1763="휴일근로",MIN(H1763,8)*1.5+MAX(0,H1763-8)*2,I1763*1.5)+N(J1763)*0.5,2))</f>
        <v/>
      </c>
      <c r="L1763" s="18" t="n"/>
      <c r="M1763" s="18" t="n"/>
      <c r="N1763" s="22" t="n"/>
    </row>
    <row r="1764">
      <c r="A1764" s="19" t="n"/>
      <c r="B1764" s="25">
        <f>IF(A1764="","",CHOOSE(WEEKDAY(A1764,2),"월","화","수","목","금","토","일"))</f>
        <v/>
      </c>
      <c r="C1764" s="18" t="n"/>
      <c r="D1764" s="25">
        <f>IFERROR(IF(C1764="","",INDEX(직원명부!$B$5:$B$24,MATCH(C1764,직원명부!$A$5:$A$24,0))),"사번 확인")</f>
        <v/>
      </c>
      <c r="E1764" s="34" t="n"/>
      <c r="F1764" s="34" t="n"/>
      <c r="G1764" s="28" t="n"/>
      <c r="H1764" s="33">
        <f>IF(OR(E1764="",F1764=""),"",ROUND(MOD(F1764-E1764,1)*24-N(G1764),2))</f>
        <v/>
      </c>
      <c r="I1764" s="33">
        <f>IF(H1764="","",ROUND(MAX(0,H1764-8),2))</f>
        <v/>
      </c>
      <c r="J1764" s="33">
        <f>IF(OR(E1764="",F1764=""),"",ROUND(IF(MOD(F1764,1)&gt;=TIME(22,0,0),(MOD(F1764,1)-TIME(22,0,0))*24,IF(MOD(F1764,1)&lt;TIME(6,0,0),(MOD(F1764,1)+1-TIME(22,0,0))*24,0)),2))</f>
        <v/>
      </c>
      <c r="K1764" s="33">
        <f>IF(H1764="","",ROUND(IF(L1764="휴일근로",MIN(H1764,8)*1.5+MAX(0,H1764-8)*2,I1764*1.5)+N(J1764)*0.5,2))</f>
        <v/>
      </c>
      <c r="L1764" s="18" t="n"/>
      <c r="M1764" s="18" t="n"/>
      <c r="N1764" s="22" t="n"/>
    </row>
    <row r="1765">
      <c r="A1765" s="19" t="n"/>
      <c r="B1765" s="25">
        <f>IF(A1765="","",CHOOSE(WEEKDAY(A1765,2),"월","화","수","목","금","토","일"))</f>
        <v/>
      </c>
      <c r="C1765" s="18" t="n"/>
      <c r="D1765" s="25">
        <f>IFERROR(IF(C1765="","",INDEX(직원명부!$B$5:$B$24,MATCH(C1765,직원명부!$A$5:$A$24,0))),"사번 확인")</f>
        <v/>
      </c>
      <c r="E1765" s="34" t="n"/>
      <c r="F1765" s="34" t="n"/>
      <c r="G1765" s="28" t="n"/>
      <c r="H1765" s="33">
        <f>IF(OR(E1765="",F1765=""),"",ROUND(MOD(F1765-E1765,1)*24-N(G1765),2))</f>
        <v/>
      </c>
      <c r="I1765" s="33">
        <f>IF(H1765="","",ROUND(MAX(0,H1765-8),2))</f>
        <v/>
      </c>
      <c r="J1765" s="33">
        <f>IF(OR(E1765="",F1765=""),"",ROUND(IF(MOD(F1765,1)&gt;=TIME(22,0,0),(MOD(F1765,1)-TIME(22,0,0))*24,IF(MOD(F1765,1)&lt;TIME(6,0,0),(MOD(F1765,1)+1-TIME(22,0,0))*24,0)),2))</f>
        <v/>
      </c>
      <c r="K1765" s="33">
        <f>IF(H1765="","",ROUND(IF(L1765="휴일근로",MIN(H1765,8)*1.5+MAX(0,H1765-8)*2,I1765*1.5)+N(J1765)*0.5,2))</f>
        <v/>
      </c>
      <c r="L1765" s="18" t="n"/>
      <c r="M1765" s="18" t="n"/>
      <c r="N1765" s="22" t="n"/>
    </row>
    <row r="1766">
      <c r="A1766" s="19" t="n"/>
      <c r="B1766" s="25">
        <f>IF(A1766="","",CHOOSE(WEEKDAY(A1766,2),"월","화","수","목","금","토","일"))</f>
        <v/>
      </c>
      <c r="C1766" s="18" t="n"/>
      <c r="D1766" s="25">
        <f>IFERROR(IF(C1766="","",INDEX(직원명부!$B$5:$B$24,MATCH(C1766,직원명부!$A$5:$A$24,0))),"사번 확인")</f>
        <v/>
      </c>
      <c r="E1766" s="34" t="n"/>
      <c r="F1766" s="34" t="n"/>
      <c r="G1766" s="28" t="n"/>
      <c r="H1766" s="33">
        <f>IF(OR(E1766="",F1766=""),"",ROUND(MOD(F1766-E1766,1)*24-N(G1766),2))</f>
        <v/>
      </c>
      <c r="I1766" s="33">
        <f>IF(H1766="","",ROUND(MAX(0,H1766-8),2))</f>
        <v/>
      </c>
      <c r="J1766" s="33">
        <f>IF(OR(E1766="",F1766=""),"",ROUND(IF(MOD(F1766,1)&gt;=TIME(22,0,0),(MOD(F1766,1)-TIME(22,0,0))*24,IF(MOD(F1766,1)&lt;TIME(6,0,0),(MOD(F1766,1)+1-TIME(22,0,0))*24,0)),2))</f>
        <v/>
      </c>
      <c r="K1766" s="33">
        <f>IF(H1766="","",ROUND(IF(L1766="휴일근로",MIN(H1766,8)*1.5+MAX(0,H1766-8)*2,I1766*1.5)+N(J1766)*0.5,2))</f>
        <v/>
      </c>
      <c r="L1766" s="18" t="n"/>
      <c r="M1766" s="18" t="n"/>
      <c r="N1766" s="22" t="n"/>
    </row>
    <row r="1767">
      <c r="A1767" s="19" t="n"/>
      <c r="B1767" s="25">
        <f>IF(A1767="","",CHOOSE(WEEKDAY(A1767,2),"월","화","수","목","금","토","일"))</f>
        <v/>
      </c>
      <c r="C1767" s="18" t="n"/>
      <c r="D1767" s="25">
        <f>IFERROR(IF(C1767="","",INDEX(직원명부!$B$5:$B$24,MATCH(C1767,직원명부!$A$5:$A$24,0))),"사번 확인")</f>
        <v/>
      </c>
      <c r="E1767" s="34" t="n"/>
      <c r="F1767" s="34" t="n"/>
      <c r="G1767" s="28" t="n"/>
      <c r="H1767" s="33">
        <f>IF(OR(E1767="",F1767=""),"",ROUND(MOD(F1767-E1767,1)*24-N(G1767),2))</f>
        <v/>
      </c>
      <c r="I1767" s="33">
        <f>IF(H1767="","",ROUND(MAX(0,H1767-8),2))</f>
        <v/>
      </c>
      <c r="J1767" s="33">
        <f>IF(OR(E1767="",F1767=""),"",ROUND(IF(MOD(F1767,1)&gt;=TIME(22,0,0),(MOD(F1767,1)-TIME(22,0,0))*24,IF(MOD(F1767,1)&lt;TIME(6,0,0),(MOD(F1767,1)+1-TIME(22,0,0))*24,0)),2))</f>
        <v/>
      </c>
      <c r="K1767" s="33">
        <f>IF(H1767="","",ROUND(IF(L1767="휴일근로",MIN(H1767,8)*1.5+MAX(0,H1767-8)*2,I1767*1.5)+N(J1767)*0.5,2))</f>
        <v/>
      </c>
      <c r="L1767" s="18" t="n"/>
      <c r="M1767" s="18" t="n"/>
      <c r="N1767" s="22" t="n"/>
    </row>
    <row r="1768">
      <c r="A1768" s="19" t="n"/>
      <c r="B1768" s="25">
        <f>IF(A1768="","",CHOOSE(WEEKDAY(A1768,2),"월","화","수","목","금","토","일"))</f>
        <v/>
      </c>
      <c r="C1768" s="18" t="n"/>
      <c r="D1768" s="25">
        <f>IFERROR(IF(C1768="","",INDEX(직원명부!$B$5:$B$24,MATCH(C1768,직원명부!$A$5:$A$24,0))),"사번 확인")</f>
        <v/>
      </c>
      <c r="E1768" s="34" t="n"/>
      <c r="F1768" s="34" t="n"/>
      <c r="G1768" s="28" t="n"/>
      <c r="H1768" s="33">
        <f>IF(OR(E1768="",F1768=""),"",ROUND(MOD(F1768-E1768,1)*24-N(G1768),2))</f>
        <v/>
      </c>
      <c r="I1768" s="33">
        <f>IF(H1768="","",ROUND(MAX(0,H1768-8),2))</f>
        <v/>
      </c>
      <c r="J1768" s="33">
        <f>IF(OR(E1768="",F1768=""),"",ROUND(IF(MOD(F1768,1)&gt;=TIME(22,0,0),(MOD(F1768,1)-TIME(22,0,0))*24,IF(MOD(F1768,1)&lt;TIME(6,0,0),(MOD(F1768,1)+1-TIME(22,0,0))*24,0)),2))</f>
        <v/>
      </c>
      <c r="K1768" s="33">
        <f>IF(H1768="","",ROUND(IF(L1768="휴일근로",MIN(H1768,8)*1.5+MAX(0,H1768-8)*2,I1768*1.5)+N(J1768)*0.5,2))</f>
        <v/>
      </c>
      <c r="L1768" s="18" t="n"/>
      <c r="M1768" s="18" t="n"/>
      <c r="N1768" s="22" t="n"/>
    </row>
    <row r="1769">
      <c r="A1769" s="19" t="n"/>
      <c r="B1769" s="25">
        <f>IF(A1769="","",CHOOSE(WEEKDAY(A1769,2),"월","화","수","목","금","토","일"))</f>
        <v/>
      </c>
      <c r="C1769" s="18" t="n"/>
      <c r="D1769" s="25">
        <f>IFERROR(IF(C1769="","",INDEX(직원명부!$B$5:$B$24,MATCH(C1769,직원명부!$A$5:$A$24,0))),"사번 확인")</f>
        <v/>
      </c>
      <c r="E1769" s="34" t="n"/>
      <c r="F1769" s="34" t="n"/>
      <c r="G1769" s="28" t="n"/>
      <c r="H1769" s="33">
        <f>IF(OR(E1769="",F1769=""),"",ROUND(MOD(F1769-E1769,1)*24-N(G1769),2))</f>
        <v/>
      </c>
      <c r="I1769" s="33">
        <f>IF(H1769="","",ROUND(MAX(0,H1769-8),2))</f>
        <v/>
      </c>
      <c r="J1769" s="33">
        <f>IF(OR(E1769="",F1769=""),"",ROUND(IF(MOD(F1769,1)&gt;=TIME(22,0,0),(MOD(F1769,1)-TIME(22,0,0))*24,IF(MOD(F1769,1)&lt;TIME(6,0,0),(MOD(F1769,1)+1-TIME(22,0,0))*24,0)),2))</f>
        <v/>
      </c>
      <c r="K1769" s="33">
        <f>IF(H1769="","",ROUND(IF(L1769="휴일근로",MIN(H1769,8)*1.5+MAX(0,H1769-8)*2,I1769*1.5)+N(J1769)*0.5,2))</f>
        <v/>
      </c>
      <c r="L1769" s="18" t="n"/>
      <c r="M1769" s="18" t="n"/>
      <c r="N1769" s="22" t="n"/>
    </row>
    <row r="1770">
      <c r="A1770" s="19" t="n"/>
      <c r="B1770" s="25">
        <f>IF(A1770="","",CHOOSE(WEEKDAY(A1770,2),"월","화","수","목","금","토","일"))</f>
        <v/>
      </c>
      <c r="C1770" s="18" t="n"/>
      <c r="D1770" s="25">
        <f>IFERROR(IF(C1770="","",INDEX(직원명부!$B$5:$B$24,MATCH(C1770,직원명부!$A$5:$A$24,0))),"사번 확인")</f>
        <v/>
      </c>
      <c r="E1770" s="34" t="n"/>
      <c r="F1770" s="34" t="n"/>
      <c r="G1770" s="28" t="n"/>
      <c r="H1770" s="33">
        <f>IF(OR(E1770="",F1770=""),"",ROUND(MOD(F1770-E1770,1)*24-N(G1770),2))</f>
        <v/>
      </c>
      <c r="I1770" s="33">
        <f>IF(H1770="","",ROUND(MAX(0,H1770-8),2))</f>
        <v/>
      </c>
      <c r="J1770" s="33">
        <f>IF(OR(E1770="",F1770=""),"",ROUND(IF(MOD(F1770,1)&gt;=TIME(22,0,0),(MOD(F1770,1)-TIME(22,0,0))*24,IF(MOD(F1770,1)&lt;TIME(6,0,0),(MOD(F1770,1)+1-TIME(22,0,0))*24,0)),2))</f>
        <v/>
      </c>
      <c r="K1770" s="33">
        <f>IF(H1770="","",ROUND(IF(L1770="휴일근로",MIN(H1770,8)*1.5+MAX(0,H1770-8)*2,I1770*1.5)+N(J1770)*0.5,2))</f>
        <v/>
      </c>
      <c r="L1770" s="18" t="n"/>
      <c r="M1770" s="18" t="n"/>
      <c r="N1770" s="22" t="n"/>
    </row>
    <row r="1771">
      <c r="A1771" s="19" t="n"/>
      <c r="B1771" s="25">
        <f>IF(A1771="","",CHOOSE(WEEKDAY(A1771,2),"월","화","수","목","금","토","일"))</f>
        <v/>
      </c>
      <c r="C1771" s="18" t="n"/>
      <c r="D1771" s="25">
        <f>IFERROR(IF(C1771="","",INDEX(직원명부!$B$5:$B$24,MATCH(C1771,직원명부!$A$5:$A$24,0))),"사번 확인")</f>
        <v/>
      </c>
      <c r="E1771" s="34" t="n"/>
      <c r="F1771" s="34" t="n"/>
      <c r="G1771" s="28" t="n"/>
      <c r="H1771" s="33">
        <f>IF(OR(E1771="",F1771=""),"",ROUND(MOD(F1771-E1771,1)*24-N(G1771),2))</f>
        <v/>
      </c>
      <c r="I1771" s="33">
        <f>IF(H1771="","",ROUND(MAX(0,H1771-8),2))</f>
        <v/>
      </c>
      <c r="J1771" s="33">
        <f>IF(OR(E1771="",F1771=""),"",ROUND(IF(MOD(F1771,1)&gt;=TIME(22,0,0),(MOD(F1771,1)-TIME(22,0,0))*24,IF(MOD(F1771,1)&lt;TIME(6,0,0),(MOD(F1771,1)+1-TIME(22,0,0))*24,0)),2))</f>
        <v/>
      </c>
      <c r="K1771" s="33">
        <f>IF(H1771="","",ROUND(IF(L1771="휴일근로",MIN(H1771,8)*1.5+MAX(0,H1771-8)*2,I1771*1.5)+N(J1771)*0.5,2))</f>
        <v/>
      </c>
      <c r="L1771" s="18" t="n"/>
      <c r="M1771" s="18" t="n"/>
      <c r="N1771" s="22" t="n"/>
    </row>
    <row r="1772">
      <c r="A1772" s="19" t="n"/>
      <c r="B1772" s="25">
        <f>IF(A1772="","",CHOOSE(WEEKDAY(A1772,2),"월","화","수","목","금","토","일"))</f>
        <v/>
      </c>
      <c r="C1772" s="18" t="n"/>
      <c r="D1772" s="25">
        <f>IFERROR(IF(C1772="","",INDEX(직원명부!$B$5:$B$24,MATCH(C1772,직원명부!$A$5:$A$24,0))),"사번 확인")</f>
        <v/>
      </c>
      <c r="E1772" s="34" t="n"/>
      <c r="F1772" s="34" t="n"/>
      <c r="G1772" s="28" t="n"/>
      <c r="H1772" s="33">
        <f>IF(OR(E1772="",F1772=""),"",ROUND(MOD(F1772-E1772,1)*24-N(G1772),2))</f>
        <v/>
      </c>
      <c r="I1772" s="33">
        <f>IF(H1772="","",ROUND(MAX(0,H1772-8),2))</f>
        <v/>
      </c>
      <c r="J1772" s="33">
        <f>IF(OR(E1772="",F1772=""),"",ROUND(IF(MOD(F1772,1)&gt;=TIME(22,0,0),(MOD(F1772,1)-TIME(22,0,0))*24,IF(MOD(F1772,1)&lt;TIME(6,0,0),(MOD(F1772,1)+1-TIME(22,0,0))*24,0)),2))</f>
        <v/>
      </c>
      <c r="K1772" s="33">
        <f>IF(H1772="","",ROUND(IF(L1772="휴일근로",MIN(H1772,8)*1.5+MAX(0,H1772-8)*2,I1772*1.5)+N(J1772)*0.5,2))</f>
        <v/>
      </c>
      <c r="L1772" s="18" t="n"/>
      <c r="M1772" s="18" t="n"/>
      <c r="N1772" s="22" t="n"/>
    </row>
    <row r="1773">
      <c r="A1773" s="19" t="n"/>
      <c r="B1773" s="25">
        <f>IF(A1773="","",CHOOSE(WEEKDAY(A1773,2),"월","화","수","목","금","토","일"))</f>
        <v/>
      </c>
      <c r="C1773" s="18" t="n"/>
      <c r="D1773" s="25">
        <f>IFERROR(IF(C1773="","",INDEX(직원명부!$B$5:$B$24,MATCH(C1773,직원명부!$A$5:$A$24,0))),"사번 확인")</f>
        <v/>
      </c>
      <c r="E1773" s="34" t="n"/>
      <c r="F1773" s="34" t="n"/>
      <c r="G1773" s="28" t="n"/>
      <c r="H1773" s="33">
        <f>IF(OR(E1773="",F1773=""),"",ROUND(MOD(F1773-E1773,1)*24-N(G1773),2))</f>
        <v/>
      </c>
      <c r="I1773" s="33">
        <f>IF(H1773="","",ROUND(MAX(0,H1773-8),2))</f>
        <v/>
      </c>
      <c r="J1773" s="33">
        <f>IF(OR(E1773="",F1773=""),"",ROUND(IF(MOD(F1773,1)&gt;=TIME(22,0,0),(MOD(F1773,1)-TIME(22,0,0))*24,IF(MOD(F1773,1)&lt;TIME(6,0,0),(MOD(F1773,1)+1-TIME(22,0,0))*24,0)),2))</f>
        <v/>
      </c>
      <c r="K1773" s="33">
        <f>IF(H1773="","",ROUND(IF(L1773="휴일근로",MIN(H1773,8)*1.5+MAX(0,H1773-8)*2,I1773*1.5)+N(J1773)*0.5,2))</f>
        <v/>
      </c>
      <c r="L1773" s="18" t="n"/>
      <c r="M1773" s="18" t="n"/>
      <c r="N1773" s="22" t="n"/>
    </row>
    <row r="1774">
      <c r="A1774" s="19" t="n"/>
      <c r="B1774" s="25">
        <f>IF(A1774="","",CHOOSE(WEEKDAY(A1774,2),"월","화","수","목","금","토","일"))</f>
        <v/>
      </c>
      <c r="C1774" s="18" t="n"/>
      <c r="D1774" s="25">
        <f>IFERROR(IF(C1774="","",INDEX(직원명부!$B$5:$B$24,MATCH(C1774,직원명부!$A$5:$A$24,0))),"사번 확인")</f>
        <v/>
      </c>
      <c r="E1774" s="34" t="n"/>
      <c r="F1774" s="34" t="n"/>
      <c r="G1774" s="28" t="n"/>
      <c r="H1774" s="33">
        <f>IF(OR(E1774="",F1774=""),"",ROUND(MOD(F1774-E1774,1)*24-N(G1774),2))</f>
        <v/>
      </c>
      <c r="I1774" s="33">
        <f>IF(H1774="","",ROUND(MAX(0,H1774-8),2))</f>
        <v/>
      </c>
      <c r="J1774" s="33">
        <f>IF(OR(E1774="",F1774=""),"",ROUND(IF(MOD(F1774,1)&gt;=TIME(22,0,0),(MOD(F1774,1)-TIME(22,0,0))*24,IF(MOD(F1774,1)&lt;TIME(6,0,0),(MOD(F1774,1)+1-TIME(22,0,0))*24,0)),2))</f>
        <v/>
      </c>
      <c r="K1774" s="33">
        <f>IF(H1774="","",ROUND(IF(L1774="휴일근로",MIN(H1774,8)*1.5+MAX(0,H1774-8)*2,I1774*1.5)+N(J1774)*0.5,2))</f>
        <v/>
      </c>
      <c r="L1774" s="18" t="n"/>
      <c r="M1774" s="18" t="n"/>
      <c r="N1774" s="22" t="n"/>
    </row>
    <row r="1775">
      <c r="A1775" s="19" t="n"/>
      <c r="B1775" s="25">
        <f>IF(A1775="","",CHOOSE(WEEKDAY(A1775,2),"월","화","수","목","금","토","일"))</f>
        <v/>
      </c>
      <c r="C1775" s="18" t="n"/>
      <c r="D1775" s="25">
        <f>IFERROR(IF(C1775="","",INDEX(직원명부!$B$5:$B$24,MATCH(C1775,직원명부!$A$5:$A$24,0))),"사번 확인")</f>
        <v/>
      </c>
      <c r="E1775" s="34" t="n"/>
      <c r="F1775" s="34" t="n"/>
      <c r="G1775" s="28" t="n"/>
      <c r="H1775" s="33">
        <f>IF(OR(E1775="",F1775=""),"",ROUND(MOD(F1775-E1775,1)*24-N(G1775),2))</f>
        <v/>
      </c>
      <c r="I1775" s="33">
        <f>IF(H1775="","",ROUND(MAX(0,H1775-8),2))</f>
        <v/>
      </c>
      <c r="J1775" s="33">
        <f>IF(OR(E1775="",F1775=""),"",ROUND(IF(MOD(F1775,1)&gt;=TIME(22,0,0),(MOD(F1775,1)-TIME(22,0,0))*24,IF(MOD(F1775,1)&lt;TIME(6,0,0),(MOD(F1775,1)+1-TIME(22,0,0))*24,0)),2))</f>
        <v/>
      </c>
      <c r="K1775" s="33">
        <f>IF(H1775="","",ROUND(IF(L1775="휴일근로",MIN(H1775,8)*1.5+MAX(0,H1775-8)*2,I1775*1.5)+N(J1775)*0.5,2))</f>
        <v/>
      </c>
      <c r="L1775" s="18" t="n"/>
      <c r="M1775" s="18" t="n"/>
      <c r="N1775" s="22" t="n"/>
    </row>
    <row r="1776">
      <c r="A1776" s="19" t="n"/>
      <c r="B1776" s="25">
        <f>IF(A1776="","",CHOOSE(WEEKDAY(A1776,2),"월","화","수","목","금","토","일"))</f>
        <v/>
      </c>
      <c r="C1776" s="18" t="n"/>
      <c r="D1776" s="25">
        <f>IFERROR(IF(C1776="","",INDEX(직원명부!$B$5:$B$24,MATCH(C1776,직원명부!$A$5:$A$24,0))),"사번 확인")</f>
        <v/>
      </c>
      <c r="E1776" s="34" t="n"/>
      <c r="F1776" s="34" t="n"/>
      <c r="G1776" s="28" t="n"/>
      <c r="H1776" s="33">
        <f>IF(OR(E1776="",F1776=""),"",ROUND(MOD(F1776-E1776,1)*24-N(G1776),2))</f>
        <v/>
      </c>
      <c r="I1776" s="33">
        <f>IF(H1776="","",ROUND(MAX(0,H1776-8),2))</f>
        <v/>
      </c>
      <c r="J1776" s="33">
        <f>IF(OR(E1776="",F1776=""),"",ROUND(IF(MOD(F1776,1)&gt;=TIME(22,0,0),(MOD(F1776,1)-TIME(22,0,0))*24,IF(MOD(F1776,1)&lt;TIME(6,0,0),(MOD(F1776,1)+1-TIME(22,0,0))*24,0)),2))</f>
        <v/>
      </c>
      <c r="K1776" s="33">
        <f>IF(H1776="","",ROUND(IF(L1776="휴일근로",MIN(H1776,8)*1.5+MAX(0,H1776-8)*2,I1776*1.5)+N(J1776)*0.5,2))</f>
        <v/>
      </c>
      <c r="L1776" s="18" t="n"/>
      <c r="M1776" s="18" t="n"/>
      <c r="N1776" s="22" t="n"/>
    </row>
    <row r="1777">
      <c r="A1777" s="19" t="n"/>
      <c r="B1777" s="25">
        <f>IF(A1777="","",CHOOSE(WEEKDAY(A1777,2),"월","화","수","목","금","토","일"))</f>
        <v/>
      </c>
      <c r="C1777" s="18" t="n"/>
      <c r="D1777" s="25">
        <f>IFERROR(IF(C1777="","",INDEX(직원명부!$B$5:$B$24,MATCH(C1777,직원명부!$A$5:$A$24,0))),"사번 확인")</f>
        <v/>
      </c>
      <c r="E1777" s="34" t="n"/>
      <c r="F1777" s="34" t="n"/>
      <c r="G1777" s="28" t="n"/>
      <c r="H1777" s="33">
        <f>IF(OR(E1777="",F1777=""),"",ROUND(MOD(F1777-E1777,1)*24-N(G1777),2))</f>
        <v/>
      </c>
      <c r="I1777" s="33">
        <f>IF(H1777="","",ROUND(MAX(0,H1777-8),2))</f>
        <v/>
      </c>
      <c r="J1777" s="33">
        <f>IF(OR(E1777="",F1777=""),"",ROUND(IF(MOD(F1777,1)&gt;=TIME(22,0,0),(MOD(F1777,1)-TIME(22,0,0))*24,IF(MOD(F1777,1)&lt;TIME(6,0,0),(MOD(F1777,1)+1-TIME(22,0,0))*24,0)),2))</f>
        <v/>
      </c>
      <c r="K1777" s="33">
        <f>IF(H1777="","",ROUND(IF(L1777="휴일근로",MIN(H1777,8)*1.5+MAX(0,H1777-8)*2,I1777*1.5)+N(J1777)*0.5,2))</f>
        <v/>
      </c>
      <c r="L1777" s="18" t="n"/>
      <c r="M1777" s="18" t="n"/>
      <c r="N1777" s="22" t="n"/>
    </row>
    <row r="1778">
      <c r="A1778" s="19" t="n"/>
      <c r="B1778" s="25">
        <f>IF(A1778="","",CHOOSE(WEEKDAY(A1778,2),"월","화","수","목","금","토","일"))</f>
        <v/>
      </c>
      <c r="C1778" s="18" t="n"/>
      <c r="D1778" s="25">
        <f>IFERROR(IF(C1778="","",INDEX(직원명부!$B$5:$B$24,MATCH(C1778,직원명부!$A$5:$A$24,0))),"사번 확인")</f>
        <v/>
      </c>
      <c r="E1778" s="34" t="n"/>
      <c r="F1778" s="34" t="n"/>
      <c r="G1778" s="28" t="n"/>
      <c r="H1778" s="33">
        <f>IF(OR(E1778="",F1778=""),"",ROUND(MOD(F1778-E1778,1)*24-N(G1778),2))</f>
        <v/>
      </c>
      <c r="I1778" s="33">
        <f>IF(H1778="","",ROUND(MAX(0,H1778-8),2))</f>
        <v/>
      </c>
      <c r="J1778" s="33">
        <f>IF(OR(E1778="",F1778=""),"",ROUND(IF(MOD(F1778,1)&gt;=TIME(22,0,0),(MOD(F1778,1)-TIME(22,0,0))*24,IF(MOD(F1778,1)&lt;TIME(6,0,0),(MOD(F1778,1)+1-TIME(22,0,0))*24,0)),2))</f>
        <v/>
      </c>
      <c r="K1778" s="33">
        <f>IF(H1778="","",ROUND(IF(L1778="휴일근로",MIN(H1778,8)*1.5+MAX(0,H1778-8)*2,I1778*1.5)+N(J1778)*0.5,2))</f>
        <v/>
      </c>
      <c r="L1778" s="18" t="n"/>
      <c r="M1778" s="18" t="n"/>
      <c r="N1778" s="22" t="n"/>
    </row>
    <row r="1779">
      <c r="A1779" s="19" t="n"/>
      <c r="B1779" s="25">
        <f>IF(A1779="","",CHOOSE(WEEKDAY(A1779,2),"월","화","수","목","금","토","일"))</f>
        <v/>
      </c>
      <c r="C1779" s="18" t="n"/>
      <c r="D1779" s="25">
        <f>IFERROR(IF(C1779="","",INDEX(직원명부!$B$5:$B$24,MATCH(C1779,직원명부!$A$5:$A$24,0))),"사번 확인")</f>
        <v/>
      </c>
      <c r="E1779" s="34" t="n"/>
      <c r="F1779" s="34" t="n"/>
      <c r="G1779" s="28" t="n"/>
      <c r="H1779" s="33">
        <f>IF(OR(E1779="",F1779=""),"",ROUND(MOD(F1779-E1779,1)*24-N(G1779),2))</f>
        <v/>
      </c>
      <c r="I1779" s="33">
        <f>IF(H1779="","",ROUND(MAX(0,H1779-8),2))</f>
        <v/>
      </c>
      <c r="J1779" s="33">
        <f>IF(OR(E1779="",F1779=""),"",ROUND(IF(MOD(F1779,1)&gt;=TIME(22,0,0),(MOD(F1779,1)-TIME(22,0,0))*24,IF(MOD(F1779,1)&lt;TIME(6,0,0),(MOD(F1779,1)+1-TIME(22,0,0))*24,0)),2))</f>
        <v/>
      </c>
      <c r="K1779" s="33">
        <f>IF(H1779="","",ROUND(IF(L1779="휴일근로",MIN(H1779,8)*1.5+MAX(0,H1779-8)*2,I1779*1.5)+N(J1779)*0.5,2))</f>
        <v/>
      </c>
      <c r="L1779" s="18" t="n"/>
      <c r="M1779" s="18" t="n"/>
      <c r="N1779" s="22" t="n"/>
    </row>
    <row r="1780">
      <c r="A1780" s="19" t="n"/>
      <c r="B1780" s="25">
        <f>IF(A1780="","",CHOOSE(WEEKDAY(A1780,2),"월","화","수","목","금","토","일"))</f>
        <v/>
      </c>
      <c r="C1780" s="18" t="n"/>
      <c r="D1780" s="25">
        <f>IFERROR(IF(C1780="","",INDEX(직원명부!$B$5:$B$24,MATCH(C1780,직원명부!$A$5:$A$24,0))),"사번 확인")</f>
        <v/>
      </c>
      <c r="E1780" s="34" t="n"/>
      <c r="F1780" s="34" t="n"/>
      <c r="G1780" s="28" t="n"/>
      <c r="H1780" s="33">
        <f>IF(OR(E1780="",F1780=""),"",ROUND(MOD(F1780-E1780,1)*24-N(G1780),2))</f>
        <v/>
      </c>
      <c r="I1780" s="33">
        <f>IF(H1780="","",ROUND(MAX(0,H1780-8),2))</f>
        <v/>
      </c>
      <c r="J1780" s="33">
        <f>IF(OR(E1780="",F1780=""),"",ROUND(IF(MOD(F1780,1)&gt;=TIME(22,0,0),(MOD(F1780,1)-TIME(22,0,0))*24,IF(MOD(F1780,1)&lt;TIME(6,0,0),(MOD(F1780,1)+1-TIME(22,0,0))*24,0)),2))</f>
        <v/>
      </c>
      <c r="K1780" s="33">
        <f>IF(H1780="","",ROUND(IF(L1780="휴일근로",MIN(H1780,8)*1.5+MAX(0,H1780-8)*2,I1780*1.5)+N(J1780)*0.5,2))</f>
        <v/>
      </c>
      <c r="L1780" s="18" t="n"/>
      <c r="M1780" s="18" t="n"/>
      <c r="N1780" s="22" t="n"/>
    </row>
    <row r="1781">
      <c r="A1781" s="19" t="n"/>
      <c r="B1781" s="25">
        <f>IF(A1781="","",CHOOSE(WEEKDAY(A1781,2),"월","화","수","목","금","토","일"))</f>
        <v/>
      </c>
      <c r="C1781" s="18" t="n"/>
      <c r="D1781" s="25">
        <f>IFERROR(IF(C1781="","",INDEX(직원명부!$B$5:$B$24,MATCH(C1781,직원명부!$A$5:$A$24,0))),"사번 확인")</f>
        <v/>
      </c>
      <c r="E1781" s="34" t="n"/>
      <c r="F1781" s="34" t="n"/>
      <c r="G1781" s="28" t="n"/>
      <c r="H1781" s="33">
        <f>IF(OR(E1781="",F1781=""),"",ROUND(MOD(F1781-E1781,1)*24-N(G1781),2))</f>
        <v/>
      </c>
      <c r="I1781" s="33">
        <f>IF(H1781="","",ROUND(MAX(0,H1781-8),2))</f>
        <v/>
      </c>
      <c r="J1781" s="33">
        <f>IF(OR(E1781="",F1781=""),"",ROUND(IF(MOD(F1781,1)&gt;=TIME(22,0,0),(MOD(F1781,1)-TIME(22,0,0))*24,IF(MOD(F1781,1)&lt;TIME(6,0,0),(MOD(F1781,1)+1-TIME(22,0,0))*24,0)),2))</f>
        <v/>
      </c>
      <c r="K1781" s="33">
        <f>IF(H1781="","",ROUND(IF(L1781="휴일근로",MIN(H1781,8)*1.5+MAX(0,H1781-8)*2,I1781*1.5)+N(J1781)*0.5,2))</f>
        <v/>
      </c>
      <c r="L1781" s="18" t="n"/>
      <c r="M1781" s="18" t="n"/>
      <c r="N1781" s="22" t="n"/>
    </row>
    <row r="1782">
      <c r="A1782" s="19" t="n"/>
      <c r="B1782" s="25">
        <f>IF(A1782="","",CHOOSE(WEEKDAY(A1782,2),"월","화","수","목","금","토","일"))</f>
        <v/>
      </c>
      <c r="C1782" s="18" t="n"/>
      <c r="D1782" s="25">
        <f>IFERROR(IF(C1782="","",INDEX(직원명부!$B$5:$B$24,MATCH(C1782,직원명부!$A$5:$A$24,0))),"사번 확인")</f>
        <v/>
      </c>
      <c r="E1782" s="34" t="n"/>
      <c r="F1782" s="34" t="n"/>
      <c r="G1782" s="28" t="n"/>
      <c r="H1782" s="33">
        <f>IF(OR(E1782="",F1782=""),"",ROUND(MOD(F1782-E1782,1)*24-N(G1782),2))</f>
        <v/>
      </c>
      <c r="I1782" s="33">
        <f>IF(H1782="","",ROUND(MAX(0,H1782-8),2))</f>
        <v/>
      </c>
      <c r="J1782" s="33">
        <f>IF(OR(E1782="",F1782=""),"",ROUND(IF(MOD(F1782,1)&gt;=TIME(22,0,0),(MOD(F1782,1)-TIME(22,0,0))*24,IF(MOD(F1782,1)&lt;TIME(6,0,0),(MOD(F1782,1)+1-TIME(22,0,0))*24,0)),2))</f>
        <v/>
      </c>
      <c r="K1782" s="33">
        <f>IF(H1782="","",ROUND(IF(L1782="휴일근로",MIN(H1782,8)*1.5+MAX(0,H1782-8)*2,I1782*1.5)+N(J1782)*0.5,2))</f>
        <v/>
      </c>
      <c r="L1782" s="18" t="n"/>
      <c r="M1782" s="18" t="n"/>
      <c r="N1782" s="22" t="n"/>
    </row>
    <row r="1783">
      <c r="A1783" s="19" t="n"/>
      <c r="B1783" s="25">
        <f>IF(A1783="","",CHOOSE(WEEKDAY(A1783,2),"월","화","수","목","금","토","일"))</f>
        <v/>
      </c>
      <c r="C1783" s="18" t="n"/>
      <c r="D1783" s="25">
        <f>IFERROR(IF(C1783="","",INDEX(직원명부!$B$5:$B$24,MATCH(C1783,직원명부!$A$5:$A$24,0))),"사번 확인")</f>
        <v/>
      </c>
      <c r="E1783" s="34" t="n"/>
      <c r="F1783" s="34" t="n"/>
      <c r="G1783" s="28" t="n"/>
      <c r="H1783" s="33">
        <f>IF(OR(E1783="",F1783=""),"",ROUND(MOD(F1783-E1783,1)*24-N(G1783),2))</f>
        <v/>
      </c>
      <c r="I1783" s="33">
        <f>IF(H1783="","",ROUND(MAX(0,H1783-8),2))</f>
        <v/>
      </c>
      <c r="J1783" s="33">
        <f>IF(OR(E1783="",F1783=""),"",ROUND(IF(MOD(F1783,1)&gt;=TIME(22,0,0),(MOD(F1783,1)-TIME(22,0,0))*24,IF(MOD(F1783,1)&lt;TIME(6,0,0),(MOD(F1783,1)+1-TIME(22,0,0))*24,0)),2))</f>
        <v/>
      </c>
      <c r="K1783" s="33">
        <f>IF(H1783="","",ROUND(IF(L1783="휴일근로",MIN(H1783,8)*1.5+MAX(0,H1783-8)*2,I1783*1.5)+N(J1783)*0.5,2))</f>
        <v/>
      </c>
      <c r="L1783" s="18" t="n"/>
      <c r="M1783" s="18" t="n"/>
      <c r="N1783" s="22" t="n"/>
    </row>
    <row r="1784">
      <c r="A1784" s="19" t="n"/>
      <c r="B1784" s="25">
        <f>IF(A1784="","",CHOOSE(WEEKDAY(A1784,2),"월","화","수","목","금","토","일"))</f>
        <v/>
      </c>
      <c r="C1784" s="18" t="n"/>
      <c r="D1784" s="25">
        <f>IFERROR(IF(C1784="","",INDEX(직원명부!$B$5:$B$24,MATCH(C1784,직원명부!$A$5:$A$24,0))),"사번 확인")</f>
        <v/>
      </c>
      <c r="E1784" s="34" t="n"/>
      <c r="F1784" s="34" t="n"/>
      <c r="G1784" s="28" t="n"/>
      <c r="H1784" s="33">
        <f>IF(OR(E1784="",F1784=""),"",ROUND(MOD(F1784-E1784,1)*24-N(G1784),2))</f>
        <v/>
      </c>
      <c r="I1784" s="33">
        <f>IF(H1784="","",ROUND(MAX(0,H1784-8),2))</f>
        <v/>
      </c>
      <c r="J1784" s="33">
        <f>IF(OR(E1784="",F1784=""),"",ROUND(IF(MOD(F1784,1)&gt;=TIME(22,0,0),(MOD(F1784,1)-TIME(22,0,0))*24,IF(MOD(F1784,1)&lt;TIME(6,0,0),(MOD(F1784,1)+1-TIME(22,0,0))*24,0)),2))</f>
        <v/>
      </c>
      <c r="K1784" s="33">
        <f>IF(H1784="","",ROUND(IF(L1784="휴일근로",MIN(H1784,8)*1.5+MAX(0,H1784-8)*2,I1784*1.5)+N(J1784)*0.5,2))</f>
        <v/>
      </c>
      <c r="L1784" s="18" t="n"/>
      <c r="M1784" s="18" t="n"/>
      <c r="N1784" s="22" t="n"/>
    </row>
    <row r="1785">
      <c r="A1785" s="19" t="n"/>
      <c r="B1785" s="25">
        <f>IF(A1785="","",CHOOSE(WEEKDAY(A1785,2),"월","화","수","목","금","토","일"))</f>
        <v/>
      </c>
      <c r="C1785" s="18" t="n"/>
      <c r="D1785" s="25">
        <f>IFERROR(IF(C1785="","",INDEX(직원명부!$B$5:$B$24,MATCH(C1785,직원명부!$A$5:$A$24,0))),"사번 확인")</f>
        <v/>
      </c>
      <c r="E1785" s="34" t="n"/>
      <c r="F1785" s="34" t="n"/>
      <c r="G1785" s="28" t="n"/>
      <c r="H1785" s="33">
        <f>IF(OR(E1785="",F1785=""),"",ROUND(MOD(F1785-E1785,1)*24-N(G1785),2))</f>
        <v/>
      </c>
      <c r="I1785" s="33">
        <f>IF(H1785="","",ROUND(MAX(0,H1785-8),2))</f>
        <v/>
      </c>
      <c r="J1785" s="33">
        <f>IF(OR(E1785="",F1785=""),"",ROUND(IF(MOD(F1785,1)&gt;=TIME(22,0,0),(MOD(F1785,1)-TIME(22,0,0))*24,IF(MOD(F1785,1)&lt;TIME(6,0,0),(MOD(F1785,1)+1-TIME(22,0,0))*24,0)),2))</f>
        <v/>
      </c>
      <c r="K1785" s="33">
        <f>IF(H1785="","",ROUND(IF(L1785="휴일근로",MIN(H1785,8)*1.5+MAX(0,H1785-8)*2,I1785*1.5)+N(J1785)*0.5,2))</f>
        <v/>
      </c>
      <c r="L1785" s="18" t="n"/>
      <c r="M1785" s="18" t="n"/>
      <c r="N1785" s="22" t="n"/>
    </row>
    <row r="1786">
      <c r="A1786" s="19" t="n"/>
      <c r="B1786" s="25">
        <f>IF(A1786="","",CHOOSE(WEEKDAY(A1786,2),"월","화","수","목","금","토","일"))</f>
        <v/>
      </c>
      <c r="C1786" s="18" t="n"/>
      <c r="D1786" s="25">
        <f>IFERROR(IF(C1786="","",INDEX(직원명부!$B$5:$B$24,MATCH(C1786,직원명부!$A$5:$A$24,0))),"사번 확인")</f>
        <v/>
      </c>
      <c r="E1786" s="34" t="n"/>
      <c r="F1786" s="34" t="n"/>
      <c r="G1786" s="28" t="n"/>
      <c r="H1786" s="33">
        <f>IF(OR(E1786="",F1786=""),"",ROUND(MOD(F1786-E1786,1)*24-N(G1786),2))</f>
        <v/>
      </c>
      <c r="I1786" s="33">
        <f>IF(H1786="","",ROUND(MAX(0,H1786-8),2))</f>
        <v/>
      </c>
      <c r="J1786" s="33">
        <f>IF(OR(E1786="",F1786=""),"",ROUND(IF(MOD(F1786,1)&gt;=TIME(22,0,0),(MOD(F1786,1)-TIME(22,0,0))*24,IF(MOD(F1786,1)&lt;TIME(6,0,0),(MOD(F1786,1)+1-TIME(22,0,0))*24,0)),2))</f>
        <v/>
      </c>
      <c r="K1786" s="33">
        <f>IF(H1786="","",ROUND(IF(L1786="휴일근로",MIN(H1786,8)*1.5+MAX(0,H1786-8)*2,I1786*1.5)+N(J1786)*0.5,2))</f>
        <v/>
      </c>
      <c r="L1786" s="18" t="n"/>
      <c r="M1786" s="18" t="n"/>
      <c r="N1786" s="22" t="n"/>
    </row>
    <row r="1787">
      <c r="A1787" s="19" t="n"/>
      <c r="B1787" s="25">
        <f>IF(A1787="","",CHOOSE(WEEKDAY(A1787,2),"월","화","수","목","금","토","일"))</f>
        <v/>
      </c>
      <c r="C1787" s="18" t="n"/>
      <c r="D1787" s="25">
        <f>IFERROR(IF(C1787="","",INDEX(직원명부!$B$5:$B$24,MATCH(C1787,직원명부!$A$5:$A$24,0))),"사번 확인")</f>
        <v/>
      </c>
      <c r="E1787" s="34" t="n"/>
      <c r="F1787" s="34" t="n"/>
      <c r="G1787" s="28" t="n"/>
      <c r="H1787" s="33">
        <f>IF(OR(E1787="",F1787=""),"",ROUND(MOD(F1787-E1787,1)*24-N(G1787),2))</f>
        <v/>
      </c>
      <c r="I1787" s="33">
        <f>IF(H1787="","",ROUND(MAX(0,H1787-8),2))</f>
        <v/>
      </c>
      <c r="J1787" s="33">
        <f>IF(OR(E1787="",F1787=""),"",ROUND(IF(MOD(F1787,1)&gt;=TIME(22,0,0),(MOD(F1787,1)-TIME(22,0,0))*24,IF(MOD(F1787,1)&lt;TIME(6,0,0),(MOD(F1787,1)+1-TIME(22,0,0))*24,0)),2))</f>
        <v/>
      </c>
      <c r="K1787" s="33">
        <f>IF(H1787="","",ROUND(IF(L1787="휴일근로",MIN(H1787,8)*1.5+MAX(0,H1787-8)*2,I1787*1.5)+N(J1787)*0.5,2))</f>
        <v/>
      </c>
      <c r="L1787" s="18" t="n"/>
      <c r="M1787" s="18" t="n"/>
      <c r="N1787" s="22" t="n"/>
    </row>
    <row r="1788">
      <c r="A1788" s="19" t="n"/>
      <c r="B1788" s="25">
        <f>IF(A1788="","",CHOOSE(WEEKDAY(A1788,2),"월","화","수","목","금","토","일"))</f>
        <v/>
      </c>
      <c r="C1788" s="18" t="n"/>
      <c r="D1788" s="25">
        <f>IFERROR(IF(C1788="","",INDEX(직원명부!$B$5:$B$24,MATCH(C1788,직원명부!$A$5:$A$24,0))),"사번 확인")</f>
        <v/>
      </c>
      <c r="E1788" s="34" t="n"/>
      <c r="F1788" s="34" t="n"/>
      <c r="G1788" s="28" t="n"/>
      <c r="H1788" s="33">
        <f>IF(OR(E1788="",F1788=""),"",ROUND(MOD(F1788-E1788,1)*24-N(G1788),2))</f>
        <v/>
      </c>
      <c r="I1788" s="33">
        <f>IF(H1788="","",ROUND(MAX(0,H1788-8),2))</f>
        <v/>
      </c>
      <c r="J1788" s="33">
        <f>IF(OR(E1788="",F1788=""),"",ROUND(IF(MOD(F1788,1)&gt;=TIME(22,0,0),(MOD(F1788,1)-TIME(22,0,0))*24,IF(MOD(F1788,1)&lt;TIME(6,0,0),(MOD(F1788,1)+1-TIME(22,0,0))*24,0)),2))</f>
        <v/>
      </c>
      <c r="K1788" s="33">
        <f>IF(H1788="","",ROUND(IF(L1788="휴일근로",MIN(H1788,8)*1.5+MAX(0,H1788-8)*2,I1788*1.5)+N(J1788)*0.5,2))</f>
        <v/>
      </c>
      <c r="L1788" s="18" t="n"/>
      <c r="M1788" s="18" t="n"/>
      <c r="N1788" s="22" t="n"/>
    </row>
    <row r="1789">
      <c r="A1789" s="19" t="n"/>
      <c r="B1789" s="25">
        <f>IF(A1789="","",CHOOSE(WEEKDAY(A1789,2),"월","화","수","목","금","토","일"))</f>
        <v/>
      </c>
      <c r="C1789" s="18" t="n"/>
      <c r="D1789" s="25">
        <f>IFERROR(IF(C1789="","",INDEX(직원명부!$B$5:$B$24,MATCH(C1789,직원명부!$A$5:$A$24,0))),"사번 확인")</f>
        <v/>
      </c>
      <c r="E1789" s="34" t="n"/>
      <c r="F1789" s="34" t="n"/>
      <c r="G1789" s="28" t="n"/>
      <c r="H1789" s="33">
        <f>IF(OR(E1789="",F1789=""),"",ROUND(MOD(F1789-E1789,1)*24-N(G1789),2))</f>
        <v/>
      </c>
      <c r="I1789" s="33">
        <f>IF(H1789="","",ROUND(MAX(0,H1789-8),2))</f>
        <v/>
      </c>
      <c r="J1789" s="33">
        <f>IF(OR(E1789="",F1789=""),"",ROUND(IF(MOD(F1789,1)&gt;=TIME(22,0,0),(MOD(F1789,1)-TIME(22,0,0))*24,IF(MOD(F1789,1)&lt;TIME(6,0,0),(MOD(F1789,1)+1-TIME(22,0,0))*24,0)),2))</f>
        <v/>
      </c>
      <c r="K1789" s="33">
        <f>IF(H1789="","",ROUND(IF(L1789="휴일근로",MIN(H1789,8)*1.5+MAX(0,H1789-8)*2,I1789*1.5)+N(J1789)*0.5,2))</f>
        <v/>
      </c>
      <c r="L1789" s="18" t="n"/>
      <c r="M1789" s="18" t="n"/>
      <c r="N1789" s="22" t="n"/>
    </row>
    <row r="1790">
      <c r="A1790" s="19" t="n"/>
      <c r="B1790" s="25">
        <f>IF(A1790="","",CHOOSE(WEEKDAY(A1790,2),"월","화","수","목","금","토","일"))</f>
        <v/>
      </c>
      <c r="C1790" s="18" t="n"/>
      <c r="D1790" s="25">
        <f>IFERROR(IF(C1790="","",INDEX(직원명부!$B$5:$B$24,MATCH(C1790,직원명부!$A$5:$A$24,0))),"사번 확인")</f>
        <v/>
      </c>
      <c r="E1790" s="34" t="n"/>
      <c r="F1790" s="34" t="n"/>
      <c r="G1790" s="28" t="n"/>
      <c r="H1790" s="33">
        <f>IF(OR(E1790="",F1790=""),"",ROUND(MOD(F1790-E1790,1)*24-N(G1790),2))</f>
        <v/>
      </c>
      <c r="I1790" s="33">
        <f>IF(H1790="","",ROUND(MAX(0,H1790-8),2))</f>
        <v/>
      </c>
      <c r="J1790" s="33">
        <f>IF(OR(E1790="",F1790=""),"",ROUND(IF(MOD(F1790,1)&gt;=TIME(22,0,0),(MOD(F1790,1)-TIME(22,0,0))*24,IF(MOD(F1790,1)&lt;TIME(6,0,0),(MOD(F1790,1)+1-TIME(22,0,0))*24,0)),2))</f>
        <v/>
      </c>
      <c r="K1790" s="33">
        <f>IF(H1790="","",ROUND(IF(L1790="휴일근로",MIN(H1790,8)*1.5+MAX(0,H1790-8)*2,I1790*1.5)+N(J1790)*0.5,2))</f>
        <v/>
      </c>
      <c r="L1790" s="18" t="n"/>
      <c r="M1790" s="18" t="n"/>
      <c r="N1790" s="22" t="n"/>
    </row>
    <row r="1791">
      <c r="A1791" s="19" t="n"/>
      <c r="B1791" s="25">
        <f>IF(A1791="","",CHOOSE(WEEKDAY(A1791,2),"월","화","수","목","금","토","일"))</f>
        <v/>
      </c>
      <c r="C1791" s="18" t="n"/>
      <c r="D1791" s="25">
        <f>IFERROR(IF(C1791="","",INDEX(직원명부!$B$5:$B$24,MATCH(C1791,직원명부!$A$5:$A$24,0))),"사번 확인")</f>
        <v/>
      </c>
      <c r="E1791" s="34" t="n"/>
      <c r="F1791" s="34" t="n"/>
      <c r="G1791" s="28" t="n"/>
      <c r="H1791" s="33">
        <f>IF(OR(E1791="",F1791=""),"",ROUND(MOD(F1791-E1791,1)*24-N(G1791),2))</f>
        <v/>
      </c>
      <c r="I1791" s="33">
        <f>IF(H1791="","",ROUND(MAX(0,H1791-8),2))</f>
        <v/>
      </c>
      <c r="J1791" s="33">
        <f>IF(OR(E1791="",F1791=""),"",ROUND(IF(MOD(F1791,1)&gt;=TIME(22,0,0),(MOD(F1791,1)-TIME(22,0,0))*24,IF(MOD(F1791,1)&lt;TIME(6,0,0),(MOD(F1791,1)+1-TIME(22,0,0))*24,0)),2))</f>
        <v/>
      </c>
      <c r="K1791" s="33">
        <f>IF(H1791="","",ROUND(IF(L1791="휴일근로",MIN(H1791,8)*1.5+MAX(0,H1791-8)*2,I1791*1.5)+N(J1791)*0.5,2))</f>
        <v/>
      </c>
      <c r="L1791" s="18" t="n"/>
      <c r="M1791" s="18" t="n"/>
      <c r="N1791" s="22" t="n"/>
    </row>
    <row r="1792">
      <c r="A1792" s="19" t="n"/>
      <c r="B1792" s="25">
        <f>IF(A1792="","",CHOOSE(WEEKDAY(A1792,2),"월","화","수","목","금","토","일"))</f>
        <v/>
      </c>
      <c r="C1792" s="18" t="n"/>
      <c r="D1792" s="25">
        <f>IFERROR(IF(C1792="","",INDEX(직원명부!$B$5:$B$24,MATCH(C1792,직원명부!$A$5:$A$24,0))),"사번 확인")</f>
        <v/>
      </c>
      <c r="E1792" s="34" t="n"/>
      <c r="F1792" s="34" t="n"/>
      <c r="G1792" s="28" t="n"/>
      <c r="H1792" s="33">
        <f>IF(OR(E1792="",F1792=""),"",ROUND(MOD(F1792-E1792,1)*24-N(G1792),2))</f>
        <v/>
      </c>
      <c r="I1792" s="33">
        <f>IF(H1792="","",ROUND(MAX(0,H1792-8),2))</f>
        <v/>
      </c>
      <c r="J1792" s="33">
        <f>IF(OR(E1792="",F1792=""),"",ROUND(IF(MOD(F1792,1)&gt;=TIME(22,0,0),(MOD(F1792,1)-TIME(22,0,0))*24,IF(MOD(F1792,1)&lt;TIME(6,0,0),(MOD(F1792,1)+1-TIME(22,0,0))*24,0)),2))</f>
        <v/>
      </c>
      <c r="K1792" s="33">
        <f>IF(H1792="","",ROUND(IF(L1792="휴일근로",MIN(H1792,8)*1.5+MAX(0,H1792-8)*2,I1792*1.5)+N(J1792)*0.5,2))</f>
        <v/>
      </c>
      <c r="L1792" s="18" t="n"/>
      <c r="M1792" s="18" t="n"/>
      <c r="N1792" s="22" t="n"/>
    </row>
    <row r="1793">
      <c r="A1793" s="19" t="n"/>
      <c r="B1793" s="25">
        <f>IF(A1793="","",CHOOSE(WEEKDAY(A1793,2),"월","화","수","목","금","토","일"))</f>
        <v/>
      </c>
      <c r="C1793" s="18" t="n"/>
      <c r="D1793" s="25">
        <f>IFERROR(IF(C1793="","",INDEX(직원명부!$B$5:$B$24,MATCH(C1793,직원명부!$A$5:$A$24,0))),"사번 확인")</f>
        <v/>
      </c>
      <c r="E1793" s="34" t="n"/>
      <c r="F1793" s="34" t="n"/>
      <c r="G1793" s="28" t="n"/>
      <c r="H1793" s="33">
        <f>IF(OR(E1793="",F1793=""),"",ROUND(MOD(F1793-E1793,1)*24-N(G1793),2))</f>
        <v/>
      </c>
      <c r="I1793" s="33">
        <f>IF(H1793="","",ROUND(MAX(0,H1793-8),2))</f>
        <v/>
      </c>
      <c r="J1793" s="33">
        <f>IF(OR(E1793="",F1793=""),"",ROUND(IF(MOD(F1793,1)&gt;=TIME(22,0,0),(MOD(F1793,1)-TIME(22,0,0))*24,IF(MOD(F1793,1)&lt;TIME(6,0,0),(MOD(F1793,1)+1-TIME(22,0,0))*24,0)),2))</f>
        <v/>
      </c>
      <c r="K1793" s="33">
        <f>IF(H1793="","",ROUND(IF(L1793="휴일근로",MIN(H1793,8)*1.5+MAX(0,H1793-8)*2,I1793*1.5)+N(J1793)*0.5,2))</f>
        <v/>
      </c>
      <c r="L1793" s="18" t="n"/>
      <c r="M1793" s="18" t="n"/>
      <c r="N1793" s="22" t="n"/>
    </row>
    <row r="1794">
      <c r="A1794" s="19" t="n"/>
      <c r="B1794" s="25">
        <f>IF(A1794="","",CHOOSE(WEEKDAY(A1794,2),"월","화","수","목","금","토","일"))</f>
        <v/>
      </c>
      <c r="C1794" s="18" t="n"/>
      <c r="D1794" s="25">
        <f>IFERROR(IF(C1794="","",INDEX(직원명부!$B$5:$B$24,MATCH(C1794,직원명부!$A$5:$A$24,0))),"사번 확인")</f>
        <v/>
      </c>
      <c r="E1794" s="34" t="n"/>
      <c r="F1794" s="34" t="n"/>
      <c r="G1794" s="28" t="n"/>
      <c r="H1794" s="33">
        <f>IF(OR(E1794="",F1794=""),"",ROUND(MOD(F1794-E1794,1)*24-N(G1794),2))</f>
        <v/>
      </c>
      <c r="I1794" s="33">
        <f>IF(H1794="","",ROUND(MAX(0,H1794-8),2))</f>
        <v/>
      </c>
      <c r="J1794" s="33">
        <f>IF(OR(E1794="",F1794=""),"",ROUND(IF(MOD(F1794,1)&gt;=TIME(22,0,0),(MOD(F1794,1)-TIME(22,0,0))*24,IF(MOD(F1794,1)&lt;TIME(6,0,0),(MOD(F1794,1)+1-TIME(22,0,0))*24,0)),2))</f>
        <v/>
      </c>
      <c r="K1794" s="33">
        <f>IF(H1794="","",ROUND(IF(L1794="휴일근로",MIN(H1794,8)*1.5+MAX(0,H1794-8)*2,I1794*1.5)+N(J1794)*0.5,2))</f>
        <v/>
      </c>
      <c r="L1794" s="18" t="n"/>
      <c r="M1794" s="18" t="n"/>
      <c r="N1794" s="22" t="n"/>
    </row>
    <row r="1795">
      <c r="A1795" s="19" t="n"/>
      <c r="B1795" s="25">
        <f>IF(A1795="","",CHOOSE(WEEKDAY(A1795,2),"월","화","수","목","금","토","일"))</f>
        <v/>
      </c>
      <c r="C1795" s="18" t="n"/>
      <c r="D1795" s="25">
        <f>IFERROR(IF(C1795="","",INDEX(직원명부!$B$5:$B$24,MATCH(C1795,직원명부!$A$5:$A$24,0))),"사번 확인")</f>
        <v/>
      </c>
      <c r="E1795" s="34" t="n"/>
      <c r="F1795" s="34" t="n"/>
      <c r="G1795" s="28" t="n"/>
      <c r="H1795" s="33">
        <f>IF(OR(E1795="",F1795=""),"",ROUND(MOD(F1795-E1795,1)*24-N(G1795),2))</f>
        <v/>
      </c>
      <c r="I1795" s="33">
        <f>IF(H1795="","",ROUND(MAX(0,H1795-8),2))</f>
        <v/>
      </c>
      <c r="J1795" s="33">
        <f>IF(OR(E1795="",F1795=""),"",ROUND(IF(MOD(F1795,1)&gt;=TIME(22,0,0),(MOD(F1795,1)-TIME(22,0,0))*24,IF(MOD(F1795,1)&lt;TIME(6,0,0),(MOD(F1795,1)+1-TIME(22,0,0))*24,0)),2))</f>
        <v/>
      </c>
      <c r="K1795" s="33">
        <f>IF(H1795="","",ROUND(IF(L1795="휴일근로",MIN(H1795,8)*1.5+MAX(0,H1795-8)*2,I1795*1.5)+N(J1795)*0.5,2))</f>
        <v/>
      </c>
      <c r="L1795" s="18" t="n"/>
      <c r="M1795" s="18" t="n"/>
      <c r="N1795" s="22" t="n"/>
    </row>
    <row r="1796">
      <c r="A1796" s="19" t="n"/>
      <c r="B1796" s="25">
        <f>IF(A1796="","",CHOOSE(WEEKDAY(A1796,2),"월","화","수","목","금","토","일"))</f>
        <v/>
      </c>
      <c r="C1796" s="18" t="n"/>
      <c r="D1796" s="25">
        <f>IFERROR(IF(C1796="","",INDEX(직원명부!$B$5:$B$24,MATCH(C1796,직원명부!$A$5:$A$24,0))),"사번 확인")</f>
        <v/>
      </c>
      <c r="E1796" s="34" t="n"/>
      <c r="F1796" s="34" t="n"/>
      <c r="G1796" s="28" t="n"/>
      <c r="H1796" s="33">
        <f>IF(OR(E1796="",F1796=""),"",ROUND(MOD(F1796-E1796,1)*24-N(G1796),2))</f>
        <v/>
      </c>
      <c r="I1796" s="33">
        <f>IF(H1796="","",ROUND(MAX(0,H1796-8),2))</f>
        <v/>
      </c>
      <c r="J1796" s="33">
        <f>IF(OR(E1796="",F1796=""),"",ROUND(IF(MOD(F1796,1)&gt;=TIME(22,0,0),(MOD(F1796,1)-TIME(22,0,0))*24,IF(MOD(F1796,1)&lt;TIME(6,0,0),(MOD(F1796,1)+1-TIME(22,0,0))*24,0)),2))</f>
        <v/>
      </c>
      <c r="K1796" s="33">
        <f>IF(H1796="","",ROUND(IF(L1796="휴일근로",MIN(H1796,8)*1.5+MAX(0,H1796-8)*2,I1796*1.5)+N(J1796)*0.5,2))</f>
        <v/>
      </c>
      <c r="L1796" s="18" t="n"/>
      <c r="M1796" s="18" t="n"/>
      <c r="N1796" s="22" t="n"/>
    </row>
    <row r="1797">
      <c r="A1797" s="19" t="n"/>
      <c r="B1797" s="25">
        <f>IF(A1797="","",CHOOSE(WEEKDAY(A1797,2),"월","화","수","목","금","토","일"))</f>
        <v/>
      </c>
      <c r="C1797" s="18" t="n"/>
      <c r="D1797" s="25">
        <f>IFERROR(IF(C1797="","",INDEX(직원명부!$B$5:$B$24,MATCH(C1797,직원명부!$A$5:$A$24,0))),"사번 확인")</f>
        <v/>
      </c>
      <c r="E1797" s="34" t="n"/>
      <c r="F1797" s="34" t="n"/>
      <c r="G1797" s="28" t="n"/>
      <c r="H1797" s="33">
        <f>IF(OR(E1797="",F1797=""),"",ROUND(MOD(F1797-E1797,1)*24-N(G1797),2))</f>
        <v/>
      </c>
      <c r="I1797" s="33">
        <f>IF(H1797="","",ROUND(MAX(0,H1797-8),2))</f>
        <v/>
      </c>
      <c r="J1797" s="33">
        <f>IF(OR(E1797="",F1797=""),"",ROUND(IF(MOD(F1797,1)&gt;=TIME(22,0,0),(MOD(F1797,1)-TIME(22,0,0))*24,IF(MOD(F1797,1)&lt;TIME(6,0,0),(MOD(F1797,1)+1-TIME(22,0,0))*24,0)),2))</f>
        <v/>
      </c>
      <c r="K1797" s="33">
        <f>IF(H1797="","",ROUND(IF(L1797="휴일근로",MIN(H1797,8)*1.5+MAX(0,H1797-8)*2,I1797*1.5)+N(J1797)*0.5,2))</f>
        <v/>
      </c>
      <c r="L1797" s="18" t="n"/>
      <c r="M1797" s="18" t="n"/>
      <c r="N1797" s="22" t="n"/>
    </row>
    <row r="1798">
      <c r="A1798" s="19" t="n"/>
      <c r="B1798" s="25">
        <f>IF(A1798="","",CHOOSE(WEEKDAY(A1798,2),"월","화","수","목","금","토","일"))</f>
        <v/>
      </c>
      <c r="C1798" s="18" t="n"/>
      <c r="D1798" s="25">
        <f>IFERROR(IF(C1798="","",INDEX(직원명부!$B$5:$B$24,MATCH(C1798,직원명부!$A$5:$A$24,0))),"사번 확인")</f>
        <v/>
      </c>
      <c r="E1798" s="34" t="n"/>
      <c r="F1798" s="34" t="n"/>
      <c r="G1798" s="28" t="n"/>
      <c r="H1798" s="33">
        <f>IF(OR(E1798="",F1798=""),"",ROUND(MOD(F1798-E1798,1)*24-N(G1798),2))</f>
        <v/>
      </c>
      <c r="I1798" s="33">
        <f>IF(H1798="","",ROUND(MAX(0,H1798-8),2))</f>
        <v/>
      </c>
      <c r="J1798" s="33">
        <f>IF(OR(E1798="",F1798=""),"",ROUND(IF(MOD(F1798,1)&gt;=TIME(22,0,0),(MOD(F1798,1)-TIME(22,0,0))*24,IF(MOD(F1798,1)&lt;TIME(6,0,0),(MOD(F1798,1)+1-TIME(22,0,0))*24,0)),2))</f>
        <v/>
      </c>
      <c r="K1798" s="33">
        <f>IF(H1798="","",ROUND(IF(L1798="휴일근로",MIN(H1798,8)*1.5+MAX(0,H1798-8)*2,I1798*1.5)+N(J1798)*0.5,2))</f>
        <v/>
      </c>
      <c r="L1798" s="18" t="n"/>
      <c r="M1798" s="18" t="n"/>
      <c r="N1798" s="22" t="n"/>
    </row>
    <row r="1799">
      <c r="A1799" s="19" t="n"/>
      <c r="B1799" s="25">
        <f>IF(A1799="","",CHOOSE(WEEKDAY(A1799,2),"월","화","수","목","금","토","일"))</f>
        <v/>
      </c>
      <c r="C1799" s="18" t="n"/>
      <c r="D1799" s="25">
        <f>IFERROR(IF(C1799="","",INDEX(직원명부!$B$5:$B$24,MATCH(C1799,직원명부!$A$5:$A$24,0))),"사번 확인")</f>
        <v/>
      </c>
      <c r="E1799" s="34" t="n"/>
      <c r="F1799" s="34" t="n"/>
      <c r="G1799" s="28" t="n"/>
      <c r="H1799" s="33">
        <f>IF(OR(E1799="",F1799=""),"",ROUND(MOD(F1799-E1799,1)*24-N(G1799),2))</f>
        <v/>
      </c>
      <c r="I1799" s="33">
        <f>IF(H1799="","",ROUND(MAX(0,H1799-8),2))</f>
        <v/>
      </c>
      <c r="J1799" s="33">
        <f>IF(OR(E1799="",F1799=""),"",ROUND(IF(MOD(F1799,1)&gt;=TIME(22,0,0),(MOD(F1799,1)-TIME(22,0,0))*24,IF(MOD(F1799,1)&lt;TIME(6,0,0),(MOD(F1799,1)+1-TIME(22,0,0))*24,0)),2))</f>
        <v/>
      </c>
      <c r="K1799" s="33">
        <f>IF(H1799="","",ROUND(IF(L1799="휴일근로",MIN(H1799,8)*1.5+MAX(0,H1799-8)*2,I1799*1.5)+N(J1799)*0.5,2))</f>
        <v/>
      </c>
      <c r="L1799" s="18" t="n"/>
      <c r="M1799" s="18" t="n"/>
      <c r="N1799" s="22" t="n"/>
    </row>
    <row r="1800">
      <c r="A1800" s="19" t="n"/>
      <c r="B1800" s="25">
        <f>IF(A1800="","",CHOOSE(WEEKDAY(A1800,2),"월","화","수","목","금","토","일"))</f>
        <v/>
      </c>
      <c r="C1800" s="18" t="n"/>
      <c r="D1800" s="25">
        <f>IFERROR(IF(C1800="","",INDEX(직원명부!$B$5:$B$24,MATCH(C1800,직원명부!$A$5:$A$24,0))),"사번 확인")</f>
        <v/>
      </c>
      <c r="E1800" s="34" t="n"/>
      <c r="F1800" s="34" t="n"/>
      <c r="G1800" s="28" t="n"/>
      <c r="H1800" s="33">
        <f>IF(OR(E1800="",F1800=""),"",ROUND(MOD(F1800-E1800,1)*24-N(G1800),2))</f>
        <v/>
      </c>
      <c r="I1800" s="33">
        <f>IF(H1800="","",ROUND(MAX(0,H1800-8),2))</f>
        <v/>
      </c>
      <c r="J1800" s="33">
        <f>IF(OR(E1800="",F1800=""),"",ROUND(IF(MOD(F1800,1)&gt;=TIME(22,0,0),(MOD(F1800,1)-TIME(22,0,0))*24,IF(MOD(F1800,1)&lt;TIME(6,0,0),(MOD(F1800,1)+1-TIME(22,0,0))*24,0)),2))</f>
        <v/>
      </c>
      <c r="K1800" s="33">
        <f>IF(H1800="","",ROUND(IF(L1800="휴일근로",MIN(H1800,8)*1.5+MAX(0,H1800-8)*2,I1800*1.5)+N(J1800)*0.5,2))</f>
        <v/>
      </c>
      <c r="L1800" s="18" t="n"/>
      <c r="M1800" s="18" t="n"/>
      <c r="N1800" s="22" t="n"/>
    </row>
    <row r="1801">
      <c r="A1801" s="19" t="n"/>
      <c r="B1801" s="25">
        <f>IF(A1801="","",CHOOSE(WEEKDAY(A1801,2),"월","화","수","목","금","토","일"))</f>
        <v/>
      </c>
      <c r="C1801" s="18" t="n"/>
      <c r="D1801" s="25">
        <f>IFERROR(IF(C1801="","",INDEX(직원명부!$B$5:$B$24,MATCH(C1801,직원명부!$A$5:$A$24,0))),"사번 확인")</f>
        <v/>
      </c>
      <c r="E1801" s="34" t="n"/>
      <c r="F1801" s="34" t="n"/>
      <c r="G1801" s="28" t="n"/>
      <c r="H1801" s="33">
        <f>IF(OR(E1801="",F1801=""),"",ROUND(MOD(F1801-E1801,1)*24-N(G1801),2))</f>
        <v/>
      </c>
      <c r="I1801" s="33">
        <f>IF(H1801="","",ROUND(MAX(0,H1801-8),2))</f>
        <v/>
      </c>
      <c r="J1801" s="33">
        <f>IF(OR(E1801="",F1801=""),"",ROUND(IF(MOD(F1801,1)&gt;=TIME(22,0,0),(MOD(F1801,1)-TIME(22,0,0))*24,IF(MOD(F1801,1)&lt;TIME(6,0,0),(MOD(F1801,1)+1-TIME(22,0,0))*24,0)),2))</f>
        <v/>
      </c>
      <c r="K1801" s="33">
        <f>IF(H1801="","",ROUND(IF(L1801="휴일근로",MIN(H1801,8)*1.5+MAX(0,H1801-8)*2,I1801*1.5)+N(J1801)*0.5,2))</f>
        <v/>
      </c>
      <c r="L1801" s="18" t="n"/>
      <c r="M1801" s="18" t="n"/>
      <c r="N1801" s="22" t="n"/>
    </row>
    <row r="1802">
      <c r="A1802" s="19" t="n"/>
      <c r="B1802" s="25">
        <f>IF(A1802="","",CHOOSE(WEEKDAY(A1802,2),"월","화","수","목","금","토","일"))</f>
        <v/>
      </c>
      <c r="C1802" s="18" t="n"/>
      <c r="D1802" s="25">
        <f>IFERROR(IF(C1802="","",INDEX(직원명부!$B$5:$B$24,MATCH(C1802,직원명부!$A$5:$A$24,0))),"사번 확인")</f>
        <v/>
      </c>
      <c r="E1802" s="34" t="n"/>
      <c r="F1802" s="34" t="n"/>
      <c r="G1802" s="28" t="n"/>
      <c r="H1802" s="33">
        <f>IF(OR(E1802="",F1802=""),"",ROUND(MOD(F1802-E1802,1)*24-N(G1802),2))</f>
        <v/>
      </c>
      <c r="I1802" s="33">
        <f>IF(H1802="","",ROUND(MAX(0,H1802-8),2))</f>
        <v/>
      </c>
      <c r="J1802" s="33">
        <f>IF(OR(E1802="",F1802=""),"",ROUND(IF(MOD(F1802,1)&gt;=TIME(22,0,0),(MOD(F1802,1)-TIME(22,0,0))*24,IF(MOD(F1802,1)&lt;TIME(6,0,0),(MOD(F1802,1)+1-TIME(22,0,0))*24,0)),2))</f>
        <v/>
      </c>
      <c r="K1802" s="33">
        <f>IF(H1802="","",ROUND(IF(L1802="휴일근로",MIN(H1802,8)*1.5+MAX(0,H1802-8)*2,I1802*1.5)+N(J1802)*0.5,2))</f>
        <v/>
      </c>
      <c r="L1802" s="18" t="n"/>
      <c r="M1802" s="18" t="n"/>
      <c r="N1802" s="22" t="n"/>
    </row>
    <row r="1803">
      <c r="A1803" s="19" t="n"/>
      <c r="B1803" s="25">
        <f>IF(A1803="","",CHOOSE(WEEKDAY(A1803,2),"월","화","수","목","금","토","일"))</f>
        <v/>
      </c>
      <c r="C1803" s="18" t="n"/>
      <c r="D1803" s="25">
        <f>IFERROR(IF(C1803="","",INDEX(직원명부!$B$5:$B$24,MATCH(C1803,직원명부!$A$5:$A$24,0))),"사번 확인")</f>
        <v/>
      </c>
      <c r="E1803" s="34" t="n"/>
      <c r="F1803" s="34" t="n"/>
      <c r="G1803" s="28" t="n"/>
      <c r="H1803" s="33">
        <f>IF(OR(E1803="",F1803=""),"",ROUND(MOD(F1803-E1803,1)*24-N(G1803),2))</f>
        <v/>
      </c>
      <c r="I1803" s="33">
        <f>IF(H1803="","",ROUND(MAX(0,H1803-8),2))</f>
        <v/>
      </c>
      <c r="J1803" s="33">
        <f>IF(OR(E1803="",F1803=""),"",ROUND(IF(MOD(F1803,1)&gt;=TIME(22,0,0),(MOD(F1803,1)-TIME(22,0,0))*24,IF(MOD(F1803,1)&lt;TIME(6,0,0),(MOD(F1803,1)+1-TIME(22,0,0))*24,0)),2))</f>
        <v/>
      </c>
      <c r="K1803" s="33">
        <f>IF(H1803="","",ROUND(IF(L1803="휴일근로",MIN(H1803,8)*1.5+MAX(0,H1803-8)*2,I1803*1.5)+N(J1803)*0.5,2))</f>
        <v/>
      </c>
      <c r="L1803" s="18" t="n"/>
      <c r="M1803" s="18" t="n"/>
      <c r="N1803" s="22" t="n"/>
    </row>
    <row r="1804">
      <c r="A1804" s="19" t="n"/>
      <c r="B1804" s="25">
        <f>IF(A1804="","",CHOOSE(WEEKDAY(A1804,2),"월","화","수","목","금","토","일"))</f>
        <v/>
      </c>
      <c r="C1804" s="18" t="n"/>
      <c r="D1804" s="25">
        <f>IFERROR(IF(C1804="","",INDEX(직원명부!$B$5:$B$24,MATCH(C1804,직원명부!$A$5:$A$24,0))),"사번 확인")</f>
        <v/>
      </c>
      <c r="E1804" s="34" t="n"/>
      <c r="F1804" s="34" t="n"/>
      <c r="G1804" s="28" t="n"/>
      <c r="H1804" s="33">
        <f>IF(OR(E1804="",F1804=""),"",ROUND(MOD(F1804-E1804,1)*24-N(G1804),2))</f>
        <v/>
      </c>
      <c r="I1804" s="33">
        <f>IF(H1804="","",ROUND(MAX(0,H1804-8),2))</f>
        <v/>
      </c>
      <c r="J1804" s="33">
        <f>IF(OR(E1804="",F1804=""),"",ROUND(IF(MOD(F1804,1)&gt;=TIME(22,0,0),(MOD(F1804,1)-TIME(22,0,0))*24,IF(MOD(F1804,1)&lt;TIME(6,0,0),(MOD(F1804,1)+1-TIME(22,0,0))*24,0)),2))</f>
        <v/>
      </c>
      <c r="K1804" s="33">
        <f>IF(H1804="","",ROUND(IF(L1804="휴일근로",MIN(H1804,8)*1.5+MAX(0,H1804-8)*2,I1804*1.5)+N(J1804)*0.5,2))</f>
        <v/>
      </c>
      <c r="L1804" s="18" t="n"/>
      <c r="M1804" s="18" t="n"/>
      <c r="N1804" s="22" t="n"/>
    </row>
    <row r="1805">
      <c r="A1805" s="19" t="n"/>
      <c r="B1805" s="25">
        <f>IF(A1805="","",CHOOSE(WEEKDAY(A1805,2),"월","화","수","목","금","토","일"))</f>
        <v/>
      </c>
      <c r="C1805" s="18" t="n"/>
      <c r="D1805" s="25">
        <f>IFERROR(IF(C1805="","",INDEX(직원명부!$B$5:$B$24,MATCH(C1805,직원명부!$A$5:$A$24,0))),"사번 확인")</f>
        <v/>
      </c>
      <c r="E1805" s="34" t="n"/>
      <c r="F1805" s="34" t="n"/>
      <c r="G1805" s="28" t="n"/>
      <c r="H1805" s="33">
        <f>IF(OR(E1805="",F1805=""),"",ROUND(MOD(F1805-E1805,1)*24-N(G1805),2))</f>
        <v/>
      </c>
      <c r="I1805" s="33">
        <f>IF(H1805="","",ROUND(MAX(0,H1805-8),2))</f>
        <v/>
      </c>
      <c r="J1805" s="33">
        <f>IF(OR(E1805="",F1805=""),"",ROUND(IF(MOD(F1805,1)&gt;=TIME(22,0,0),(MOD(F1805,1)-TIME(22,0,0))*24,IF(MOD(F1805,1)&lt;TIME(6,0,0),(MOD(F1805,1)+1-TIME(22,0,0))*24,0)),2))</f>
        <v/>
      </c>
      <c r="K1805" s="33">
        <f>IF(H1805="","",ROUND(IF(L1805="휴일근로",MIN(H1805,8)*1.5+MAX(0,H1805-8)*2,I1805*1.5)+N(J1805)*0.5,2))</f>
        <v/>
      </c>
      <c r="L1805" s="18" t="n"/>
      <c r="M1805" s="18" t="n"/>
      <c r="N1805" s="22" t="n"/>
    </row>
    <row r="1806">
      <c r="A1806" s="19" t="n"/>
      <c r="B1806" s="25">
        <f>IF(A1806="","",CHOOSE(WEEKDAY(A1806,2),"월","화","수","목","금","토","일"))</f>
        <v/>
      </c>
      <c r="C1806" s="18" t="n"/>
      <c r="D1806" s="25">
        <f>IFERROR(IF(C1806="","",INDEX(직원명부!$B$5:$B$24,MATCH(C1806,직원명부!$A$5:$A$24,0))),"사번 확인")</f>
        <v/>
      </c>
      <c r="E1806" s="34" t="n"/>
      <c r="F1806" s="34" t="n"/>
      <c r="G1806" s="28" t="n"/>
      <c r="H1806" s="33">
        <f>IF(OR(E1806="",F1806=""),"",ROUND(MOD(F1806-E1806,1)*24-N(G1806),2))</f>
        <v/>
      </c>
      <c r="I1806" s="33">
        <f>IF(H1806="","",ROUND(MAX(0,H1806-8),2))</f>
        <v/>
      </c>
      <c r="J1806" s="33">
        <f>IF(OR(E1806="",F1806=""),"",ROUND(IF(MOD(F1806,1)&gt;=TIME(22,0,0),(MOD(F1806,1)-TIME(22,0,0))*24,IF(MOD(F1806,1)&lt;TIME(6,0,0),(MOD(F1806,1)+1-TIME(22,0,0))*24,0)),2))</f>
        <v/>
      </c>
      <c r="K1806" s="33">
        <f>IF(H1806="","",ROUND(IF(L1806="휴일근로",MIN(H1806,8)*1.5+MAX(0,H1806-8)*2,I1806*1.5)+N(J1806)*0.5,2))</f>
        <v/>
      </c>
      <c r="L1806" s="18" t="n"/>
      <c r="M1806" s="18" t="n"/>
      <c r="N1806" s="22" t="n"/>
    </row>
    <row r="1807">
      <c r="A1807" s="19" t="n"/>
      <c r="B1807" s="25">
        <f>IF(A1807="","",CHOOSE(WEEKDAY(A1807,2),"월","화","수","목","금","토","일"))</f>
        <v/>
      </c>
      <c r="C1807" s="18" t="n"/>
      <c r="D1807" s="25">
        <f>IFERROR(IF(C1807="","",INDEX(직원명부!$B$5:$B$24,MATCH(C1807,직원명부!$A$5:$A$24,0))),"사번 확인")</f>
        <v/>
      </c>
      <c r="E1807" s="34" t="n"/>
      <c r="F1807" s="34" t="n"/>
      <c r="G1807" s="28" t="n"/>
      <c r="H1807" s="33">
        <f>IF(OR(E1807="",F1807=""),"",ROUND(MOD(F1807-E1807,1)*24-N(G1807),2))</f>
        <v/>
      </c>
      <c r="I1807" s="33">
        <f>IF(H1807="","",ROUND(MAX(0,H1807-8),2))</f>
        <v/>
      </c>
      <c r="J1807" s="33">
        <f>IF(OR(E1807="",F1807=""),"",ROUND(IF(MOD(F1807,1)&gt;=TIME(22,0,0),(MOD(F1807,1)-TIME(22,0,0))*24,IF(MOD(F1807,1)&lt;TIME(6,0,0),(MOD(F1807,1)+1-TIME(22,0,0))*24,0)),2))</f>
        <v/>
      </c>
      <c r="K1807" s="33">
        <f>IF(H1807="","",ROUND(IF(L1807="휴일근로",MIN(H1807,8)*1.5+MAX(0,H1807-8)*2,I1807*1.5)+N(J1807)*0.5,2))</f>
        <v/>
      </c>
      <c r="L1807" s="18" t="n"/>
      <c r="M1807" s="18" t="n"/>
      <c r="N1807" s="22" t="n"/>
    </row>
    <row r="1808">
      <c r="A1808" s="19" t="n"/>
      <c r="B1808" s="25">
        <f>IF(A1808="","",CHOOSE(WEEKDAY(A1808,2),"월","화","수","목","금","토","일"))</f>
        <v/>
      </c>
      <c r="C1808" s="18" t="n"/>
      <c r="D1808" s="25">
        <f>IFERROR(IF(C1808="","",INDEX(직원명부!$B$5:$B$24,MATCH(C1808,직원명부!$A$5:$A$24,0))),"사번 확인")</f>
        <v/>
      </c>
      <c r="E1808" s="34" t="n"/>
      <c r="F1808" s="34" t="n"/>
      <c r="G1808" s="28" t="n"/>
      <c r="H1808" s="33">
        <f>IF(OR(E1808="",F1808=""),"",ROUND(MOD(F1808-E1808,1)*24-N(G1808),2))</f>
        <v/>
      </c>
      <c r="I1808" s="33">
        <f>IF(H1808="","",ROUND(MAX(0,H1808-8),2))</f>
        <v/>
      </c>
      <c r="J1808" s="33">
        <f>IF(OR(E1808="",F1808=""),"",ROUND(IF(MOD(F1808,1)&gt;=TIME(22,0,0),(MOD(F1808,1)-TIME(22,0,0))*24,IF(MOD(F1808,1)&lt;TIME(6,0,0),(MOD(F1808,1)+1-TIME(22,0,0))*24,0)),2))</f>
        <v/>
      </c>
      <c r="K1808" s="33">
        <f>IF(H1808="","",ROUND(IF(L1808="휴일근로",MIN(H1808,8)*1.5+MAX(0,H1808-8)*2,I1808*1.5)+N(J1808)*0.5,2))</f>
        <v/>
      </c>
      <c r="L1808" s="18" t="n"/>
      <c r="M1808" s="18" t="n"/>
      <c r="N1808" s="22" t="n"/>
    </row>
    <row r="1809">
      <c r="A1809" s="19" t="n"/>
      <c r="B1809" s="25">
        <f>IF(A1809="","",CHOOSE(WEEKDAY(A1809,2),"월","화","수","목","금","토","일"))</f>
        <v/>
      </c>
      <c r="C1809" s="18" t="n"/>
      <c r="D1809" s="25">
        <f>IFERROR(IF(C1809="","",INDEX(직원명부!$B$5:$B$24,MATCH(C1809,직원명부!$A$5:$A$24,0))),"사번 확인")</f>
        <v/>
      </c>
      <c r="E1809" s="34" t="n"/>
      <c r="F1809" s="34" t="n"/>
      <c r="G1809" s="28" t="n"/>
      <c r="H1809" s="33">
        <f>IF(OR(E1809="",F1809=""),"",ROUND(MOD(F1809-E1809,1)*24-N(G1809),2))</f>
        <v/>
      </c>
      <c r="I1809" s="33">
        <f>IF(H1809="","",ROUND(MAX(0,H1809-8),2))</f>
        <v/>
      </c>
      <c r="J1809" s="33">
        <f>IF(OR(E1809="",F1809=""),"",ROUND(IF(MOD(F1809,1)&gt;=TIME(22,0,0),(MOD(F1809,1)-TIME(22,0,0))*24,IF(MOD(F1809,1)&lt;TIME(6,0,0),(MOD(F1809,1)+1-TIME(22,0,0))*24,0)),2))</f>
        <v/>
      </c>
      <c r="K1809" s="33">
        <f>IF(H1809="","",ROUND(IF(L1809="휴일근로",MIN(H1809,8)*1.5+MAX(0,H1809-8)*2,I1809*1.5)+N(J1809)*0.5,2))</f>
        <v/>
      </c>
      <c r="L1809" s="18" t="n"/>
      <c r="M1809" s="18" t="n"/>
      <c r="N1809" s="22" t="n"/>
    </row>
    <row r="1810">
      <c r="A1810" s="19" t="n"/>
      <c r="B1810" s="25">
        <f>IF(A1810="","",CHOOSE(WEEKDAY(A1810,2),"월","화","수","목","금","토","일"))</f>
        <v/>
      </c>
      <c r="C1810" s="18" t="n"/>
      <c r="D1810" s="25">
        <f>IFERROR(IF(C1810="","",INDEX(직원명부!$B$5:$B$24,MATCH(C1810,직원명부!$A$5:$A$24,0))),"사번 확인")</f>
        <v/>
      </c>
      <c r="E1810" s="34" t="n"/>
      <c r="F1810" s="34" t="n"/>
      <c r="G1810" s="28" t="n"/>
      <c r="H1810" s="33">
        <f>IF(OR(E1810="",F1810=""),"",ROUND(MOD(F1810-E1810,1)*24-N(G1810),2))</f>
        <v/>
      </c>
      <c r="I1810" s="33">
        <f>IF(H1810="","",ROUND(MAX(0,H1810-8),2))</f>
        <v/>
      </c>
      <c r="J1810" s="33">
        <f>IF(OR(E1810="",F1810=""),"",ROUND(IF(MOD(F1810,1)&gt;=TIME(22,0,0),(MOD(F1810,1)-TIME(22,0,0))*24,IF(MOD(F1810,1)&lt;TIME(6,0,0),(MOD(F1810,1)+1-TIME(22,0,0))*24,0)),2))</f>
        <v/>
      </c>
      <c r="K1810" s="33">
        <f>IF(H1810="","",ROUND(IF(L1810="휴일근로",MIN(H1810,8)*1.5+MAX(0,H1810-8)*2,I1810*1.5)+N(J1810)*0.5,2))</f>
        <v/>
      </c>
      <c r="L1810" s="18" t="n"/>
      <c r="M1810" s="18" t="n"/>
      <c r="N1810" s="22" t="n"/>
    </row>
    <row r="1811">
      <c r="A1811" s="19" t="n"/>
      <c r="B1811" s="25">
        <f>IF(A1811="","",CHOOSE(WEEKDAY(A1811,2),"월","화","수","목","금","토","일"))</f>
        <v/>
      </c>
      <c r="C1811" s="18" t="n"/>
      <c r="D1811" s="25">
        <f>IFERROR(IF(C1811="","",INDEX(직원명부!$B$5:$B$24,MATCH(C1811,직원명부!$A$5:$A$24,0))),"사번 확인")</f>
        <v/>
      </c>
      <c r="E1811" s="34" t="n"/>
      <c r="F1811" s="34" t="n"/>
      <c r="G1811" s="28" t="n"/>
      <c r="H1811" s="33">
        <f>IF(OR(E1811="",F1811=""),"",ROUND(MOD(F1811-E1811,1)*24-N(G1811),2))</f>
        <v/>
      </c>
      <c r="I1811" s="33">
        <f>IF(H1811="","",ROUND(MAX(0,H1811-8),2))</f>
        <v/>
      </c>
      <c r="J1811" s="33">
        <f>IF(OR(E1811="",F1811=""),"",ROUND(IF(MOD(F1811,1)&gt;=TIME(22,0,0),(MOD(F1811,1)-TIME(22,0,0))*24,IF(MOD(F1811,1)&lt;TIME(6,0,0),(MOD(F1811,1)+1-TIME(22,0,0))*24,0)),2))</f>
        <v/>
      </c>
      <c r="K1811" s="33">
        <f>IF(H1811="","",ROUND(IF(L1811="휴일근로",MIN(H1811,8)*1.5+MAX(0,H1811-8)*2,I1811*1.5)+N(J1811)*0.5,2))</f>
        <v/>
      </c>
      <c r="L1811" s="18" t="n"/>
      <c r="M1811" s="18" t="n"/>
      <c r="N1811" s="22" t="n"/>
    </row>
    <row r="1812">
      <c r="A1812" s="19" t="n"/>
      <c r="B1812" s="25">
        <f>IF(A1812="","",CHOOSE(WEEKDAY(A1812,2),"월","화","수","목","금","토","일"))</f>
        <v/>
      </c>
      <c r="C1812" s="18" t="n"/>
      <c r="D1812" s="25">
        <f>IFERROR(IF(C1812="","",INDEX(직원명부!$B$5:$B$24,MATCH(C1812,직원명부!$A$5:$A$24,0))),"사번 확인")</f>
        <v/>
      </c>
      <c r="E1812" s="34" t="n"/>
      <c r="F1812" s="34" t="n"/>
      <c r="G1812" s="28" t="n"/>
      <c r="H1812" s="33">
        <f>IF(OR(E1812="",F1812=""),"",ROUND(MOD(F1812-E1812,1)*24-N(G1812),2))</f>
        <v/>
      </c>
      <c r="I1812" s="33">
        <f>IF(H1812="","",ROUND(MAX(0,H1812-8),2))</f>
        <v/>
      </c>
      <c r="J1812" s="33">
        <f>IF(OR(E1812="",F1812=""),"",ROUND(IF(MOD(F1812,1)&gt;=TIME(22,0,0),(MOD(F1812,1)-TIME(22,0,0))*24,IF(MOD(F1812,1)&lt;TIME(6,0,0),(MOD(F1812,1)+1-TIME(22,0,0))*24,0)),2))</f>
        <v/>
      </c>
      <c r="K1812" s="33">
        <f>IF(H1812="","",ROUND(IF(L1812="휴일근로",MIN(H1812,8)*1.5+MAX(0,H1812-8)*2,I1812*1.5)+N(J1812)*0.5,2))</f>
        <v/>
      </c>
      <c r="L1812" s="18" t="n"/>
      <c r="M1812" s="18" t="n"/>
      <c r="N1812" s="22" t="n"/>
    </row>
    <row r="1813">
      <c r="A1813" s="19" t="n"/>
      <c r="B1813" s="25">
        <f>IF(A1813="","",CHOOSE(WEEKDAY(A1813,2),"월","화","수","목","금","토","일"))</f>
        <v/>
      </c>
      <c r="C1813" s="18" t="n"/>
      <c r="D1813" s="25">
        <f>IFERROR(IF(C1813="","",INDEX(직원명부!$B$5:$B$24,MATCH(C1813,직원명부!$A$5:$A$24,0))),"사번 확인")</f>
        <v/>
      </c>
      <c r="E1813" s="34" t="n"/>
      <c r="F1813" s="34" t="n"/>
      <c r="G1813" s="28" t="n"/>
      <c r="H1813" s="33">
        <f>IF(OR(E1813="",F1813=""),"",ROUND(MOD(F1813-E1813,1)*24-N(G1813),2))</f>
        <v/>
      </c>
      <c r="I1813" s="33">
        <f>IF(H1813="","",ROUND(MAX(0,H1813-8),2))</f>
        <v/>
      </c>
      <c r="J1813" s="33">
        <f>IF(OR(E1813="",F1813=""),"",ROUND(IF(MOD(F1813,1)&gt;=TIME(22,0,0),(MOD(F1813,1)-TIME(22,0,0))*24,IF(MOD(F1813,1)&lt;TIME(6,0,0),(MOD(F1813,1)+1-TIME(22,0,0))*24,0)),2))</f>
        <v/>
      </c>
      <c r="K1813" s="33">
        <f>IF(H1813="","",ROUND(IF(L1813="휴일근로",MIN(H1813,8)*1.5+MAX(0,H1813-8)*2,I1813*1.5)+N(J1813)*0.5,2))</f>
        <v/>
      </c>
      <c r="L1813" s="18" t="n"/>
      <c r="M1813" s="18" t="n"/>
      <c r="N1813" s="22" t="n"/>
    </row>
    <row r="1814">
      <c r="A1814" s="19" t="n"/>
      <c r="B1814" s="25">
        <f>IF(A1814="","",CHOOSE(WEEKDAY(A1814,2),"월","화","수","목","금","토","일"))</f>
        <v/>
      </c>
      <c r="C1814" s="18" t="n"/>
      <c r="D1814" s="25">
        <f>IFERROR(IF(C1814="","",INDEX(직원명부!$B$5:$B$24,MATCH(C1814,직원명부!$A$5:$A$24,0))),"사번 확인")</f>
        <v/>
      </c>
      <c r="E1814" s="34" t="n"/>
      <c r="F1814" s="34" t="n"/>
      <c r="G1814" s="28" t="n"/>
      <c r="H1814" s="33">
        <f>IF(OR(E1814="",F1814=""),"",ROUND(MOD(F1814-E1814,1)*24-N(G1814),2))</f>
        <v/>
      </c>
      <c r="I1814" s="33">
        <f>IF(H1814="","",ROUND(MAX(0,H1814-8),2))</f>
        <v/>
      </c>
      <c r="J1814" s="33">
        <f>IF(OR(E1814="",F1814=""),"",ROUND(IF(MOD(F1814,1)&gt;=TIME(22,0,0),(MOD(F1814,1)-TIME(22,0,0))*24,IF(MOD(F1814,1)&lt;TIME(6,0,0),(MOD(F1814,1)+1-TIME(22,0,0))*24,0)),2))</f>
        <v/>
      </c>
      <c r="K1814" s="33">
        <f>IF(H1814="","",ROUND(IF(L1814="휴일근로",MIN(H1814,8)*1.5+MAX(0,H1814-8)*2,I1814*1.5)+N(J1814)*0.5,2))</f>
        <v/>
      </c>
      <c r="L1814" s="18" t="n"/>
      <c r="M1814" s="18" t="n"/>
      <c r="N1814" s="22" t="n"/>
    </row>
    <row r="1815">
      <c r="A1815" s="19" t="n"/>
      <c r="B1815" s="25">
        <f>IF(A1815="","",CHOOSE(WEEKDAY(A1815,2),"월","화","수","목","금","토","일"))</f>
        <v/>
      </c>
      <c r="C1815" s="18" t="n"/>
      <c r="D1815" s="25">
        <f>IFERROR(IF(C1815="","",INDEX(직원명부!$B$5:$B$24,MATCH(C1815,직원명부!$A$5:$A$24,0))),"사번 확인")</f>
        <v/>
      </c>
      <c r="E1815" s="34" t="n"/>
      <c r="F1815" s="34" t="n"/>
      <c r="G1815" s="28" t="n"/>
      <c r="H1815" s="33">
        <f>IF(OR(E1815="",F1815=""),"",ROUND(MOD(F1815-E1815,1)*24-N(G1815),2))</f>
        <v/>
      </c>
      <c r="I1815" s="33">
        <f>IF(H1815="","",ROUND(MAX(0,H1815-8),2))</f>
        <v/>
      </c>
      <c r="J1815" s="33">
        <f>IF(OR(E1815="",F1815=""),"",ROUND(IF(MOD(F1815,1)&gt;=TIME(22,0,0),(MOD(F1815,1)-TIME(22,0,0))*24,IF(MOD(F1815,1)&lt;TIME(6,0,0),(MOD(F1815,1)+1-TIME(22,0,0))*24,0)),2))</f>
        <v/>
      </c>
      <c r="K1815" s="33">
        <f>IF(H1815="","",ROUND(IF(L1815="휴일근로",MIN(H1815,8)*1.5+MAX(0,H1815-8)*2,I1815*1.5)+N(J1815)*0.5,2))</f>
        <v/>
      </c>
      <c r="L1815" s="18" t="n"/>
      <c r="M1815" s="18" t="n"/>
      <c r="N1815" s="22" t="n"/>
    </row>
    <row r="1816">
      <c r="A1816" s="19" t="n"/>
      <c r="B1816" s="25">
        <f>IF(A1816="","",CHOOSE(WEEKDAY(A1816,2),"월","화","수","목","금","토","일"))</f>
        <v/>
      </c>
      <c r="C1816" s="18" t="n"/>
      <c r="D1816" s="25">
        <f>IFERROR(IF(C1816="","",INDEX(직원명부!$B$5:$B$24,MATCH(C1816,직원명부!$A$5:$A$24,0))),"사번 확인")</f>
        <v/>
      </c>
      <c r="E1816" s="34" t="n"/>
      <c r="F1816" s="34" t="n"/>
      <c r="G1816" s="28" t="n"/>
      <c r="H1816" s="33">
        <f>IF(OR(E1816="",F1816=""),"",ROUND(MOD(F1816-E1816,1)*24-N(G1816),2))</f>
        <v/>
      </c>
      <c r="I1816" s="33">
        <f>IF(H1816="","",ROUND(MAX(0,H1816-8),2))</f>
        <v/>
      </c>
      <c r="J1816" s="33">
        <f>IF(OR(E1816="",F1816=""),"",ROUND(IF(MOD(F1816,1)&gt;=TIME(22,0,0),(MOD(F1816,1)-TIME(22,0,0))*24,IF(MOD(F1816,1)&lt;TIME(6,0,0),(MOD(F1816,1)+1-TIME(22,0,0))*24,0)),2))</f>
        <v/>
      </c>
      <c r="K1816" s="33">
        <f>IF(H1816="","",ROUND(IF(L1816="휴일근로",MIN(H1816,8)*1.5+MAX(0,H1816-8)*2,I1816*1.5)+N(J1816)*0.5,2))</f>
        <v/>
      </c>
      <c r="L1816" s="18" t="n"/>
      <c r="M1816" s="18" t="n"/>
      <c r="N1816" s="22" t="n"/>
    </row>
    <row r="1817">
      <c r="A1817" s="19" t="n"/>
      <c r="B1817" s="25">
        <f>IF(A1817="","",CHOOSE(WEEKDAY(A1817,2),"월","화","수","목","금","토","일"))</f>
        <v/>
      </c>
      <c r="C1817" s="18" t="n"/>
      <c r="D1817" s="25">
        <f>IFERROR(IF(C1817="","",INDEX(직원명부!$B$5:$B$24,MATCH(C1817,직원명부!$A$5:$A$24,0))),"사번 확인")</f>
        <v/>
      </c>
      <c r="E1817" s="34" t="n"/>
      <c r="F1817" s="34" t="n"/>
      <c r="G1817" s="28" t="n"/>
      <c r="H1817" s="33">
        <f>IF(OR(E1817="",F1817=""),"",ROUND(MOD(F1817-E1817,1)*24-N(G1817),2))</f>
        <v/>
      </c>
      <c r="I1817" s="33">
        <f>IF(H1817="","",ROUND(MAX(0,H1817-8),2))</f>
        <v/>
      </c>
      <c r="J1817" s="33">
        <f>IF(OR(E1817="",F1817=""),"",ROUND(IF(MOD(F1817,1)&gt;=TIME(22,0,0),(MOD(F1817,1)-TIME(22,0,0))*24,IF(MOD(F1817,1)&lt;TIME(6,0,0),(MOD(F1817,1)+1-TIME(22,0,0))*24,0)),2))</f>
        <v/>
      </c>
      <c r="K1817" s="33">
        <f>IF(H1817="","",ROUND(IF(L1817="휴일근로",MIN(H1817,8)*1.5+MAX(0,H1817-8)*2,I1817*1.5)+N(J1817)*0.5,2))</f>
        <v/>
      </c>
      <c r="L1817" s="18" t="n"/>
      <c r="M1817" s="18" t="n"/>
      <c r="N1817" s="22" t="n"/>
    </row>
    <row r="1818">
      <c r="A1818" s="19" t="n"/>
      <c r="B1818" s="25">
        <f>IF(A1818="","",CHOOSE(WEEKDAY(A1818,2),"월","화","수","목","금","토","일"))</f>
        <v/>
      </c>
      <c r="C1818" s="18" t="n"/>
      <c r="D1818" s="25">
        <f>IFERROR(IF(C1818="","",INDEX(직원명부!$B$5:$B$24,MATCH(C1818,직원명부!$A$5:$A$24,0))),"사번 확인")</f>
        <v/>
      </c>
      <c r="E1818" s="34" t="n"/>
      <c r="F1818" s="34" t="n"/>
      <c r="G1818" s="28" t="n"/>
      <c r="H1818" s="33">
        <f>IF(OR(E1818="",F1818=""),"",ROUND(MOD(F1818-E1818,1)*24-N(G1818),2))</f>
        <v/>
      </c>
      <c r="I1818" s="33">
        <f>IF(H1818="","",ROUND(MAX(0,H1818-8),2))</f>
        <v/>
      </c>
      <c r="J1818" s="33">
        <f>IF(OR(E1818="",F1818=""),"",ROUND(IF(MOD(F1818,1)&gt;=TIME(22,0,0),(MOD(F1818,1)-TIME(22,0,0))*24,IF(MOD(F1818,1)&lt;TIME(6,0,0),(MOD(F1818,1)+1-TIME(22,0,0))*24,0)),2))</f>
        <v/>
      </c>
      <c r="K1818" s="33">
        <f>IF(H1818="","",ROUND(IF(L1818="휴일근로",MIN(H1818,8)*1.5+MAX(0,H1818-8)*2,I1818*1.5)+N(J1818)*0.5,2))</f>
        <v/>
      </c>
      <c r="L1818" s="18" t="n"/>
      <c r="M1818" s="18" t="n"/>
      <c r="N1818" s="22" t="n"/>
    </row>
    <row r="1819">
      <c r="A1819" s="19" t="n"/>
      <c r="B1819" s="25">
        <f>IF(A1819="","",CHOOSE(WEEKDAY(A1819,2),"월","화","수","목","금","토","일"))</f>
        <v/>
      </c>
      <c r="C1819" s="18" t="n"/>
      <c r="D1819" s="25">
        <f>IFERROR(IF(C1819="","",INDEX(직원명부!$B$5:$B$24,MATCH(C1819,직원명부!$A$5:$A$24,0))),"사번 확인")</f>
        <v/>
      </c>
      <c r="E1819" s="34" t="n"/>
      <c r="F1819" s="34" t="n"/>
      <c r="G1819" s="28" t="n"/>
      <c r="H1819" s="33">
        <f>IF(OR(E1819="",F1819=""),"",ROUND(MOD(F1819-E1819,1)*24-N(G1819),2))</f>
        <v/>
      </c>
      <c r="I1819" s="33">
        <f>IF(H1819="","",ROUND(MAX(0,H1819-8),2))</f>
        <v/>
      </c>
      <c r="J1819" s="33">
        <f>IF(OR(E1819="",F1819=""),"",ROUND(IF(MOD(F1819,1)&gt;=TIME(22,0,0),(MOD(F1819,1)-TIME(22,0,0))*24,IF(MOD(F1819,1)&lt;TIME(6,0,0),(MOD(F1819,1)+1-TIME(22,0,0))*24,0)),2))</f>
        <v/>
      </c>
      <c r="K1819" s="33">
        <f>IF(H1819="","",ROUND(IF(L1819="휴일근로",MIN(H1819,8)*1.5+MAX(0,H1819-8)*2,I1819*1.5)+N(J1819)*0.5,2))</f>
        <v/>
      </c>
      <c r="L1819" s="18" t="n"/>
      <c r="M1819" s="18" t="n"/>
      <c r="N1819" s="22" t="n"/>
    </row>
    <row r="1820">
      <c r="A1820" s="19" t="n"/>
      <c r="B1820" s="25">
        <f>IF(A1820="","",CHOOSE(WEEKDAY(A1820,2),"월","화","수","목","금","토","일"))</f>
        <v/>
      </c>
      <c r="C1820" s="18" t="n"/>
      <c r="D1820" s="25">
        <f>IFERROR(IF(C1820="","",INDEX(직원명부!$B$5:$B$24,MATCH(C1820,직원명부!$A$5:$A$24,0))),"사번 확인")</f>
        <v/>
      </c>
      <c r="E1820" s="34" t="n"/>
      <c r="F1820" s="34" t="n"/>
      <c r="G1820" s="28" t="n"/>
      <c r="H1820" s="33">
        <f>IF(OR(E1820="",F1820=""),"",ROUND(MOD(F1820-E1820,1)*24-N(G1820),2))</f>
        <v/>
      </c>
      <c r="I1820" s="33">
        <f>IF(H1820="","",ROUND(MAX(0,H1820-8),2))</f>
        <v/>
      </c>
      <c r="J1820" s="33">
        <f>IF(OR(E1820="",F1820=""),"",ROUND(IF(MOD(F1820,1)&gt;=TIME(22,0,0),(MOD(F1820,1)-TIME(22,0,0))*24,IF(MOD(F1820,1)&lt;TIME(6,0,0),(MOD(F1820,1)+1-TIME(22,0,0))*24,0)),2))</f>
        <v/>
      </c>
      <c r="K1820" s="33">
        <f>IF(H1820="","",ROUND(IF(L1820="휴일근로",MIN(H1820,8)*1.5+MAX(0,H1820-8)*2,I1820*1.5)+N(J1820)*0.5,2))</f>
        <v/>
      </c>
      <c r="L1820" s="18" t="n"/>
      <c r="M1820" s="18" t="n"/>
      <c r="N1820" s="22" t="n"/>
    </row>
    <row r="1821">
      <c r="A1821" s="19" t="n"/>
      <c r="B1821" s="25">
        <f>IF(A1821="","",CHOOSE(WEEKDAY(A1821,2),"월","화","수","목","금","토","일"))</f>
        <v/>
      </c>
      <c r="C1821" s="18" t="n"/>
      <c r="D1821" s="25">
        <f>IFERROR(IF(C1821="","",INDEX(직원명부!$B$5:$B$24,MATCH(C1821,직원명부!$A$5:$A$24,0))),"사번 확인")</f>
        <v/>
      </c>
      <c r="E1821" s="34" t="n"/>
      <c r="F1821" s="34" t="n"/>
      <c r="G1821" s="28" t="n"/>
      <c r="H1821" s="33">
        <f>IF(OR(E1821="",F1821=""),"",ROUND(MOD(F1821-E1821,1)*24-N(G1821),2))</f>
        <v/>
      </c>
      <c r="I1821" s="33">
        <f>IF(H1821="","",ROUND(MAX(0,H1821-8),2))</f>
        <v/>
      </c>
      <c r="J1821" s="33">
        <f>IF(OR(E1821="",F1821=""),"",ROUND(IF(MOD(F1821,1)&gt;=TIME(22,0,0),(MOD(F1821,1)-TIME(22,0,0))*24,IF(MOD(F1821,1)&lt;TIME(6,0,0),(MOD(F1821,1)+1-TIME(22,0,0))*24,0)),2))</f>
        <v/>
      </c>
      <c r="K1821" s="33">
        <f>IF(H1821="","",ROUND(IF(L1821="휴일근로",MIN(H1821,8)*1.5+MAX(0,H1821-8)*2,I1821*1.5)+N(J1821)*0.5,2))</f>
        <v/>
      </c>
      <c r="L1821" s="18" t="n"/>
      <c r="M1821" s="18" t="n"/>
      <c r="N1821" s="22" t="n"/>
    </row>
    <row r="1822">
      <c r="A1822" s="19" t="n"/>
      <c r="B1822" s="25">
        <f>IF(A1822="","",CHOOSE(WEEKDAY(A1822,2),"월","화","수","목","금","토","일"))</f>
        <v/>
      </c>
      <c r="C1822" s="18" t="n"/>
      <c r="D1822" s="25">
        <f>IFERROR(IF(C1822="","",INDEX(직원명부!$B$5:$B$24,MATCH(C1822,직원명부!$A$5:$A$24,0))),"사번 확인")</f>
        <v/>
      </c>
      <c r="E1822" s="34" t="n"/>
      <c r="F1822" s="34" t="n"/>
      <c r="G1822" s="28" t="n"/>
      <c r="H1822" s="33">
        <f>IF(OR(E1822="",F1822=""),"",ROUND(MOD(F1822-E1822,1)*24-N(G1822),2))</f>
        <v/>
      </c>
      <c r="I1822" s="33">
        <f>IF(H1822="","",ROUND(MAX(0,H1822-8),2))</f>
        <v/>
      </c>
      <c r="J1822" s="33">
        <f>IF(OR(E1822="",F1822=""),"",ROUND(IF(MOD(F1822,1)&gt;=TIME(22,0,0),(MOD(F1822,1)-TIME(22,0,0))*24,IF(MOD(F1822,1)&lt;TIME(6,0,0),(MOD(F1822,1)+1-TIME(22,0,0))*24,0)),2))</f>
        <v/>
      </c>
      <c r="K1822" s="33">
        <f>IF(H1822="","",ROUND(IF(L1822="휴일근로",MIN(H1822,8)*1.5+MAX(0,H1822-8)*2,I1822*1.5)+N(J1822)*0.5,2))</f>
        <v/>
      </c>
      <c r="L1822" s="18" t="n"/>
      <c r="M1822" s="18" t="n"/>
      <c r="N1822" s="22" t="n"/>
    </row>
    <row r="1823">
      <c r="A1823" s="19" t="n"/>
      <c r="B1823" s="25">
        <f>IF(A1823="","",CHOOSE(WEEKDAY(A1823,2),"월","화","수","목","금","토","일"))</f>
        <v/>
      </c>
      <c r="C1823" s="18" t="n"/>
      <c r="D1823" s="25">
        <f>IFERROR(IF(C1823="","",INDEX(직원명부!$B$5:$B$24,MATCH(C1823,직원명부!$A$5:$A$24,0))),"사번 확인")</f>
        <v/>
      </c>
      <c r="E1823" s="34" t="n"/>
      <c r="F1823" s="34" t="n"/>
      <c r="G1823" s="28" t="n"/>
      <c r="H1823" s="33">
        <f>IF(OR(E1823="",F1823=""),"",ROUND(MOD(F1823-E1823,1)*24-N(G1823),2))</f>
        <v/>
      </c>
      <c r="I1823" s="33">
        <f>IF(H1823="","",ROUND(MAX(0,H1823-8),2))</f>
        <v/>
      </c>
      <c r="J1823" s="33">
        <f>IF(OR(E1823="",F1823=""),"",ROUND(IF(MOD(F1823,1)&gt;=TIME(22,0,0),(MOD(F1823,1)-TIME(22,0,0))*24,IF(MOD(F1823,1)&lt;TIME(6,0,0),(MOD(F1823,1)+1-TIME(22,0,0))*24,0)),2))</f>
        <v/>
      </c>
      <c r="K1823" s="33">
        <f>IF(H1823="","",ROUND(IF(L1823="휴일근로",MIN(H1823,8)*1.5+MAX(0,H1823-8)*2,I1823*1.5)+N(J1823)*0.5,2))</f>
        <v/>
      </c>
      <c r="L1823" s="18" t="n"/>
      <c r="M1823" s="18" t="n"/>
      <c r="N1823" s="22" t="n"/>
    </row>
    <row r="1824">
      <c r="A1824" s="19" t="n"/>
      <c r="B1824" s="25">
        <f>IF(A1824="","",CHOOSE(WEEKDAY(A1824,2),"월","화","수","목","금","토","일"))</f>
        <v/>
      </c>
      <c r="C1824" s="18" t="n"/>
      <c r="D1824" s="25">
        <f>IFERROR(IF(C1824="","",INDEX(직원명부!$B$5:$B$24,MATCH(C1824,직원명부!$A$5:$A$24,0))),"사번 확인")</f>
        <v/>
      </c>
      <c r="E1824" s="34" t="n"/>
      <c r="F1824" s="34" t="n"/>
      <c r="G1824" s="28" t="n"/>
      <c r="H1824" s="33">
        <f>IF(OR(E1824="",F1824=""),"",ROUND(MOD(F1824-E1824,1)*24-N(G1824),2))</f>
        <v/>
      </c>
      <c r="I1824" s="33">
        <f>IF(H1824="","",ROUND(MAX(0,H1824-8),2))</f>
        <v/>
      </c>
      <c r="J1824" s="33">
        <f>IF(OR(E1824="",F1824=""),"",ROUND(IF(MOD(F1824,1)&gt;=TIME(22,0,0),(MOD(F1824,1)-TIME(22,0,0))*24,IF(MOD(F1824,1)&lt;TIME(6,0,0),(MOD(F1824,1)+1-TIME(22,0,0))*24,0)),2))</f>
        <v/>
      </c>
      <c r="K1824" s="33">
        <f>IF(H1824="","",ROUND(IF(L1824="휴일근로",MIN(H1824,8)*1.5+MAX(0,H1824-8)*2,I1824*1.5)+N(J1824)*0.5,2))</f>
        <v/>
      </c>
      <c r="L1824" s="18" t="n"/>
      <c r="M1824" s="18" t="n"/>
      <c r="N1824" s="22" t="n"/>
    </row>
    <row r="1825">
      <c r="A1825" s="19" t="n"/>
      <c r="B1825" s="25">
        <f>IF(A1825="","",CHOOSE(WEEKDAY(A1825,2),"월","화","수","목","금","토","일"))</f>
        <v/>
      </c>
      <c r="C1825" s="18" t="n"/>
      <c r="D1825" s="25">
        <f>IFERROR(IF(C1825="","",INDEX(직원명부!$B$5:$B$24,MATCH(C1825,직원명부!$A$5:$A$24,0))),"사번 확인")</f>
        <v/>
      </c>
      <c r="E1825" s="34" t="n"/>
      <c r="F1825" s="34" t="n"/>
      <c r="G1825" s="28" t="n"/>
      <c r="H1825" s="33">
        <f>IF(OR(E1825="",F1825=""),"",ROUND(MOD(F1825-E1825,1)*24-N(G1825),2))</f>
        <v/>
      </c>
      <c r="I1825" s="33">
        <f>IF(H1825="","",ROUND(MAX(0,H1825-8),2))</f>
        <v/>
      </c>
      <c r="J1825" s="33">
        <f>IF(OR(E1825="",F1825=""),"",ROUND(IF(MOD(F1825,1)&gt;=TIME(22,0,0),(MOD(F1825,1)-TIME(22,0,0))*24,IF(MOD(F1825,1)&lt;TIME(6,0,0),(MOD(F1825,1)+1-TIME(22,0,0))*24,0)),2))</f>
        <v/>
      </c>
      <c r="K1825" s="33">
        <f>IF(H1825="","",ROUND(IF(L1825="휴일근로",MIN(H1825,8)*1.5+MAX(0,H1825-8)*2,I1825*1.5)+N(J1825)*0.5,2))</f>
        <v/>
      </c>
      <c r="L1825" s="18" t="n"/>
      <c r="M1825" s="18" t="n"/>
      <c r="N1825" s="22" t="n"/>
    </row>
    <row r="1826">
      <c r="A1826" s="19" t="n"/>
      <c r="B1826" s="25">
        <f>IF(A1826="","",CHOOSE(WEEKDAY(A1826,2),"월","화","수","목","금","토","일"))</f>
        <v/>
      </c>
      <c r="C1826" s="18" t="n"/>
      <c r="D1826" s="25">
        <f>IFERROR(IF(C1826="","",INDEX(직원명부!$B$5:$B$24,MATCH(C1826,직원명부!$A$5:$A$24,0))),"사번 확인")</f>
        <v/>
      </c>
      <c r="E1826" s="34" t="n"/>
      <c r="F1826" s="34" t="n"/>
      <c r="G1826" s="28" t="n"/>
      <c r="H1826" s="33">
        <f>IF(OR(E1826="",F1826=""),"",ROUND(MOD(F1826-E1826,1)*24-N(G1826),2))</f>
        <v/>
      </c>
      <c r="I1826" s="33">
        <f>IF(H1826="","",ROUND(MAX(0,H1826-8),2))</f>
        <v/>
      </c>
      <c r="J1826" s="33">
        <f>IF(OR(E1826="",F1826=""),"",ROUND(IF(MOD(F1826,1)&gt;=TIME(22,0,0),(MOD(F1826,1)-TIME(22,0,0))*24,IF(MOD(F1826,1)&lt;TIME(6,0,0),(MOD(F1826,1)+1-TIME(22,0,0))*24,0)),2))</f>
        <v/>
      </c>
      <c r="K1826" s="33">
        <f>IF(H1826="","",ROUND(IF(L1826="휴일근로",MIN(H1826,8)*1.5+MAX(0,H1826-8)*2,I1826*1.5)+N(J1826)*0.5,2))</f>
        <v/>
      </c>
      <c r="L1826" s="18" t="n"/>
      <c r="M1826" s="18" t="n"/>
      <c r="N1826" s="22" t="n"/>
    </row>
    <row r="1827">
      <c r="A1827" s="19" t="n"/>
      <c r="B1827" s="25">
        <f>IF(A1827="","",CHOOSE(WEEKDAY(A1827,2),"월","화","수","목","금","토","일"))</f>
        <v/>
      </c>
      <c r="C1827" s="18" t="n"/>
      <c r="D1827" s="25">
        <f>IFERROR(IF(C1827="","",INDEX(직원명부!$B$5:$B$24,MATCH(C1827,직원명부!$A$5:$A$24,0))),"사번 확인")</f>
        <v/>
      </c>
      <c r="E1827" s="34" t="n"/>
      <c r="F1827" s="34" t="n"/>
      <c r="G1827" s="28" t="n"/>
      <c r="H1827" s="33">
        <f>IF(OR(E1827="",F1827=""),"",ROUND(MOD(F1827-E1827,1)*24-N(G1827),2))</f>
        <v/>
      </c>
      <c r="I1827" s="33">
        <f>IF(H1827="","",ROUND(MAX(0,H1827-8),2))</f>
        <v/>
      </c>
      <c r="J1827" s="33">
        <f>IF(OR(E1827="",F1827=""),"",ROUND(IF(MOD(F1827,1)&gt;=TIME(22,0,0),(MOD(F1827,1)-TIME(22,0,0))*24,IF(MOD(F1827,1)&lt;TIME(6,0,0),(MOD(F1827,1)+1-TIME(22,0,0))*24,0)),2))</f>
        <v/>
      </c>
      <c r="K1827" s="33">
        <f>IF(H1827="","",ROUND(IF(L1827="휴일근로",MIN(H1827,8)*1.5+MAX(0,H1827-8)*2,I1827*1.5)+N(J1827)*0.5,2))</f>
        <v/>
      </c>
      <c r="L1827" s="18" t="n"/>
      <c r="M1827" s="18" t="n"/>
      <c r="N1827" s="22" t="n"/>
    </row>
    <row r="1828">
      <c r="A1828" s="19" t="n"/>
      <c r="B1828" s="25">
        <f>IF(A1828="","",CHOOSE(WEEKDAY(A1828,2),"월","화","수","목","금","토","일"))</f>
        <v/>
      </c>
      <c r="C1828" s="18" t="n"/>
      <c r="D1828" s="25">
        <f>IFERROR(IF(C1828="","",INDEX(직원명부!$B$5:$B$24,MATCH(C1828,직원명부!$A$5:$A$24,0))),"사번 확인")</f>
        <v/>
      </c>
      <c r="E1828" s="34" t="n"/>
      <c r="F1828" s="34" t="n"/>
      <c r="G1828" s="28" t="n"/>
      <c r="H1828" s="33">
        <f>IF(OR(E1828="",F1828=""),"",ROUND(MOD(F1828-E1828,1)*24-N(G1828),2))</f>
        <v/>
      </c>
      <c r="I1828" s="33">
        <f>IF(H1828="","",ROUND(MAX(0,H1828-8),2))</f>
        <v/>
      </c>
      <c r="J1828" s="33">
        <f>IF(OR(E1828="",F1828=""),"",ROUND(IF(MOD(F1828,1)&gt;=TIME(22,0,0),(MOD(F1828,1)-TIME(22,0,0))*24,IF(MOD(F1828,1)&lt;TIME(6,0,0),(MOD(F1828,1)+1-TIME(22,0,0))*24,0)),2))</f>
        <v/>
      </c>
      <c r="K1828" s="33">
        <f>IF(H1828="","",ROUND(IF(L1828="휴일근로",MIN(H1828,8)*1.5+MAX(0,H1828-8)*2,I1828*1.5)+N(J1828)*0.5,2))</f>
        <v/>
      </c>
      <c r="L1828" s="18" t="n"/>
      <c r="M1828" s="18" t="n"/>
      <c r="N1828" s="22" t="n"/>
    </row>
    <row r="1829">
      <c r="A1829" s="19" t="n"/>
      <c r="B1829" s="25">
        <f>IF(A1829="","",CHOOSE(WEEKDAY(A1829,2),"월","화","수","목","금","토","일"))</f>
        <v/>
      </c>
      <c r="C1829" s="18" t="n"/>
      <c r="D1829" s="25">
        <f>IFERROR(IF(C1829="","",INDEX(직원명부!$B$5:$B$24,MATCH(C1829,직원명부!$A$5:$A$24,0))),"사번 확인")</f>
        <v/>
      </c>
      <c r="E1829" s="34" t="n"/>
      <c r="F1829" s="34" t="n"/>
      <c r="G1829" s="28" t="n"/>
      <c r="H1829" s="33">
        <f>IF(OR(E1829="",F1829=""),"",ROUND(MOD(F1829-E1829,1)*24-N(G1829),2))</f>
        <v/>
      </c>
      <c r="I1829" s="33">
        <f>IF(H1829="","",ROUND(MAX(0,H1829-8),2))</f>
        <v/>
      </c>
      <c r="J1829" s="33">
        <f>IF(OR(E1829="",F1829=""),"",ROUND(IF(MOD(F1829,1)&gt;=TIME(22,0,0),(MOD(F1829,1)-TIME(22,0,0))*24,IF(MOD(F1829,1)&lt;TIME(6,0,0),(MOD(F1829,1)+1-TIME(22,0,0))*24,0)),2))</f>
        <v/>
      </c>
      <c r="K1829" s="33">
        <f>IF(H1829="","",ROUND(IF(L1829="휴일근로",MIN(H1829,8)*1.5+MAX(0,H1829-8)*2,I1829*1.5)+N(J1829)*0.5,2))</f>
        <v/>
      </c>
      <c r="L1829" s="18" t="n"/>
      <c r="M1829" s="18" t="n"/>
      <c r="N1829" s="22" t="n"/>
    </row>
    <row r="1830">
      <c r="A1830" s="19" t="n"/>
      <c r="B1830" s="25">
        <f>IF(A1830="","",CHOOSE(WEEKDAY(A1830,2),"월","화","수","목","금","토","일"))</f>
        <v/>
      </c>
      <c r="C1830" s="18" t="n"/>
      <c r="D1830" s="25">
        <f>IFERROR(IF(C1830="","",INDEX(직원명부!$B$5:$B$24,MATCH(C1830,직원명부!$A$5:$A$24,0))),"사번 확인")</f>
        <v/>
      </c>
      <c r="E1830" s="34" t="n"/>
      <c r="F1830" s="34" t="n"/>
      <c r="G1830" s="28" t="n"/>
      <c r="H1830" s="33">
        <f>IF(OR(E1830="",F1830=""),"",ROUND(MOD(F1830-E1830,1)*24-N(G1830),2))</f>
        <v/>
      </c>
      <c r="I1830" s="33">
        <f>IF(H1830="","",ROUND(MAX(0,H1830-8),2))</f>
        <v/>
      </c>
      <c r="J1830" s="33">
        <f>IF(OR(E1830="",F1830=""),"",ROUND(IF(MOD(F1830,1)&gt;=TIME(22,0,0),(MOD(F1830,1)-TIME(22,0,0))*24,IF(MOD(F1830,1)&lt;TIME(6,0,0),(MOD(F1830,1)+1-TIME(22,0,0))*24,0)),2))</f>
        <v/>
      </c>
      <c r="K1830" s="33">
        <f>IF(H1830="","",ROUND(IF(L1830="휴일근로",MIN(H1830,8)*1.5+MAX(0,H1830-8)*2,I1830*1.5)+N(J1830)*0.5,2))</f>
        <v/>
      </c>
      <c r="L1830" s="18" t="n"/>
      <c r="M1830" s="18" t="n"/>
      <c r="N1830" s="22" t="n"/>
    </row>
    <row r="1831">
      <c r="A1831" s="19" t="n"/>
      <c r="B1831" s="25">
        <f>IF(A1831="","",CHOOSE(WEEKDAY(A1831,2),"월","화","수","목","금","토","일"))</f>
        <v/>
      </c>
      <c r="C1831" s="18" t="n"/>
      <c r="D1831" s="25">
        <f>IFERROR(IF(C1831="","",INDEX(직원명부!$B$5:$B$24,MATCH(C1831,직원명부!$A$5:$A$24,0))),"사번 확인")</f>
        <v/>
      </c>
      <c r="E1831" s="34" t="n"/>
      <c r="F1831" s="34" t="n"/>
      <c r="G1831" s="28" t="n"/>
      <c r="H1831" s="33">
        <f>IF(OR(E1831="",F1831=""),"",ROUND(MOD(F1831-E1831,1)*24-N(G1831),2))</f>
        <v/>
      </c>
      <c r="I1831" s="33">
        <f>IF(H1831="","",ROUND(MAX(0,H1831-8),2))</f>
        <v/>
      </c>
      <c r="J1831" s="33">
        <f>IF(OR(E1831="",F1831=""),"",ROUND(IF(MOD(F1831,1)&gt;=TIME(22,0,0),(MOD(F1831,1)-TIME(22,0,0))*24,IF(MOD(F1831,1)&lt;TIME(6,0,0),(MOD(F1831,1)+1-TIME(22,0,0))*24,0)),2))</f>
        <v/>
      </c>
      <c r="K1831" s="33">
        <f>IF(H1831="","",ROUND(IF(L1831="휴일근로",MIN(H1831,8)*1.5+MAX(0,H1831-8)*2,I1831*1.5)+N(J1831)*0.5,2))</f>
        <v/>
      </c>
      <c r="L1831" s="18" t="n"/>
      <c r="M1831" s="18" t="n"/>
      <c r="N1831" s="22" t="n"/>
    </row>
    <row r="1832">
      <c r="A1832" s="19" t="n"/>
      <c r="B1832" s="25">
        <f>IF(A1832="","",CHOOSE(WEEKDAY(A1832,2),"월","화","수","목","금","토","일"))</f>
        <v/>
      </c>
      <c r="C1832" s="18" t="n"/>
      <c r="D1832" s="25">
        <f>IFERROR(IF(C1832="","",INDEX(직원명부!$B$5:$B$24,MATCH(C1832,직원명부!$A$5:$A$24,0))),"사번 확인")</f>
        <v/>
      </c>
      <c r="E1832" s="34" t="n"/>
      <c r="F1832" s="34" t="n"/>
      <c r="G1832" s="28" t="n"/>
      <c r="H1832" s="33">
        <f>IF(OR(E1832="",F1832=""),"",ROUND(MOD(F1832-E1832,1)*24-N(G1832),2))</f>
        <v/>
      </c>
      <c r="I1832" s="33">
        <f>IF(H1832="","",ROUND(MAX(0,H1832-8),2))</f>
        <v/>
      </c>
      <c r="J1832" s="33">
        <f>IF(OR(E1832="",F1832=""),"",ROUND(IF(MOD(F1832,1)&gt;=TIME(22,0,0),(MOD(F1832,1)-TIME(22,0,0))*24,IF(MOD(F1832,1)&lt;TIME(6,0,0),(MOD(F1832,1)+1-TIME(22,0,0))*24,0)),2))</f>
        <v/>
      </c>
      <c r="K1832" s="33">
        <f>IF(H1832="","",ROUND(IF(L1832="휴일근로",MIN(H1832,8)*1.5+MAX(0,H1832-8)*2,I1832*1.5)+N(J1832)*0.5,2))</f>
        <v/>
      </c>
      <c r="L1832" s="18" t="n"/>
      <c r="M1832" s="18" t="n"/>
      <c r="N1832" s="22" t="n"/>
    </row>
    <row r="1833">
      <c r="A1833" s="19" t="n"/>
      <c r="B1833" s="25">
        <f>IF(A1833="","",CHOOSE(WEEKDAY(A1833,2),"월","화","수","목","금","토","일"))</f>
        <v/>
      </c>
      <c r="C1833" s="18" t="n"/>
      <c r="D1833" s="25">
        <f>IFERROR(IF(C1833="","",INDEX(직원명부!$B$5:$B$24,MATCH(C1833,직원명부!$A$5:$A$24,0))),"사번 확인")</f>
        <v/>
      </c>
      <c r="E1833" s="34" t="n"/>
      <c r="F1833" s="34" t="n"/>
      <c r="G1833" s="28" t="n"/>
      <c r="H1833" s="33">
        <f>IF(OR(E1833="",F1833=""),"",ROUND(MOD(F1833-E1833,1)*24-N(G1833),2))</f>
        <v/>
      </c>
      <c r="I1833" s="33">
        <f>IF(H1833="","",ROUND(MAX(0,H1833-8),2))</f>
        <v/>
      </c>
      <c r="J1833" s="33">
        <f>IF(OR(E1833="",F1833=""),"",ROUND(IF(MOD(F1833,1)&gt;=TIME(22,0,0),(MOD(F1833,1)-TIME(22,0,0))*24,IF(MOD(F1833,1)&lt;TIME(6,0,0),(MOD(F1833,1)+1-TIME(22,0,0))*24,0)),2))</f>
        <v/>
      </c>
      <c r="K1833" s="33">
        <f>IF(H1833="","",ROUND(IF(L1833="휴일근로",MIN(H1833,8)*1.5+MAX(0,H1833-8)*2,I1833*1.5)+N(J1833)*0.5,2))</f>
        <v/>
      </c>
      <c r="L1833" s="18" t="n"/>
      <c r="M1833" s="18" t="n"/>
      <c r="N1833" s="22" t="n"/>
    </row>
    <row r="1834">
      <c r="A1834" s="19" t="n"/>
      <c r="B1834" s="25">
        <f>IF(A1834="","",CHOOSE(WEEKDAY(A1834,2),"월","화","수","목","금","토","일"))</f>
        <v/>
      </c>
      <c r="C1834" s="18" t="n"/>
      <c r="D1834" s="25">
        <f>IFERROR(IF(C1834="","",INDEX(직원명부!$B$5:$B$24,MATCH(C1834,직원명부!$A$5:$A$24,0))),"사번 확인")</f>
        <v/>
      </c>
      <c r="E1834" s="34" t="n"/>
      <c r="F1834" s="34" t="n"/>
      <c r="G1834" s="28" t="n"/>
      <c r="H1834" s="33">
        <f>IF(OR(E1834="",F1834=""),"",ROUND(MOD(F1834-E1834,1)*24-N(G1834),2))</f>
        <v/>
      </c>
      <c r="I1834" s="33">
        <f>IF(H1834="","",ROUND(MAX(0,H1834-8),2))</f>
        <v/>
      </c>
      <c r="J1834" s="33">
        <f>IF(OR(E1834="",F1834=""),"",ROUND(IF(MOD(F1834,1)&gt;=TIME(22,0,0),(MOD(F1834,1)-TIME(22,0,0))*24,IF(MOD(F1834,1)&lt;TIME(6,0,0),(MOD(F1834,1)+1-TIME(22,0,0))*24,0)),2))</f>
        <v/>
      </c>
      <c r="K1834" s="33">
        <f>IF(H1834="","",ROUND(IF(L1834="휴일근로",MIN(H1834,8)*1.5+MAX(0,H1834-8)*2,I1834*1.5)+N(J1834)*0.5,2))</f>
        <v/>
      </c>
      <c r="L1834" s="18" t="n"/>
      <c r="M1834" s="18" t="n"/>
      <c r="N1834" s="22" t="n"/>
    </row>
    <row r="1835">
      <c r="A1835" s="19" t="n"/>
      <c r="B1835" s="25">
        <f>IF(A1835="","",CHOOSE(WEEKDAY(A1835,2),"월","화","수","목","금","토","일"))</f>
        <v/>
      </c>
      <c r="C1835" s="18" t="n"/>
      <c r="D1835" s="25">
        <f>IFERROR(IF(C1835="","",INDEX(직원명부!$B$5:$B$24,MATCH(C1835,직원명부!$A$5:$A$24,0))),"사번 확인")</f>
        <v/>
      </c>
      <c r="E1835" s="34" t="n"/>
      <c r="F1835" s="34" t="n"/>
      <c r="G1835" s="28" t="n"/>
      <c r="H1835" s="33">
        <f>IF(OR(E1835="",F1835=""),"",ROUND(MOD(F1835-E1835,1)*24-N(G1835),2))</f>
        <v/>
      </c>
      <c r="I1835" s="33">
        <f>IF(H1835="","",ROUND(MAX(0,H1835-8),2))</f>
        <v/>
      </c>
      <c r="J1835" s="33">
        <f>IF(OR(E1835="",F1835=""),"",ROUND(IF(MOD(F1835,1)&gt;=TIME(22,0,0),(MOD(F1835,1)-TIME(22,0,0))*24,IF(MOD(F1835,1)&lt;TIME(6,0,0),(MOD(F1835,1)+1-TIME(22,0,0))*24,0)),2))</f>
        <v/>
      </c>
      <c r="K1835" s="33">
        <f>IF(H1835="","",ROUND(IF(L1835="휴일근로",MIN(H1835,8)*1.5+MAX(0,H1835-8)*2,I1835*1.5)+N(J1835)*0.5,2))</f>
        <v/>
      </c>
      <c r="L1835" s="18" t="n"/>
      <c r="M1835" s="18" t="n"/>
      <c r="N1835" s="22" t="n"/>
    </row>
    <row r="1836">
      <c r="A1836" s="19" t="n"/>
      <c r="B1836" s="25">
        <f>IF(A1836="","",CHOOSE(WEEKDAY(A1836,2),"월","화","수","목","금","토","일"))</f>
        <v/>
      </c>
      <c r="C1836" s="18" t="n"/>
      <c r="D1836" s="25">
        <f>IFERROR(IF(C1836="","",INDEX(직원명부!$B$5:$B$24,MATCH(C1836,직원명부!$A$5:$A$24,0))),"사번 확인")</f>
        <v/>
      </c>
      <c r="E1836" s="34" t="n"/>
      <c r="F1836" s="34" t="n"/>
      <c r="G1836" s="28" t="n"/>
      <c r="H1836" s="33">
        <f>IF(OR(E1836="",F1836=""),"",ROUND(MOD(F1836-E1836,1)*24-N(G1836),2))</f>
        <v/>
      </c>
      <c r="I1836" s="33">
        <f>IF(H1836="","",ROUND(MAX(0,H1836-8),2))</f>
        <v/>
      </c>
      <c r="J1836" s="33">
        <f>IF(OR(E1836="",F1836=""),"",ROUND(IF(MOD(F1836,1)&gt;=TIME(22,0,0),(MOD(F1836,1)-TIME(22,0,0))*24,IF(MOD(F1836,1)&lt;TIME(6,0,0),(MOD(F1836,1)+1-TIME(22,0,0))*24,0)),2))</f>
        <v/>
      </c>
      <c r="K1836" s="33">
        <f>IF(H1836="","",ROUND(IF(L1836="휴일근로",MIN(H1836,8)*1.5+MAX(0,H1836-8)*2,I1836*1.5)+N(J1836)*0.5,2))</f>
        <v/>
      </c>
      <c r="L1836" s="18" t="n"/>
      <c r="M1836" s="18" t="n"/>
      <c r="N1836" s="22" t="n"/>
    </row>
    <row r="1837">
      <c r="A1837" s="19" t="n"/>
      <c r="B1837" s="25">
        <f>IF(A1837="","",CHOOSE(WEEKDAY(A1837,2),"월","화","수","목","금","토","일"))</f>
        <v/>
      </c>
      <c r="C1837" s="18" t="n"/>
      <c r="D1837" s="25">
        <f>IFERROR(IF(C1837="","",INDEX(직원명부!$B$5:$B$24,MATCH(C1837,직원명부!$A$5:$A$24,0))),"사번 확인")</f>
        <v/>
      </c>
      <c r="E1837" s="34" t="n"/>
      <c r="F1837" s="34" t="n"/>
      <c r="G1837" s="28" t="n"/>
      <c r="H1837" s="33">
        <f>IF(OR(E1837="",F1837=""),"",ROUND(MOD(F1837-E1837,1)*24-N(G1837),2))</f>
        <v/>
      </c>
      <c r="I1837" s="33">
        <f>IF(H1837="","",ROUND(MAX(0,H1837-8),2))</f>
        <v/>
      </c>
      <c r="J1837" s="33">
        <f>IF(OR(E1837="",F1837=""),"",ROUND(IF(MOD(F1837,1)&gt;=TIME(22,0,0),(MOD(F1837,1)-TIME(22,0,0))*24,IF(MOD(F1837,1)&lt;TIME(6,0,0),(MOD(F1837,1)+1-TIME(22,0,0))*24,0)),2))</f>
        <v/>
      </c>
      <c r="K1837" s="33">
        <f>IF(H1837="","",ROUND(IF(L1837="휴일근로",MIN(H1837,8)*1.5+MAX(0,H1837-8)*2,I1837*1.5)+N(J1837)*0.5,2))</f>
        <v/>
      </c>
      <c r="L1837" s="18" t="n"/>
      <c r="M1837" s="18" t="n"/>
      <c r="N1837" s="22" t="n"/>
    </row>
    <row r="1838">
      <c r="A1838" s="19" t="n"/>
      <c r="B1838" s="25">
        <f>IF(A1838="","",CHOOSE(WEEKDAY(A1838,2),"월","화","수","목","금","토","일"))</f>
        <v/>
      </c>
      <c r="C1838" s="18" t="n"/>
      <c r="D1838" s="25">
        <f>IFERROR(IF(C1838="","",INDEX(직원명부!$B$5:$B$24,MATCH(C1838,직원명부!$A$5:$A$24,0))),"사번 확인")</f>
        <v/>
      </c>
      <c r="E1838" s="34" t="n"/>
      <c r="F1838" s="34" t="n"/>
      <c r="G1838" s="28" t="n"/>
      <c r="H1838" s="33">
        <f>IF(OR(E1838="",F1838=""),"",ROUND(MOD(F1838-E1838,1)*24-N(G1838),2))</f>
        <v/>
      </c>
      <c r="I1838" s="33">
        <f>IF(H1838="","",ROUND(MAX(0,H1838-8),2))</f>
        <v/>
      </c>
      <c r="J1838" s="33">
        <f>IF(OR(E1838="",F1838=""),"",ROUND(IF(MOD(F1838,1)&gt;=TIME(22,0,0),(MOD(F1838,1)-TIME(22,0,0))*24,IF(MOD(F1838,1)&lt;TIME(6,0,0),(MOD(F1838,1)+1-TIME(22,0,0))*24,0)),2))</f>
        <v/>
      </c>
      <c r="K1838" s="33">
        <f>IF(H1838="","",ROUND(IF(L1838="휴일근로",MIN(H1838,8)*1.5+MAX(0,H1838-8)*2,I1838*1.5)+N(J1838)*0.5,2))</f>
        <v/>
      </c>
      <c r="L1838" s="18" t="n"/>
      <c r="M1838" s="18" t="n"/>
      <c r="N1838" s="22" t="n"/>
    </row>
    <row r="1839">
      <c r="A1839" s="19" t="n"/>
      <c r="B1839" s="25">
        <f>IF(A1839="","",CHOOSE(WEEKDAY(A1839,2),"월","화","수","목","금","토","일"))</f>
        <v/>
      </c>
      <c r="C1839" s="18" t="n"/>
      <c r="D1839" s="25">
        <f>IFERROR(IF(C1839="","",INDEX(직원명부!$B$5:$B$24,MATCH(C1839,직원명부!$A$5:$A$24,0))),"사번 확인")</f>
        <v/>
      </c>
      <c r="E1839" s="34" t="n"/>
      <c r="F1839" s="34" t="n"/>
      <c r="G1839" s="28" t="n"/>
      <c r="H1839" s="33">
        <f>IF(OR(E1839="",F1839=""),"",ROUND(MOD(F1839-E1839,1)*24-N(G1839),2))</f>
        <v/>
      </c>
      <c r="I1839" s="33">
        <f>IF(H1839="","",ROUND(MAX(0,H1839-8),2))</f>
        <v/>
      </c>
      <c r="J1839" s="33">
        <f>IF(OR(E1839="",F1839=""),"",ROUND(IF(MOD(F1839,1)&gt;=TIME(22,0,0),(MOD(F1839,1)-TIME(22,0,0))*24,IF(MOD(F1839,1)&lt;TIME(6,0,0),(MOD(F1839,1)+1-TIME(22,0,0))*24,0)),2))</f>
        <v/>
      </c>
      <c r="K1839" s="33">
        <f>IF(H1839="","",ROUND(IF(L1839="휴일근로",MIN(H1839,8)*1.5+MAX(0,H1839-8)*2,I1839*1.5)+N(J1839)*0.5,2))</f>
        <v/>
      </c>
      <c r="L1839" s="18" t="n"/>
      <c r="M1839" s="18" t="n"/>
      <c r="N1839" s="22" t="n"/>
    </row>
    <row r="1840">
      <c r="A1840" s="19" t="n"/>
      <c r="B1840" s="25">
        <f>IF(A1840="","",CHOOSE(WEEKDAY(A1840,2),"월","화","수","목","금","토","일"))</f>
        <v/>
      </c>
      <c r="C1840" s="18" t="n"/>
      <c r="D1840" s="25">
        <f>IFERROR(IF(C1840="","",INDEX(직원명부!$B$5:$B$24,MATCH(C1840,직원명부!$A$5:$A$24,0))),"사번 확인")</f>
        <v/>
      </c>
      <c r="E1840" s="34" t="n"/>
      <c r="F1840" s="34" t="n"/>
      <c r="G1840" s="28" t="n"/>
      <c r="H1840" s="33">
        <f>IF(OR(E1840="",F1840=""),"",ROUND(MOD(F1840-E1840,1)*24-N(G1840),2))</f>
        <v/>
      </c>
      <c r="I1840" s="33">
        <f>IF(H1840="","",ROUND(MAX(0,H1840-8),2))</f>
        <v/>
      </c>
      <c r="J1840" s="33">
        <f>IF(OR(E1840="",F1840=""),"",ROUND(IF(MOD(F1840,1)&gt;=TIME(22,0,0),(MOD(F1840,1)-TIME(22,0,0))*24,IF(MOD(F1840,1)&lt;TIME(6,0,0),(MOD(F1840,1)+1-TIME(22,0,0))*24,0)),2))</f>
        <v/>
      </c>
      <c r="K1840" s="33">
        <f>IF(H1840="","",ROUND(IF(L1840="휴일근로",MIN(H1840,8)*1.5+MAX(0,H1840-8)*2,I1840*1.5)+N(J1840)*0.5,2))</f>
        <v/>
      </c>
      <c r="L1840" s="18" t="n"/>
      <c r="M1840" s="18" t="n"/>
      <c r="N1840" s="22" t="n"/>
    </row>
    <row r="1841">
      <c r="A1841" s="19" t="n"/>
      <c r="B1841" s="25">
        <f>IF(A1841="","",CHOOSE(WEEKDAY(A1841,2),"월","화","수","목","금","토","일"))</f>
        <v/>
      </c>
      <c r="C1841" s="18" t="n"/>
      <c r="D1841" s="25">
        <f>IFERROR(IF(C1841="","",INDEX(직원명부!$B$5:$B$24,MATCH(C1841,직원명부!$A$5:$A$24,0))),"사번 확인")</f>
        <v/>
      </c>
      <c r="E1841" s="34" t="n"/>
      <c r="F1841" s="34" t="n"/>
      <c r="G1841" s="28" t="n"/>
      <c r="H1841" s="33">
        <f>IF(OR(E1841="",F1841=""),"",ROUND(MOD(F1841-E1841,1)*24-N(G1841),2))</f>
        <v/>
      </c>
      <c r="I1841" s="33">
        <f>IF(H1841="","",ROUND(MAX(0,H1841-8),2))</f>
        <v/>
      </c>
      <c r="J1841" s="33">
        <f>IF(OR(E1841="",F1841=""),"",ROUND(IF(MOD(F1841,1)&gt;=TIME(22,0,0),(MOD(F1841,1)-TIME(22,0,0))*24,IF(MOD(F1841,1)&lt;TIME(6,0,0),(MOD(F1841,1)+1-TIME(22,0,0))*24,0)),2))</f>
        <v/>
      </c>
      <c r="K1841" s="33">
        <f>IF(H1841="","",ROUND(IF(L1841="휴일근로",MIN(H1841,8)*1.5+MAX(0,H1841-8)*2,I1841*1.5)+N(J1841)*0.5,2))</f>
        <v/>
      </c>
      <c r="L1841" s="18" t="n"/>
      <c r="M1841" s="18" t="n"/>
      <c r="N1841" s="22" t="n"/>
    </row>
    <row r="1842">
      <c r="A1842" s="19" t="n"/>
      <c r="B1842" s="25">
        <f>IF(A1842="","",CHOOSE(WEEKDAY(A1842,2),"월","화","수","목","금","토","일"))</f>
        <v/>
      </c>
      <c r="C1842" s="18" t="n"/>
      <c r="D1842" s="25">
        <f>IFERROR(IF(C1842="","",INDEX(직원명부!$B$5:$B$24,MATCH(C1842,직원명부!$A$5:$A$24,0))),"사번 확인")</f>
        <v/>
      </c>
      <c r="E1842" s="34" t="n"/>
      <c r="F1842" s="34" t="n"/>
      <c r="G1842" s="28" t="n"/>
      <c r="H1842" s="33">
        <f>IF(OR(E1842="",F1842=""),"",ROUND(MOD(F1842-E1842,1)*24-N(G1842),2))</f>
        <v/>
      </c>
      <c r="I1842" s="33">
        <f>IF(H1842="","",ROUND(MAX(0,H1842-8),2))</f>
        <v/>
      </c>
      <c r="J1842" s="33">
        <f>IF(OR(E1842="",F1842=""),"",ROUND(IF(MOD(F1842,1)&gt;=TIME(22,0,0),(MOD(F1842,1)-TIME(22,0,0))*24,IF(MOD(F1842,1)&lt;TIME(6,0,0),(MOD(F1842,1)+1-TIME(22,0,0))*24,0)),2))</f>
        <v/>
      </c>
      <c r="K1842" s="33">
        <f>IF(H1842="","",ROUND(IF(L1842="휴일근로",MIN(H1842,8)*1.5+MAX(0,H1842-8)*2,I1842*1.5)+N(J1842)*0.5,2))</f>
        <v/>
      </c>
      <c r="L1842" s="18" t="n"/>
      <c r="M1842" s="18" t="n"/>
      <c r="N1842" s="22" t="n"/>
    </row>
    <row r="1843">
      <c r="A1843" s="19" t="n"/>
      <c r="B1843" s="25">
        <f>IF(A1843="","",CHOOSE(WEEKDAY(A1843,2),"월","화","수","목","금","토","일"))</f>
        <v/>
      </c>
      <c r="C1843" s="18" t="n"/>
      <c r="D1843" s="25">
        <f>IFERROR(IF(C1843="","",INDEX(직원명부!$B$5:$B$24,MATCH(C1843,직원명부!$A$5:$A$24,0))),"사번 확인")</f>
        <v/>
      </c>
      <c r="E1843" s="34" t="n"/>
      <c r="F1843" s="34" t="n"/>
      <c r="G1843" s="28" t="n"/>
      <c r="H1843" s="33">
        <f>IF(OR(E1843="",F1843=""),"",ROUND(MOD(F1843-E1843,1)*24-N(G1843),2))</f>
        <v/>
      </c>
      <c r="I1843" s="33">
        <f>IF(H1843="","",ROUND(MAX(0,H1843-8),2))</f>
        <v/>
      </c>
      <c r="J1843" s="33">
        <f>IF(OR(E1843="",F1843=""),"",ROUND(IF(MOD(F1843,1)&gt;=TIME(22,0,0),(MOD(F1843,1)-TIME(22,0,0))*24,IF(MOD(F1843,1)&lt;TIME(6,0,0),(MOD(F1843,1)+1-TIME(22,0,0))*24,0)),2))</f>
        <v/>
      </c>
      <c r="K1843" s="33">
        <f>IF(H1843="","",ROUND(IF(L1843="휴일근로",MIN(H1843,8)*1.5+MAX(0,H1843-8)*2,I1843*1.5)+N(J1843)*0.5,2))</f>
        <v/>
      </c>
      <c r="L1843" s="18" t="n"/>
      <c r="M1843" s="18" t="n"/>
      <c r="N1843" s="22" t="n"/>
    </row>
    <row r="1844">
      <c r="A1844" s="19" t="n"/>
      <c r="B1844" s="25">
        <f>IF(A1844="","",CHOOSE(WEEKDAY(A1844,2),"월","화","수","목","금","토","일"))</f>
        <v/>
      </c>
      <c r="C1844" s="18" t="n"/>
      <c r="D1844" s="25">
        <f>IFERROR(IF(C1844="","",INDEX(직원명부!$B$5:$B$24,MATCH(C1844,직원명부!$A$5:$A$24,0))),"사번 확인")</f>
        <v/>
      </c>
      <c r="E1844" s="34" t="n"/>
      <c r="F1844" s="34" t="n"/>
      <c r="G1844" s="28" t="n"/>
      <c r="H1844" s="33">
        <f>IF(OR(E1844="",F1844=""),"",ROUND(MOD(F1844-E1844,1)*24-N(G1844),2))</f>
        <v/>
      </c>
      <c r="I1844" s="33">
        <f>IF(H1844="","",ROUND(MAX(0,H1844-8),2))</f>
        <v/>
      </c>
      <c r="J1844" s="33">
        <f>IF(OR(E1844="",F1844=""),"",ROUND(IF(MOD(F1844,1)&gt;=TIME(22,0,0),(MOD(F1844,1)-TIME(22,0,0))*24,IF(MOD(F1844,1)&lt;TIME(6,0,0),(MOD(F1844,1)+1-TIME(22,0,0))*24,0)),2))</f>
        <v/>
      </c>
      <c r="K1844" s="33">
        <f>IF(H1844="","",ROUND(IF(L1844="휴일근로",MIN(H1844,8)*1.5+MAX(0,H1844-8)*2,I1844*1.5)+N(J1844)*0.5,2))</f>
        <v/>
      </c>
      <c r="L1844" s="18" t="n"/>
      <c r="M1844" s="18" t="n"/>
      <c r="N1844" s="22" t="n"/>
    </row>
    <row r="1845">
      <c r="A1845" s="19" t="n"/>
      <c r="B1845" s="25">
        <f>IF(A1845="","",CHOOSE(WEEKDAY(A1845,2),"월","화","수","목","금","토","일"))</f>
        <v/>
      </c>
      <c r="C1845" s="18" t="n"/>
      <c r="D1845" s="25">
        <f>IFERROR(IF(C1845="","",INDEX(직원명부!$B$5:$B$24,MATCH(C1845,직원명부!$A$5:$A$24,0))),"사번 확인")</f>
        <v/>
      </c>
      <c r="E1845" s="34" t="n"/>
      <c r="F1845" s="34" t="n"/>
      <c r="G1845" s="28" t="n"/>
      <c r="H1845" s="33">
        <f>IF(OR(E1845="",F1845=""),"",ROUND(MOD(F1845-E1845,1)*24-N(G1845),2))</f>
        <v/>
      </c>
      <c r="I1845" s="33">
        <f>IF(H1845="","",ROUND(MAX(0,H1845-8),2))</f>
        <v/>
      </c>
      <c r="J1845" s="33">
        <f>IF(OR(E1845="",F1845=""),"",ROUND(IF(MOD(F1845,1)&gt;=TIME(22,0,0),(MOD(F1845,1)-TIME(22,0,0))*24,IF(MOD(F1845,1)&lt;TIME(6,0,0),(MOD(F1845,1)+1-TIME(22,0,0))*24,0)),2))</f>
        <v/>
      </c>
      <c r="K1845" s="33">
        <f>IF(H1845="","",ROUND(IF(L1845="휴일근로",MIN(H1845,8)*1.5+MAX(0,H1845-8)*2,I1845*1.5)+N(J1845)*0.5,2))</f>
        <v/>
      </c>
      <c r="L1845" s="18" t="n"/>
      <c r="M1845" s="18" t="n"/>
      <c r="N1845" s="22" t="n"/>
    </row>
    <row r="1846">
      <c r="A1846" s="19" t="n"/>
      <c r="B1846" s="25">
        <f>IF(A1846="","",CHOOSE(WEEKDAY(A1846,2),"월","화","수","목","금","토","일"))</f>
        <v/>
      </c>
      <c r="C1846" s="18" t="n"/>
      <c r="D1846" s="25">
        <f>IFERROR(IF(C1846="","",INDEX(직원명부!$B$5:$B$24,MATCH(C1846,직원명부!$A$5:$A$24,0))),"사번 확인")</f>
        <v/>
      </c>
      <c r="E1846" s="34" t="n"/>
      <c r="F1846" s="34" t="n"/>
      <c r="G1846" s="28" t="n"/>
      <c r="H1846" s="33">
        <f>IF(OR(E1846="",F1846=""),"",ROUND(MOD(F1846-E1846,1)*24-N(G1846),2))</f>
        <v/>
      </c>
      <c r="I1846" s="33">
        <f>IF(H1846="","",ROUND(MAX(0,H1846-8),2))</f>
        <v/>
      </c>
      <c r="J1846" s="33">
        <f>IF(OR(E1846="",F1846=""),"",ROUND(IF(MOD(F1846,1)&gt;=TIME(22,0,0),(MOD(F1846,1)-TIME(22,0,0))*24,IF(MOD(F1846,1)&lt;TIME(6,0,0),(MOD(F1846,1)+1-TIME(22,0,0))*24,0)),2))</f>
        <v/>
      </c>
      <c r="K1846" s="33">
        <f>IF(H1846="","",ROUND(IF(L1846="휴일근로",MIN(H1846,8)*1.5+MAX(0,H1846-8)*2,I1846*1.5)+N(J1846)*0.5,2))</f>
        <v/>
      </c>
      <c r="L1846" s="18" t="n"/>
      <c r="M1846" s="18" t="n"/>
      <c r="N1846" s="22" t="n"/>
    </row>
    <row r="1847">
      <c r="A1847" s="19" t="n"/>
      <c r="B1847" s="25">
        <f>IF(A1847="","",CHOOSE(WEEKDAY(A1847,2),"월","화","수","목","금","토","일"))</f>
        <v/>
      </c>
      <c r="C1847" s="18" t="n"/>
      <c r="D1847" s="25">
        <f>IFERROR(IF(C1847="","",INDEX(직원명부!$B$5:$B$24,MATCH(C1847,직원명부!$A$5:$A$24,0))),"사번 확인")</f>
        <v/>
      </c>
      <c r="E1847" s="34" t="n"/>
      <c r="F1847" s="34" t="n"/>
      <c r="G1847" s="28" t="n"/>
      <c r="H1847" s="33">
        <f>IF(OR(E1847="",F1847=""),"",ROUND(MOD(F1847-E1847,1)*24-N(G1847),2))</f>
        <v/>
      </c>
      <c r="I1847" s="33">
        <f>IF(H1847="","",ROUND(MAX(0,H1847-8),2))</f>
        <v/>
      </c>
      <c r="J1847" s="33">
        <f>IF(OR(E1847="",F1847=""),"",ROUND(IF(MOD(F1847,1)&gt;=TIME(22,0,0),(MOD(F1847,1)-TIME(22,0,0))*24,IF(MOD(F1847,1)&lt;TIME(6,0,0),(MOD(F1847,1)+1-TIME(22,0,0))*24,0)),2))</f>
        <v/>
      </c>
      <c r="K1847" s="33">
        <f>IF(H1847="","",ROUND(IF(L1847="휴일근로",MIN(H1847,8)*1.5+MAX(0,H1847-8)*2,I1847*1.5)+N(J1847)*0.5,2))</f>
        <v/>
      </c>
      <c r="L1847" s="18" t="n"/>
      <c r="M1847" s="18" t="n"/>
      <c r="N1847" s="22" t="n"/>
    </row>
    <row r="1848">
      <c r="A1848" s="19" t="n"/>
      <c r="B1848" s="25">
        <f>IF(A1848="","",CHOOSE(WEEKDAY(A1848,2),"월","화","수","목","금","토","일"))</f>
        <v/>
      </c>
      <c r="C1848" s="18" t="n"/>
      <c r="D1848" s="25">
        <f>IFERROR(IF(C1848="","",INDEX(직원명부!$B$5:$B$24,MATCH(C1848,직원명부!$A$5:$A$24,0))),"사번 확인")</f>
        <v/>
      </c>
      <c r="E1848" s="34" t="n"/>
      <c r="F1848" s="34" t="n"/>
      <c r="G1848" s="28" t="n"/>
      <c r="H1848" s="33">
        <f>IF(OR(E1848="",F1848=""),"",ROUND(MOD(F1848-E1848,1)*24-N(G1848),2))</f>
        <v/>
      </c>
      <c r="I1848" s="33">
        <f>IF(H1848="","",ROUND(MAX(0,H1848-8),2))</f>
        <v/>
      </c>
      <c r="J1848" s="33">
        <f>IF(OR(E1848="",F1848=""),"",ROUND(IF(MOD(F1848,1)&gt;=TIME(22,0,0),(MOD(F1848,1)-TIME(22,0,0))*24,IF(MOD(F1848,1)&lt;TIME(6,0,0),(MOD(F1848,1)+1-TIME(22,0,0))*24,0)),2))</f>
        <v/>
      </c>
      <c r="K1848" s="33">
        <f>IF(H1848="","",ROUND(IF(L1848="휴일근로",MIN(H1848,8)*1.5+MAX(0,H1848-8)*2,I1848*1.5)+N(J1848)*0.5,2))</f>
        <v/>
      </c>
      <c r="L1848" s="18" t="n"/>
      <c r="M1848" s="18" t="n"/>
      <c r="N1848" s="22" t="n"/>
    </row>
    <row r="1849">
      <c r="A1849" s="19" t="n"/>
      <c r="B1849" s="25">
        <f>IF(A1849="","",CHOOSE(WEEKDAY(A1849,2),"월","화","수","목","금","토","일"))</f>
        <v/>
      </c>
      <c r="C1849" s="18" t="n"/>
      <c r="D1849" s="25">
        <f>IFERROR(IF(C1849="","",INDEX(직원명부!$B$5:$B$24,MATCH(C1849,직원명부!$A$5:$A$24,0))),"사번 확인")</f>
        <v/>
      </c>
      <c r="E1849" s="34" t="n"/>
      <c r="F1849" s="34" t="n"/>
      <c r="G1849" s="28" t="n"/>
      <c r="H1849" s="33">
        <f>IF(OR(E1849="",F1849=""),"",ROUND(MOD(F1849-E1849,1)*24-N(G1849),2))</f>
        <v/>
      </c>
      <c r="I1849" s="33">
        <f>IF(H1849="","",ROUND(MAX(0,H1849-8),2))</f>
        <v/>
      </c>
      <c r="J1849" s="33">
        <f>IF(OR(E1849="",F1849=""),"",ROUND(IF(MOD(F1849,1)&gt;=TIME(22,0,0),(MOD(F1849,1)-TIME(22,0,0))*24,IF(MOD(F1849,1)&lt;TIME(6,0,0),(MOD(F1849,1)+1-TIME(22,0,0))*24,0)),2))</f>
        <v/>
      </c>
      <c r="K1849" s="33">
        <f>IF(H1849="","",ROUND(IF(L1849="휴일근로",MIN(H1849,8)*1.5+MAX(0,H1849-8)*2,I1849*1.5)+N(J1849)*0.5,2))</f>
        <v/>
      </c>
      <c r="L1849" s="18" t="n"/>
      <c r="M1849" s="18" t="n"/>
      <c r="N1849" s="22" t="n"/>
    </row>
    <row r="1850">
      <c r="A1850" s="19" t="n"/>
      <c r="B1850" s="25">
        <f>IF(A1850="","",CHOOSE(WEEKDAY(A1850,2),"월","화","수","목","금","토","일"))</f>
        <v/>
      </c>
      <c r="C1850" s="18" t="n"/>
      <c r="D1850" s="25">
        <f>IFERROR(IF(C1850="","",INDEX(직원명부!$B$5:$B$24,MATCH(C1850,직원명부!$A$5:$A$24,0))),"사번 확인")</f>
        <v/>
      </c>
      <c r="E1850" s="34" t="n"/>
      <c r="F1850" s="34" t="n"/>
      <c r="G1850" s="28" t="n"/>
      <c r="H1850" s="33">
        <f>IF(OR(E1850="",F1850=""),"",ROUND(MOD(F1850-E1850,1)*24-N(G1850),2))</f>
        <v/>
      </c>
      <c r="I1850" s="33">
        <f>IF(H1850="","",ROUND(MAX(0,H1850-8),2))</f>
        <v/>
      </c>
      <c r="J1850" s="33">
        <f>IF(OR(E1850="",F1850=""),"",ROUND(IF(MOD(F1850,1)&gt;=TIME(22,0,0),(MOD(F1850,1)-TIME(22,0,0))*24,IF(MOD(F1850,1)&lt;TIME(6,0,0),(MOD(F1850,1)+1-TIME(22,0,0))*24,0)),2))</f>
        <v/>
      </c>
      <c r="K1850" s="33">
        <f>IF(H1850="","",ROUND(IF(L1850="휴일근로",MIN(H1850,8)*1.5+MAX(0,H1850-8)*2,I1850*1.5)+N(J1850)*0.5,2))</f>
        <v/>
      </c>
      <c r="L1850" s="18" t="n"/>
      <c r="M1850" s="18" t="n"/>
      <c r="N1850" s="22" t="n"/>
    </row>
    <row r="1851">
      <c r="A1851" s="19" t="n"/>
      <c r="B1851" s="25">
        <f>IF(A1851="","",CHOOSE(WEEKDAY(A1851,2),"월","화","수","목","금","토","일"))</f>
        <v/>
      </c>
      <c r="C1851" s="18" t="n"/>
      <c r="D1851" s="25">
        <f>IFERROR(IF(C1851="","",INDEX(직원명부!$B$5:$B$24,MATCH(C1851,직원명부!$A$5:$A$24,0))),"사번 확인")</f>
        <v/>
      </c>
      <c r="E1851" s="34" t="n"/>
      <c r="F1851" s="34" t="n"/>
      <c r="G1851" s="28" t="n"/>
      <c r="H1851" s="33">
        <f>IF(OR(E1851="",F1851=""),"",ROUND(MOD(F1851-E1851,1)*24-N(G1851),2))</f>
        <v/>
      </c>
      <c r="I1851" s="33">
        <f>IF(H1851="","",ROUND(MAX(0,H1851-8),2))</f>
        <v/>
      </c>
      <c r="J1851" s="33">
        <f>IF(OR(E1851="",F1851=""),"",ROUND(IF(MOD(F1851,1)&gt;=TIME(22,0,0),(MOD(F1851,1)-TIME(22,0,0))*24,IF(MOD(F1851,1)&lt;TIME(6,0,0),(MOD(F1851,1)+1-TIME(22,0,0))*24,0)),2))</f>
        <v/>
      </c>
      <c r="K1851" s="33">
        <f>IF(H1851="","",ROUND(IF(L1851="휴일근로",MIN(H1851,8)*1.5+MAX(0,H1851-8)*2,I1851*1.5)+N(J1851)*0.5,2))</f>
        <v/>
      </c>
      <c r="L1851" s="18" t="n"/>
      <c r="M1851" s="18" t="n"/>
      <c r="N1851" s="22" t="n"/>
    </row>
    <row r="1852">
      <c r="A1852" s="19" t="n"/>
      <c r="B1852" s="25">
        <f>IF(A1852="","",CHOOSE(WEEKDAY(A1852,2),"월","화","수","목","금","토","일"))</f>
        <v/>
      </c>
      <c r="C1852" s="18" t="n"/>
      <c r="D1852" s="25">
        <f>IFERROR(IF(C1852="","",INDEX(직원명부!$B$5:$B$24,MATCH(C1852,직원명부!$A$5:$A$24,0))),"사번 확인")</f>
        <v/>
      </c>
      <c r="E1852" s="34" t="n"/>
      <c r="F1852" s="34" t="n"/>
      <c r="G1852" s="28" t="n"/>
      <c r="H1852" s="33">
        <f>IF(OR(E1852="",F1852=""),"",ROUND(MOD(F1852-E1852,1)*24-N(G1852),2))</f>
        <v/>
      </c>
      <c r="I1852" s="33">
        <f>IF(H1852="","",ROUND(MAX(0,H1852-8),2))</f>
        <v/>
      </c>
      <c r="J1852" s="33">
        <f>IF(OR(E1852="",F1852=""),"",ROUND(IF(MOD(F1852,1)&gt;=TIME(22,0,0),(MOD(F1852,1)-TIME(22,0,0))*24,IF(MOD(F1852,1)&lt;TIME(6,0,0),(MOD(F1852,1)+1-TIME(22,0,0))*24,0)),2))</f>
        <v/>
      </c>
      <c r="K1852" s="33">
        <f>IF(H1852="","",ROUND(IF(L1852="휴일근로",MIN(H1852,8)*1.5+MAX(0,H1852-8)*2,I1852*1.5)+N(J1852)*0.5,2))</f>
        <v/>
      </c>
      <c r="L1852" s="18" t="n"/>
      <c r="M1852" s="18" t="n"/>
      <c r="N1852" s="22" t="n"/>
    </row>
    <row r="1853">
      <c r="A1853" s="19" t="n"/>
      <c r="B1853" s="25">
        <f>IF(A1853="","",CHOOSE(WEEKDAY(A1853,2),"월","화","수","목","금","토","일"))</f>
        <v/>
      </c>
      <c r="C1853" s="18" t="n"/>
      <c r="D1853" s="25">
        <f>IFERROR(IF(C1853="","",INDEX(직원명부!$B$5:$B$24,MATCH(C1853,직원명부!$A$5:$A$24,0))),"사번 확인")</f>
        <v/>
      </c>
      <c r="E1853" s="34" t="n"/>
      <c r="F1853" s="34" t="n"/>
      <c r="G1853" s="28" t="n"/>
      <c r="H1853" s="33">
        <f>IF(OR(E1853="",F1853=""),"",ROUND(MOD(F1853-E1853,1)*24-N(G1853),2))</f>
        <v/>
      </c>
      <c r="I1853" s="33">
        <f>IF(H1853="","",ROUND(MAX(0,H1853-8),2))</f>
        <v/>
      </c>
      <c r="J1853" s="33">
        <f>IF(OR(E1853="",F1853=""),"",ROUND(IF(MOD(F1853,1)&gt;=TIME(22,0,0),(MOD(F1853,1)-TIME(22,0,0))*24,IF(MOD(F1853,1)&lt;TIME(6,0,0),(MOD(F1853,1)+1-TIME(22,0,0))*24,0)),2))</f>
        <v/>
      </c>
      <c r="K1853" s="33">
        <f>IF(H1853="","",ROUND(IF(L1853="휴일근로",MIN(H1853,8)*1.5+MAX(0,H1853-8)*2,I1853*1.5)+N(J1853)*0.5,2))</f>
        <v/>
      </c>
      <c r="L1853" s="18" t="n"/>
      <c r="M1853" s="18" t="n"/>
      <c r="N1853" s="22" t="n"/>
    </row>
    <row r="1854">
      <c r="A1854" s="19" t="n"/>
      <c r="B1854" s="25">
        <f>IF(A1854="","",CHOOSE(WEEKDAY(A1854,2),"월","화","수","목","금","토","일"))</f>
        <v/>
      </c>
      <c r="C1854" s="18" t="n"/>
      <c r="D1854" s="25">
        <f>IFERROR(IF(C1854="","",INDEX(직원명부!$B$5:$B$24,MATCH(C1854,직원명부!$A$5:$A$24,0))),"사번 확인")</f>
        <v/>
      </c>
      <c r="E1854" s="34" t="n"/>
      <c r="F1854" s="34" t="n"/>
      <c r="G1854" s="28" t="n"/>
      <c r="H1854" s="33">
        <f>IF(OR(E1854="",F1854=""),"",ROUND(MOD(F1854-E1854,1)*24-N(G1854),2))</f>
        <v/>
      </c>
      <c r="I1854" s="33">
        <f>IF(H1854="","",ROUND(MAX(0,H1854-8),2))</f>
        <v/>
      </c>
      <c r="J1854" s="33">
        <f>IF(OR(E1854="",F1854=""),"",ROUND(IF(MOD(F1854,1)&gt;=TIME(22,0,0),(MOD(F1854,1)-TIME(22,0,0))*24,IF(MOD(F1854,1)&lt;TIME(6,0,0),(MOD(F1854,1)+1-TIME(22,0,0))*24,0)),2))</f>
        <v/>
      </c>
      <c r="K1854" s="33">
        <f>IF(H1854="","",ROUND(IF(L1854="휴일근로",MIN(H1854,8)*1.5+MAX(0,H1854-8)*2,I1854*1.5)+N(J1854)*0.5,2))</f>
        <v/>
      </c>
      <c r="L1854" s="18" t="n"/>
      <c r="M1854" s="18" t="n"/>
      <c r="N1854" s="22" t="n"/>
    </row>
    <row r="1855">
      <c r="A1855" s="19" t="n"/>
      <c r="B1855" s="25">
        <f>IF(A1855="","",CHOOSE(WEEKDAY(A1855,2),"월","화","수","목","금","토","일"))</f>
        <v/>
      </c>
      <c r="C1855" s="18" t="n"/>
      <c r="D1855" s="25">
        <f>IFERROR(IF(C1855="","",INDEX(직원명부!$B$5:$B$24,MATCH(C1855,직원명부!$A$5:$A$24,0))),"사번 확인")</f>
        <v/>
      </c>
      <c r="E1855" s="34" t="n"/>
      <c r="F1855" s="34" t="n"/>
      <c r="G1855" s="28" t="n"/>
      <c r="H1855" s="33">
        <f>IF(OR(E1855="",F1855=""),"",ROUND(MOD(F1855-E1855,1)*24-N(G1855),2))</f>
        <v/>
      </c>
      <c r="I1855" s="33">
        <f>IF(H1855="","",ROUND(MAX(0,H1855-8),2))</f>
        <v/>
      </c>
      <c r="J1855" s="33">
        <f>IF(OR(E1855="",F1855=""),"",ROUND(IF(MOD(F1855,1)&gt;=TIME(22,0,0),(MOD(F1855,1)-TIME(22,0,0))*24,IF(MOD(F1855,1)&lt;TIME(6,0,0),(MOD(F1855,1)+1-TIME(22,0,0))*24,0)),2))</f>
        <v/>
      </c>
      <c r="K1855" s="33">
        <f>IF(H1855="","",ROUND(IF(L1855="휴일근로",MIN(H1855,8)*1.5+MAX(0,H1855-8)*2,I1855*1.5)+N(J1855)*0.5,2))</f>
        <v/>
      </c>
      <c r="L1855" s="18" t="n"/>
      <c r="M1855" s="18" t="n"/>
      <c r="N1855" s="22" t="n"/>
    </row>
    <row r="1856">
      <c r="A1856" s="19" t="n"/>
      <c r="B1856" s="25">
        <f>IF(A1856="","",CHOOSE(WEEKDAY(A1856,2),"월","화","수","목","금","토","일"))</f>
        <v/>
      </c>
      <c r="C1856" s="18" t="n"/>
      <c r="D1856" s="25">
        <f>IFERROR(IF(C1856="","",INDEX(직원명부!$B$5:$B$24,MATCH(C1856,직원명부!$A$5:$A$24,0))),"사번 확인")</f>
        <v/>
      </c>
      <c r="E1856" s="34" t="n"/>
      <c r="F1856" s="34" t="n"/>
      <c r="G1856" s="28" t="n"/>
      <c r="H1856" s="33">
        <f>IF(OR(E1856="",F1856=""),"",ROUND(MOD(F1856-E1856,1)*24-N(G1856),2))</f>
        <v/>
      </c>
      <c r="I1856" s="33">
        <f>IF(H1856="","",ROUND(MAX(0,H1856-8),2))</f>
        <v/>
      </c>
      <c r="J1856" s="33">
        <f>IF(OR(E1856="",F1856=""),"",ROUND(IF(MOD(F1856,1)&gt;=TIME(22,0,0),(MOD(F1856,1)-TIME(22,0,0))*24,IF(MOD(F1856,1)&lt;TIME(6,0,0),(MOD(F1856,1)+1-TIME(22,0,0))*24,0)),2))</f>
        <v/>
      </c>
      <c r="K1856" s="33">
        <f>IF(H1856="","",ROUND(IF(L1856="휴일근로",MIN(H1856,8)*1.5+MAX(0,H1856-8)*2,I1856*1.5)+N(J1856)*0.5,2))</f>
        <v/>
      </c>
      <c r="L1856" s="18" t="n"/>
      <c r="M1856" s="18" t="n"/>
      <c r="N1856" s="22" t="n"/>
    </row>
    <row r="1857">
      <c r="A1857" s="19" t="n"/>
      <c r="B1857" s="25">
        <f>IF(A1857="","",CHOOSE(WEEKDAY(A1857,2),"월","화","수","목","금","토","일"))</f>
        <v/>
      </c>
      <c r="C1857" s="18" t="n"/>
      <c r="D1857" s="25">
        <f>IFERROR(IF(C1857="","",INDEX(직원명부!$B$5:$B$24,MATCH(C1857,직원명부!$A$5:$A$24,0))),"사번 확인")</f>
        <v/>
      </c>
      <c r="E1857" s="34" t="n"/>
      <c r="F1857" s="34" t="n"/>
      <c r="G1857" s="28" t="n"/>
      <c r="H1857" s="33">
        <f>IF(OR(E1857="",F1857=""),"",ROUND(MOD(F1857-E1857,1)*24-N(G1857),2))</f>
        <v/>
      </c>
      <c r="I1857" s="33">
        <f>IF(H1857="","",ROUND(MAX(0,H1857-8),2))</f>
        <v/>
      </c>
      <c r="J1857" s="33">
        <f>IF(OR(E1857="",F1857=""),"",ROUND(IF(MOD(F1857,1)&gt;=TIME(22,0,0),(MOD(F1857,1)-TIME(22,0,0))*24,IF(MOD(F1857,1)&lt;TIME(6,0,0),(MOD(F1857,1)+1-TIME(22,0,0))*24,0)),2))</f>
        <v/>
      </c>
      <c r="K1857" s="33">
        <f>IF(H1857="","",ROUND(IF(L1857="휴일근로",MIN(H1857,8)*1.5+MAX(0,H1857-8)*2,I1857*1.5)+N(J1857)*0.5,2))</f>
        <v/>
      </c>
      <c r="L1857" s="18" t="n"/>
      <c r="M1857" s="18" t="n"/>
      <c r="N1857" s="22" t="n"/>
    </row>
    <row r="1858">
      <c r="A1858" s="19" t="n"/>
      <c r="B1858" s="25">
        <f>IF(A1858="","",CHOOSE(WEEKDAY(A1858,2),"월","화","수","목","금","토","일"))</f>
        <v/>
      </c>
      <c r="C1858" s="18" t="n"/>
      <c r="D1858" s="25">
        <f>IFERROR(IF(C1858="","",INDEX(직원명부!$B$5:$B$24,MATCH(C1858,직원명부!$A$5:$A$24,0))),"사번 확인")</f>
        <v/>
      </c>
      <c r="E1858" s="34" t="n"/>
      <c r="F1858" s="34" t="n"/>
      <c r="G1858" s="28" t="n"/>
      <c r="H1858" s="33">
        <f>IF(OR(E1858="",F1858=""),"",ROUND(MOD(F1858-E1858,1)*24-N(G1858),2))</f>
        <v/>
      </c>
      <c r="I1858" s="33">
        <f>IF(H1858="","",ROUND(MAX(0,H1858-8),2))</f>
        <v/>
      </c>
      <c r="J1858" s="33">
        <f>IF(OR(E1858="",F1858=""),"",ROUND(IF(MOD(F1858,1)&gt;=TIME(22,0,0),(MOD(F1858,1)-TIME(22,0,0))*24,IF(MOD(F1858,1)&lt;TIME(6,0,0),(MOD(F1858,1)+1-TIME(22,0,0))*24,0)),2))</f>
        <v/>
      </c>
      <c r="K1858" s="33">
        <f>IF(H1858="","",ROUND(IF(L1858="휴일근로",MIN(H1858,8)*1.5+MAX(0,H1858-8)*2,I1858*1.5)+N(J1858)*0.5,2))</f>
        <v/>
      </c>
      <c r="L1858" s="18" t="n"/>
      <c r="M1858" s="18" t="n"/>
      <c r="N1858" s="22" t="n"/>
    </row>
    <row r="1859">
      <c r="A1859" s="19" t="n"/>
      <c r="B1859" s="25">
        <f>IF(A1859="","",CHOOSE(WEEKDAY(A1859,2),"월","화","수","목","금","토","일"))</f>
        <v/>
      </c>
      <c r="C1859" s="18" t="n"/>
      <c r="D1859" s="25">
        <f>IFERROR(IF(C1859="","",INDEX(직원명부!$B$5:$B$24,MATCH(C1859,직원명부!$A$5:$A$24,0))),"사번 확인")</f>
        <v/>
      </c>
      <c r="E1859" s="34" t="n"/>
      <c r="F1859" s="34" t="n"/>
      <c r="G1859" s="28" t="n"/>
      <c r="H1859" s="33">
        <f>IF(OR(E1859="",F1859=""),"",ROUND(MOD(F1859-E1859,1)*24-N(G1859),2))</f>
        <v/>
      </c>
      <c r="I1859" s="33">
        <f>IF(H1859="","",ROUND(MAX(0,H1859-8),2))</f>
        <v/>
      </c>
      <c r="J1859" s="33">
        <f>IF(OR(E1859="",F1859=""),"",ROUND(IF(MOD(F1859,1)&gt;=TIME(22,0,0),(MOD(F1859,1)-TIME(22,0,0))*24,IF(MOD(F1859,1)&lt;TIME(6,0,0),(MOD(F1859,1)+1-TIME(22,0,0))*24,0)),2))</f>
        <v/>
      </c>
      <c r="K1859" s="33">
        <f>IF(H1859="","",ROUND(IF(L1859="휴일근로",MIN(H1859,8)*1.5+MAX(0,H1859-8)*2,I1859*1.5)+N(J1859)*0.5,2))</f>
        <v/>
      </c>
      <c r="L1859" s="18" t="n"/>
      <c r="M1859" s="18" t="n"/>
      <c r="N1859" s="22" t="n"/>
    </row>
    <row r="1860">
      <c r="A1860" s="19" t="n"/>
      <c r="B1860" s="25">
        <f>IF(A1860="","",CHOOSE(WEEKDAY(A1860,2),"월","화","수","목","금","토","일"))</f>
        <v/>
      </c>
      <c r="C1860" s="18" t="n"/>
      <c r="D1860" s="25">
        <f>IFERROR(IF(C1860="","",INDEX(직원명부!$B$5:$B$24,MATCH(C1860,직원명부!$A$5:$A$24,0))),"사번 확인")</f>
        <v/>
      </c>
      <c r="E1860" s="34" t="n"/>
      <c r="F1860" s="34" t="n"/>
      <c r="G1860" s="28" t="n"/>
      <c r="H1860" s="33">
        <f>IF(OR(E1860="",F1860=""),"",ROUND(MOD(F1860-E1860,1)*24-N(G1860),2))</f>
        <v/>
      </c>
      <c r="I1860" s="33">
        <f>IF(H1860="","",ROUND(MAX(0,H1860-8),2))</f>
        <v/>
      </c>
      <c r="J1860" s="33">
        <f>IF(OR(E1860="",F1860=""),"",ROUND(IF(MOD(F1860,1)&gt;=TIME(22,0,0),(MOD(F1860,1)-TIME(22,0,0))*24,IF(MOD(F1860,1)&lt;TIME(6,0,0),(MOD(F1860,1)+1-TIME(22,0,0))*24,0)),2))</f>
        <v/>
      </c>
      <c r="K1860" s="33">
        <f>IF(H1860="","",ROUND(IF(L1860="휴일근로",MIN(H1860,8)*1.5+MAX(0,H1860-8)*2,I1860*1.5)+N(J1860)*0.5,2))</f>
        <v/>
      </c>
      <c r="L1860" s="18" t="n"/>
      <c r="M1860" s="18" t="n"/>
      <c r="N1860" s="22" t="n"/>
    </row>
    <row r="1861">
      <c r="A1861" s="19" t="n"/>
      <c r="B1861" s="25">
        <f>IF(A1861="","",CHOOSE(WEEKDAY(A1861,2),"월","화","수","목","금","토","일"))</f>
        <v/>
      </c>
      <c r="C1861" s="18" t="n"/>
      <c r="D1861" s="25">
        <f>IFERROR(IF(C1861="","",INDEX(직원명부!$B$5:$B$24,MATCH(C1861,직원명부!$A$5:$A$24,0))),"사번 확인")</f>
        <v/>
      </c>
      <c r="E1861" s="34" t="n"/>
      <c r="F1861" s="34" t="n"/>
      <c r="G1861" s="28" t="n"/>
      <c r="H1861" s="33">
        <f>IF(OR(E1861="",F1861=""),"",ROUND(MOD(F1861-E1861,1)*24-N(G1861),2))</f>
        <v/>
      </c>
      <c r="I1861" s="33">
        <f>IF(H1861="","",ROUND(MAX(0,H1861-8),2))</f>
        <v/>
      </c>
      <c r="J1861" s="33">
        <f>IF(OR(E1861="",F1861=""),"",ROUND(IF(MOD(F1861,1)&gt;=TIME(22,0,0),(MOD(F1861,1)-TIME(22,0,0))*24,IF(MOD(F1861,1)&lt;TIME(6,0,0),(MOD(F1861,1)+1-TIME(22,0,0))*24,0)),2))</f>
        <v/>
      </c>
      <c r="K1861" s="33">
        <f>IF(H1861="","",ROUND(IF(L1861="휴일근로",MIN(H1861,8)*1.5+MAX(0,H1861-8)*2,I1861*1.5)+N(J1861)*0.5,2))</f>
        <v/>
      </c>
      <c r="L1861" s="18" t="n"/>
      <c r="M1861" s="18" t="n"/>
      <c r="N1861" s="22" t="n"/>
    </row>
    <row r="1862">
      <c r="A1862" s="19" t="n"/>
      <c r="B1862" s="25">
        <f>IF(A1862="","",CHOOSE(WEEKDAY(A1862,2),"월","화","수","목","금","토","일"))</f>
        <v/>
      </c>
      <c r="C1862" s="18" t="n"/>
      <c r="D1862" s="25">
        <f>IFERROR(IF(C1862="","",INDEX(직원명부!$B$5:$B$24,MATCH(C1862,직원명부!$A$5:$A$24,0))),"사번 확인")</f>
        <v/>
      </c>
      <c r="E1862" s="34" t="n"/>
      <c r="F1862" s="34" t="n"/>
      <c r="G1862" s="28" t="n"/>
      <c r="H1862" s="33">
        <f>IF(OR(E1862="",F1862=""),"",ROUND(MOD(F1862-E1862,1)*24-N(G1862),2))</f>
        <v/>
      </c>
      <c r="I1862" s="33">
        <f>IF(H1862="","",ROUND(MAX(0,H1862-8),2))</f>
        <v/>
      </c>
      <c r="J1862" s="33">
        <f>IF(OR(E1862="",F1862=""),"",ROUND(IF(MOD(F1862,1)&gt;=TIME(22,0,0),(MOD(F1862,1)-TIME(22,0,0))*24,IF(MOD(F1862,1)&lt;TIME(6,0,0),(MOD(F1862,1)+1-TIME(22,0,0))*24,0)),2))</f>
        <v/>
      </c>
      <c r="K1862" s="33">
        <f>IF(H1862="","",ROUND(IF(L1862="휴일근로",MIN(H1862,8)*1.5+MAX(0,H1862-8)*2,I1862*1.5)+N(J1862)*0.5,2))</f>
        <v/>
      </c>
      <c r="L1862" s="18" t="n"/>
      <c r="M1862" s="18" t="n"/>
      <c r="N1862" s="22" t="n"/>
    </row>
    <row r="1863">
      <c r="A1863" s="19" t="n"/>
      <c r="B1863" s="25">
        <f>IF(A1863="","",CHOOSE(WEEKDAY(A1863,2),"월","화","수","목","금","토","일"))</f>
        <v/>
      </c>
      <c r="C1863" s="18" t="n"/>
      <c r="D1863" s="25">
        <f>IFERROR(IF(C1863="","",INDEX(직원명부!$B$5:$B$24,MATCH(C1863,직원명부!$A$5:$A$24,0))),"사번 확인")</f>
        <v/>
      </c>
      <c r="E1863" s="34" t="n"/>
      <c r="F1863" s="34" t="n"/>
      <c r="G1863" s="28" t="n"/>
      <c r="H1863" s="33">
        <f>IF(OR(E1863="",F1863=""),"",ROUND(MOD(F1863-E1863,1)*24-N(G1863),2))</f>
        <v/>
      </c>
      <c r="I1863" s="33">
        <f>IF(H1863="","",ROUND(MAX(0,H1863-8),2))</f>
        <v/>
      </c>
      <c r="J1863" s="33">
        <f>IF(OR(E1863="",F1863=""),"",ROUND(IF(MOD(F1863,1)&gt;=TIME(22,0,0),(MOD(F1863,1)-TIME(22,0,0))*24,IF(MOD(F1863,1)&lt;TIME(6,0,0),(MOD(F1863,1)+1-TIME(22,0,0))*24,0)),2))</f>
        <v/>
      </c>
      <c r="K1863" s="33">
        <f>IF(H1863="","",ROUND(IF(L1863="휴일근로",MIN(H1863,8)*1.5+MAX(0,H1863-8)*2,I1863*1.5)+N(J1863)*0.5,2))</f>
        <v/>
      </c>
      <c r="L1863" s="18" t="n"/>
      <c r="M1863" s="18" t="n"/>
      <c r="N1863" s="22" t="n"/>
    </row>
    <row r="1864">
      <c r="A1864" s="19" t="n"/>
      <c r="B1864" s="25">
        <f>IF(A1864="","",CHOOSE(WEEKDAY(A1864,2),"월","화","수","목","금","토","일"))</f>
        <v/>
      </c>
      <c r="C1864" s="18" t="n"/>
      <c r="D1864" s="25">
        <f>IFERROR(IF(C1864="","",INDEX(직원명부!$B$5:$B$24,MATCH(C1864,직원명부!$A$5:$A$24,0))),"사번 확인")</f>
        <v/>
      </c>
      <c r="E1864" s="34" t="n"/>
      <c r="F1864" s="34" t="n"/>
      <c r="G1864" s="28" t="n"/>
      <c r="H1864" s="33">
        <f>IF(OR(E1864="",F1864=""),"",ROUND(MOD(F1864-E1864,1)*24-N(G1864),2))</f>
        <v/>
      </c>
      <c r="I1864" s="33">
        <f>IF(H1864="","",ROUND(MAX(0,H1864-8),2))</f>
        <v/>
      </c>
      <c r="J1864" s="33">
        <f>IF(OR(E1864="",F1864=""),"",ROUND(IF(MOD(F1864,1)&gt;=TIME(22,0,0),(MOD(F1864,1)-TIME(22,0,0))*24,IF(MOD(F1864,1)&lt;TIME(6,0,0),(MOD(F1864,1)+1-TIME(22,0,0))*24,0)),2))</f>
        <v/>
      </c>
      <c r="K1864" s="33">
        <f>IF(H1864="","",ROUND(IF(L1864="휴일근로",MIN(H1864,8)*1.5+MAX(0,H1864-8)*2,I1864*1.5)+N(J1864)*0.5,2))</f>
        <v/>
      </c>
      <c r="L1864" s="18" t="n"/>
      <c r="M1864" s="18" t="n"/>
      <c r="N1864" s="22" t="n"/>
    </row>
    <row r="1865">
      <c r="A1865" s="19" t="n"/>
      <c r="B1865" s="25">
        <f>IF(A1865="","",CHOOSE(WEEKDAY(A1865,2),"월","화","수","목","금","토","일"))</f>
        <v/>
      </c>
      <c r="C1865" s="18" t="n"/>
      <c r="D1865" s="25">
        <f>IFERROR(IF(C1865="","",INDEX(직원명부!$B$5:$B$24,MATCH(C1865,직원명부!$A$5:$A$24,0))),"사번 확인")</f>
        <v/>
      </c>
      <c r="E1865" s="34" t="n"/>
      <c r="F1865" s="34" t="n"/>
      <c r="G1865" s="28" t="n"/>
      <c r="H1865" s="33">
        <f>IF(OR(E1865="",F1865=""),"",ROUND(MOD(F1865-E1865,1)*24-N(G1865),2))</f>
        <v/>
      </c>
      <c r="I1865" s="33">
        <f>IF(H1865="","",ROUND(MAX(0,H1865-8),2))</f>
        <v/>
      </c>
      <c r="J1865" s="33">
        <f>IF(OR(E1865="",F1865=""),"",ROUND(IF(MOD(F1865,1)&gt;=TIME(22,0,0),(MOD(F1865,1)-TIME(22,0,0))*24,IF(MOD(F1865,1)&lt;TIME(6,0,0),(MOD(F1865,1)+1-TIME(22,0,0))*24,0)),2))</f>
        <v/>
      </c>
      <c r="K1865" s="33">
        <f>IF(H1865="","",ROUND(IF(L1865="휴일근로",MIN(H1865,8)*1.5+MAX(0,H1865-8)*2,I1865*1.5)+N(J1865)*0.5,2))</f>
        <v/>
      </c>
      <c r="L1865" s="18" t="n"/>
      <c r="M1865" s="18" t="n"/>
      <c r="N1865" s="22" t="n"/>
    </row>
    <row r="1866">
      <c r="A1866" s="19" t="n"/>
      <c r="B1866" s="25">
        <f>IF(A1866="","",CHOOSE(WEEKDAY(A1866,2),"월","화","수","목","금","토","일"))</f>
        <v/>
      </c>
      <c r="C1866" s="18" t="n"/>
      <c r="D1866" s="25">
        <f>IFERROR(IF(C1866="","",INDEX(직원명부!$B$5:$B$24,MATCH(C1866,직원명부!$A$5:$A$24,0))),"사번 확인")</f>
        <v/>
      </c>
      <c r="E1866" s="34" t="n"/>
      <c r="F1866" s="34" t="n"/>
      <c r="G1866" s="28" t="n"/>
      <c r="H1866" s="33">
        <f>IF(OR(E1866="",F1866=""),"",ROUND(MOD(F1866-E1866,1)*24-N(G1866),2))</f>
        <v/>
      </c>
      <c r="I1866" s="33">
        <f>IF(H1866="","",ROUND(MAX(0,H1866-8),2))</f>
        <v/>
      </c>
      <c r="J1866" s="33">
        <f>IF(OR(E1866="",F1866=""),"",ROUND(IF(MOD(F1866,1)&gt;=TIME(22,0,0),(MOD(F1866,1)-TIME(22,0,0))*24,IF(MOD(F1866,1)&lt;TIME(6,0,0),(MOD(F1866,1)+1-TIME(22,0,0))*24,0)),2))</f>
        <v/>
      </c>
      <c r="K1866" s="33">
        <f>IF(H1866="","",ROUND(IF(L1866="휴일근로",MIN(H1866,8)*1.5+MAX(0,H1866-8)*2,I1866*1.5)+N(J1866)*0.5,2))</f>
        <v/>
      </c>
      <c r="L1866" s="18" t="n"/>
      <c r="M1866" s="18" t="n"/>
      <c r="N1866" s="22" t="n"/>
    </row>
    <row r="1867">
      <c r="A1867" s="19" t="n"/>
      <c r="B1867" s="25">
        <f>IF(A1867="","",CHOOSE(WEEKDAY(A1867,2),"월","화","수","목","금","토","일"))</f>
        <v/>
      </c>
      <c r="C1867" s="18" t="n"/>
      <c r="D1867" s="25">
        <f>IFERROR(IF(C1867="","",INDEX(직원명부!$B$5:$B$24,MATCH(C1867,직원명부!$A$5:$A$24,0))),"사번 확인")</f>
        <v/>
      </c>
      <c r="E1867" s="34" t="n"/>
      <c r="F1867" s="34" t="n"/>
      <c r="G1867" s="28" t="n"/>
      <c r="H1867" s="33">
        <f>IF(OR(E1867="",F1867=""),"",ROUND(MOD(F1867-E1867,1)*24-N(G1867),2))</f>
        <v/>
      </c>
      <c r="I1867" s="33">
        <f>IF(H1867="","",ROUND(MAX(0,H1867-8),2))</f>
        <v/>
      </c>
      <c r="J1867" s="33">
        <f>IF(OR(E1867="",F1867=""),"",ROUND(IF(MOD(F1867,1)&gt;=TIME(22,0,0),(MOD(F1867,1)-TIME(22,0,0))*24,IF(MOD(F1867,1)&lt;TIME(6,0,0),(MOD(F1867,1)+1-TIME(22,0,0))*24,0)),2))</f>
        <v/>
      </c>
      <c r="K1867" s="33">
        <f>IF(H1867="","",ROUND(IF(L1867="휴일근로",MIN(H1867,8)*1.5+MAX(0,H1867-8)*2,I1867*1.5)+N(J1867)*0.5,2))</f>
        <v/>
      </c>
      <c r="L1867" s="18" t="n"/>
      <c r="M1867" s="18" t="n"/>
      <c r="N1867" s="22" t="n"/>
    </row>
    <row r="1868">
      <c r="A1868" s="19" t="n"/>
      <c r="B1868" s="25">
        <f>IF(A1868="","",CHOOSE(WEEKDAY(A1868,2),"월","화","수","목","금","토","일"))</f>
        <v/>
      </c>
      <c r="C1868" s="18" t="n"/>
      <c r="D1868" s="25">
        <f>IFERROR(IF(C1868="","",INDEX(직원명부!$B$5:$B$24,MATCH(C1868,직원명부!$A$5:$A$24,0))),"사번 확인")</f>
        <v/>
      </c>
      <c r="E1868" s="34" t="n"/>
      <c r="F1868" s="34" t="n"/>
      <c r="G1868" s="28" t="n"/>
      <c r="H1868" s="33">
        <f>IF(OR(E1868="",F1868=""),"",ROUND(MOD(F1868-E1868,1)*24-N(G1868),2))</f>
        <v/>
      </c>
      <c r="I1868" s="33">
        <f>IF(H1868="","",ROUND(MAX(0,H1868-8),2))</f>
        <v/>
      </c>
      <c r="J1868" s="33">
        <f>IF(OR(E1868="",F1868=""),"",ROUND(IF(MOD(F1868,1)&gt;=TIME(22,0,0),(MOD(F1868,1)-TIME(22,0,0))*24,IF(MOD(F1868,1)&lt;TIME(6,0,0),(MOD(F1868,1)+1-TIME(22,0,0))*24,0)),2))</f>
        <v/>
      </c>
      <c r="K1868" s="33">
        <f>IF(H1868="","",ROUND(IF(L1868="휴일근로",MIN(H1868,8)*1.5+MAX(0,H1868-8)*2,I1868*1.5)+N(J1868)*0.5,2))</f>
        <v/>
      </c>
      <c r="L1868" s="18" t="n"/>
      <c r="M1868" s="18" t="n"/>
      <c r="N1868" s="22" t="n"/>
    </row>
    <row r="1869">
      <c r="A1869" s="19" t="n"/>
      <c r="B1869" s="25">
        <f>IF(A1869="","",CHOOSE(WEEKDAY(A1869,2),"월","화","수","목","금","토","일"))</f>
        <v/>
      </c>
      <c r="C1869" s="18" t="n"/>
      <c r="D1869" s="25">
        <f>IFERROR(IF(C1869="","",INDEX(직원명부!$B$5:$B$24,MATCH(C1869,직원명부!$A$5:$A$24,0))),"사번 확인")</f>
        <v/>
      </c>
      <c r="E1869" s="34" t="n"/>
      <c r="F1869" s="34" t="n"/>
      <c r="G1869" s="28" t="n"/>
      <c r="H1869" s="33">
        <f>IF(OR(E1869="",F1869=""),"",ROUND(MOD(F1869-E1869,1)*24-N(G1869),2))</f>
        <v/>
      </c>
      <c r="I1869" s="33">
        <f>IF(H1869="","",ROUND(MAX(0,H1869-8),2))</f>
        <v/>
      </c>
      <c r="J1869" s="33">
        <f>IF(OR(E1869="",F1869=""),"",ROUND(IF(MOD(F1869,1)&gt;=TIME(22,0,0),(MOD(F1869,1)-TIME(22,0,0))*24,IF(MOD(F1869,1)&lt;TIME(6,0,0),(MOD(F1869,1)+1-TIME(22,0,0))*24,0)),2))</f>
        <v/>
      </c>
      <c r="K1869" s="33">
        <f>IF(H1869="","",ROUND(IF(L1869="휴일근로",MIN(H1869,8)*1.5+MAX(0,H1869-8)*2,I1869*1.5)+N(J1869)*0.5,2))</f>
        <v/>
      </c>
      <c r="L1869" s="18" t="n"/>
      <c r="M1869" s="18" t="n"/>
      <c r="N1869" s="22" t="n"/>
    </row>
    <row r="1870">
      <c r="A1870" s="19" t="n"/>
      <c r="B1870" s="25">
        <f>IF(A1870="","",CHOOSE(WEEKDAY(A1870,2),"월","화","수","목","금","토","일"))</f>
        <v/>
      </c>
      <c r="C1870" s="18" t="n"/>
      <c r="D1870" s="25">
        <f>IFERROR(IF(C1870="","",INDEX(직원명부!$B$5:$B$24,MATCH(C1870,직원명부!$A$5:$A$24,0))),"사번 확인")</f>
        <v/>
      </c>
      <c r="E1870" s="34" t="n"/>
      <c r="F1870" s="34" t="n"/>
      <c r="G1870" s="28" t="n"/>
      <c r="H1870" s="33">
        <f>IF(OR(E1870="",F1870=""),"",ROUND(MOD(F1870-E1870,1)*24-N(G1870),2))</f>
        <v/>
      </c>
      <c r="I1870" s="33">
        <f>IF(H1870="","",ROUND(MAX(0,H1870-8),2))</f>
        <v/>
      </c>
      <c r="J1870" s="33">
        <f>IF(OR(E1870="",F1870=""),"",ROUND(IF(MOD(F1870,1)&gt;=TIME(22,0,0),(MOD(F1870,1)-TIME(22,0,0))*24,IF(MOD(F1870,1)&lt;TIME(6,0,0),(MOD(F1870,1)+1-TIME(22,0,0))*24,0)),2))</f>
        <v/>
      </c>
      <c r="K1870" s="33">
        <f>IF(H1870="","",ROUND(IF(L1870="휴일근로",MIN(H1870,8)*1.5+MAX(0,H1870-8)*2,I1870*1.5)+N(J1870)*0.5,2))</f>
        <v/>
      </c>
      <c r="L1870" s="18" t="n"/>
      <c r="M1870" s="18" t="n"/>
      <c r="N1870" s="22" t="n"/>
    </row>
    <row r="1871">
      <c r="A1871" s="19" t="n"/>
      <c r="B1871" s="25">
        <f>IF(A1871="","",CHOOSE(WEEKDAY(A1871,2),"월","화","수","목","금","토","일"))</f>
        <v/>
      </c>
      <c r="C1871" s="18" t="n"/>
      <c r="D1871" s="25">
        <f>IFERROR(IF(C1871="","",INDEX(직원명부!$B$5:$B$24,MATCH(C1871,직원명부!$A$5:$A$24,0))),"사번 확인")</f>
        <v/>
      </c>
      <c r="E1871" s="34" t="n"/>
      <c r="F1871" s="34" t="n"/>
      <c r="G1871" s="28" t="n"/>
      <c r="H1871" s="33">
        <f>IF(OR(E1871="",F1871=""),"",ROUND(MOD(F1871-E1871,1)*24-N(G1871),2))</f>
        <v/>
      </c>
      <c r="I1871" s="33">
        <f>IF(H1871="","",ROUND(MAX(0,H1871-8),2))</f>
        <v/>
      </c>
      <c r="J1871" s="33">
        <f>IF(OR(E1871="",F1871=""),"",ROUND(IF(MOD(F1871,1)&gt;=TIME(22,0,0),(MOD(F1871,1)-TIME(22,0,0))*24,IF(MOD(F1871,1)&lt;TIME(6,0,0),(MOD(F1871,1)+1-TIME(22,0,0))*24,0)),2))</f>
        <v/>
      </c>
      <c r="K1871" s="33">
        <f>IF(H1871="","",ROUND(IF(L1871="휴일근로",MIN(H1871,8)*1.5+MAX(0,H1871-8)*2,I1871*1.5)+N(J1871)*0.5,2))</f>
        <v/>
      </c>
      <c r="L1871" s="18" t="n"/>
      <c r="M1871" s="18" t="n"/>
      <c r="N1871" s="22" t="n"/>
    </row>
    <row r="1872">
      <c r="A1872" s="19" t="n"/>
      <c r="B1872" s="25">
        <f>IF(A1872="","",CHOOSE(WEEKDAY(A1872,2),"월","화","수","목","금","토","일"))</f>
        <v/>
      </c>
      <c r="C1872" s="18" t="n"/>
      <c r="D1872" s="25">
        <f>IFERROR(IF(C1872="","",INDEX(직원명부!$B$5:$B$24,MATCH(C1872,직원명부!$A$5:$A$24,0))),"사번 확인")</f>
        <v/>
      </c>
      <c r="E1872" s="34" t="n"/>
      <c r="F1872" s="34" t="n"/>
      <c r="G1872" s="28" t="n"/>
      <c r="H1872" s="33">
        <f>IF(OR(E1872="",F1872=""),"",ROUND(MOD(F1872-E1872,1)*24-N(G1872),2))</f>
        <v/>
      </c>
      <c r="I1872" s="33">
        <f>IF(H1872="","",ROUND(MAX(0,H1872-8),2))</f>
        <v/>
      </c>
      <c r="J1872" s="33">
        <f>IF(OR(E1872="",F1872=""),"",ROUND(IF(MOD(F1872,1)&gt;=TIME(22,0,0),(MOD(F1872,1)-TIME(22,0,0))*24,IF(MOD(F1872,1)&lt;TIME(6,0,0),(MOD(F1872,1)+1-TIME(22,0,0))*24,0)),2))</f>
        <v/>
      </c>
      <c r="K1872" s="33">
        <f>IF(H1872="","",ROUND(IF(L1872="휴일근로",MIN(H1872,8)*1.5+MAX(0,H1872-8)*2,I1872*1.5)+N(J1872)*0.5,2))</f>
        <v/>
      </c>
      <c r="L1872" s="18" t="n"/>
      <c r="M1872" s="18" t="n"/>
      <c r="N1872" s="22" t="n"/>
    </row>
    <row r="1873">
      <c r="A1873" s="19" t="n"/>
      <c r="B1873" s="25">
        <f>IF(A1873="","",CHOOSE(WEEKDAY(A1873,2),"월","화","수","목","금","토","일"))</f>
        <v/>
      </c>
      <c r="C1873" s="18" t="n"/>
      <c r="D1873" s="25">
        <f>IFERROR(IF(C1873="","",INDEX(직원명부!$B$5:$B$24,MATCH(C1873,직원명부!$A$5:$A$24,0))),"사번 확인")</f>
        <v/>
      </c>
      <c r="E1873" s="34" t="n"/>
      <c r="F1873" s="34" t="n"/>
      <c r="G1873" s="28" t="n"/>
      <c r="H1873" s="33">
        <f>IF(OR(E1873="",F1873=""),"",ROUND(MOD(F1873-E1873,1)*24-N(G1873),2))</f>
        <v/>
      </c>
      <c r="I1873" s="33">
        <f>IF(H1873="","",ROUND(MAX(0,H1873-8),2))</f>
        <v/>
      </c>
      <c r="J1873" s="33">
        <f>IF(OR(E1873="",F1873=""),"",ROUND(IF(MOD(F1873,1)&gt;=TIME(22,0,0),(MOD(F1873,1)-TIME(22,0,0))*24,IF(MOD(F1873,1)&lt;TIME(6,0,0),(MOD(F1873,1)+1-TIME(22,0,0))*24,0)),2))</f>
        <v/>
      </c>
      <c r="K1873" s="33">
        <f>IF(H1873="","",ROUND(IF(L1873="휴일근로",MIN(H1873,8)*1.5+MAX(0,H1873-8)*2,I1873*1.5)+N(J1873)*0.5,2))</f>
        <v/>
      </c>
      <c r="L1873" s="18" t="n"/>
      <c r="M1873" s="18" t="n"/>
      <c r="N1873" s="22" t="n"/>
    </row>
    <row r="1874">
      <c r="A1874" s="19" t="n"/>
      <c r="B1874" s="25">
        <f>IF(A1874="","",CHOOSE(WEEKDAY(A1874,2),"월","화","수","목","금","토","일"))</f>
        <v/>
      </c>
      <c r="C1874" s="18" t="n"/>
      <c r="D1874" s="25">
        <f>IFERROR(IF(C1874="","",INDEX(직원명부!$B$5:$B$24,MATCH(C1874,직원명부!$A$5:$A$24,0))),"사번 확인")</f>
        <v/>
      </c>
      <c r="E1874" s="34" t="n"/>
      <c r="F1874" s="34" t="n"/>
      <c r="G1874" s="28" t="n"/>
      <c r="H1874" s="33">
        <f>IF(OR(E1874="",F1874=""),"",ROUND(MOD(F1874-E1874,1)*24-N(G1874),2))</f>
        <v/>
      </c>
      <c r="I1874" s="33">
        <f>IF(H1874="","",ROUND(MAX(0,H1874-8),2))</f>
        <v/>
      </c>
      <c r="J1874" s="33">
        <f>IF(OR(E1874="",F1874=""),"",ROUND(IF(MOD(F1874,1)&gt;=TIME(22,0,0),(MOD(F1874,1)-TIME(22,0,0))*24,IF(MOD(F1874,1)&lt;TIME(6,0,0),(MOD(F1874,1)+1-TIME(22,0,0))*24,0)),2))</f>
        <v/>
      </c>
      <c r="K1874" s="33">
        <f>IF(H1874="","",ROUND(IF(L1874="휴일근로",MIN(H1874,8)*1.5+MAX(0,H1874-8)*2,I1874*1.5)+N(J1874)*0.5,2))</f>
        <v/>
      </c>
      <c r="L1874" s="18" t="n"/>
      <c r="M1874" s="18" t="n"/>
      <c r="N1874" s="22" t="n"/>
    </row>
    <row r="1875">
      <c r="A1875" s="19" t="n"/>
      <c r="B1875" s="25">
        <f>IF(A1875="","",CHOOSE(WEEKDAY(A1875,2),"월","화","수","목","금","토","일"))</f>
        <v/>
      </c>
      <c r="C1875" s="18" t="n"/>
      <c r="D1875" s="25">
        <f>IFERROR(IF(C1875="","",INDEX(직원명부!$B$5:$B$24,MATCH(C1875,직원명부!$A$5:$A$24,0))),"사번 확인")</f>
        <v/>
      </c>
      <c r="E1875" s="34" t="n"/>
      <c r="F1875" s="34" t="n"/>
      <c r="G1875" s="28" t="n"/>
      <c r="H1875" s="33">
        <f>IF(OR(E1875="",F1875=""),"",ROUND(MOD(F1875-E1875,1)*24-N(G1875),2))</f>
        <v/>
      </c>
      <c r="I1875" s="33">
        <f>IF(H1875="","",ROUND(MAX(0,H1875-8),2))</f>
        <v/>
      </c>
      <c r="J1875" s="33">
        <f>IF(OR(E1875="",F1875=""),"",ROUND(IF(MOD(F1875,1)&gt;=TIME(22,0,0),(MOD(F1875,1)-TIME(22,0,0))*24,IF(MOD(F1875,1)&lt;TIME(6,0,0),(MOD(F1875,1)+1-TIME(22,0,0))*24,0)),2))</f>
        <v/>
      </c>
      <c r="K1875" s="33">
        <f>IF(H1875="","",ROUND(IF(L1875="휴일근로",MIN(H1875,8)*1.5+MAX(0,H1875-8)*2,I1875*1.5)+N(J1875)*0.5,2))</f>
        <v/>
      </c>
      <c r="L1875" s="18" t="n"/>
      <c r="M1875" s="18" t="n"/>
      <c r="N1875" s="22" t="n"/>
    </row>
    <row r="1876">
      <c r="A1876" s="19" t="n"/>
      <c r="B1876" s="25">
        <f>IF(A1876="","",CHOOSE(WEEKDAY(A1876,2),"월","화","수","목","금","토","일"))</f>
        <v/>
      </c>
      <c r="C1876" s="18" t="n"/>
      <c r="D1876" s="25">
        <f>IFERROR(IF(C1876="","",INDEX(직원명부!$B$5:$B$24,MATCH(C1876,직원명부!$A$5:$A$24,0))),"사번 확인")</f>
        <v/>
      </c>
      <c r="E1876" s="34" t="n"/>
      <c r="F1876" s="34" t="n"/>
      <c r="G1876" s="28" t="n"/>
      <c r="H1876" s="33">
        <f>IF(OR(E1876="",F1876=""),"",ROUND(MOD(F1876-E1876,1)*24-N(G1876),2))</f>
        <v/>
      </c>
      <c r="I1876" s="33">
        <f>IF(H1876="","",ROUND(MAX(0,H1876-8),2))</f>
        <v/>
      </c>
      <c r="J1876" s="33">
        <f>IF(OR(E1876="",F1876=""),"",ROUND(IF(MOD(F1876,1)&gt;=TIME(22,0,0),(MOD(F1876,1)-TIME(22,0,0))*24,IF(MOD(F1876,1)&lt;TIME(6,0,0),(MOD(F1876,1)+1-TIME(22,0,0))*24,0)),2))</f>
        <v/>
      </c>
      <c r="K1876" s="33">
        <f>IF(H1876="","",ROUND(IF(L1876="휴일근로",MIN(H1876,8)*1.5+MAX(0,H1876-8)*2,I1876*1.5)+N(J1876)*0.5,2))</f>
        <v/>
      </c>
      <c r="L1876" s="18" t="n"/>
      <c r="M1876" s="18" t="n"/>
      <c r="N1876" s="22" t="n"/>
    </row>
    <row r="1877">
      <c r="A1877" s="19" t="n"/>
      <c r="B1877" s="25">
        <f>IF(A1877="","",CHOOSE(WEEKDAY(A1877,2),"월","화","수","목","금","토","일"))</f>
        <v/>
      </c>
      <c r="C1877" s="18" t="n"/>
      <c r="D1877" s="25">
        <f>IFERROR(IF(C1877="","",INDEX(직원명부!$B$5:$B$24,MATCH(C1877,직원명부!$A$5:$A$24,0))),"사번 확인")</f>
        <v/>
      </c>
      <c r="E1877" s="34" t="n"/>
      <c r="F1877" s="34" t="n"/>
      <c r="G1877" s="28" t="n"/>
      <c r="H1877" s="33">
        <f>IF(OR(E1877="",F1877=""),"",ROUND(MOD(F1877-E1877,1)*24-N(G1877),2))</f>
        <v/>
      </c>
      <c r="I1877" s="33">
        <f>IF(H1877="","",ROUND(MAX(0,H1877-8),2))</f>
        <v/>
      </c>
      <c r="J1877" s="33">
        <f>IF(OR(E1877="",F1877=""),"",ROUND(IF(MOD(F1877,1)&gt;=TIME(22,0,0),(MOD(F1877,1)-TIME(22,0,0))*24,IF(MOD(F1877,1)&lt;TIME(6,0,0),(MOD(F1877,1)+1-TIME(22,0,0))*24,0)),2))</f>
        <v/>
      </c>
      <c r="K1877" s="33">
        <f>IF(H1877="","",ROUND(IF(L1877="휴일근로",MIN(H1877,8)*1.5+MAX(0,H1877-8)*2,I1877*1.5)+N(J1877)*0.5,2))</f>
        <v/>
      </c>
      <c r="L1877" s="18" t="n"/>
      <c r="M1877" s="18" t="n"/>
      <c r="N1877" s="22" t="n"/>
    </row>
    <row r="1878">
      <c r="A1878" s="19" t="n"/>
      <c r="B1878" s="25">
        <f>IF(A1878="","",CHOOSE(WEEKDAY(A1878,2),"월","화","수","목","금","토","일"))</f>
        <v/>
      </c>
      <c r="C1878" s="18" t="n"/>
      <c r="D1878" s="25">
        <f>IFERROR(IF(C1878="","",INDEX(직원명부!$B$5:$B$24,MATCH(C1878,직원명부!$A$5:$A$24,0))),"사번 확인")</f>
        <v/>
      </c>
      <c r="E1878" s="34" t="n"/>
      <c r="F1878" s="34" t="n"/>
      <c r="G1878" s="28" t="n"/>
      <c r="H1878" s="33">
        <f>IF(OR(E1878="",F1878=""),"",ROUND(MOD(F1878-E1878,1)*24-N(G1878),2))</f>
        <v/>
      </c>
      <c r="I1878" s="33">
        <f>IF(H1878="","",ROUND(MAX(0,H1878-8),2))</f>
        <v/>
      </c>
      <c r="J1878" s="33">
        <f>IF(OR(E1878="",F1878=""),"",ROUND(IF(MOD(F1878,1)&gt;=TIME(22,0,0),(MOD(F1878,1)-TIME(22,0,0))*24,IF(MOD(F1878,1)&lt;TIME(6,0,0),(MOD(F1878,1)+1-TIME(22,0,0))*24,0)),2))</f>
        <v/>
      </c>
      <c r="K1878" s="33">
        <f>IF(H1878="","",ROUND(IF(L1878="휴일근로",MIN(H1878,8)*1.5+MAX(0,H1878-8)*2,I1878*1.5)+N(J1878)*0.5,2))</f>
        <v/>
      </c>
      <c r="L1878" s="18" t="n"/>
      <c r="M1878" s="18" t="n"/>
      <c r="N1878" s="22" t="n"/>
    </row>
    <row r="1879">
      <c r="A1879" s="19" t="n"/>
      <c r="B1879" s="25">
        <f>IF(A1879="","",CHOOSE(WEEKDAY(A1879,2),"월","화","수","목","금","토","일"))</f>
        <v/>
      </c>
      <c r="C1879" s="18" t="n"/>
      <c r="D1879" s="25">
        <f>IFERROR(IF(C1879="","",INDEX(직원명부!$B$5:$B$24,MATCH(C1879,직원명부!$A$5:$A$24,0))),"사번 확인")</f>
        <v/>
      </c>
      <c r="E1879" s="34" t="n"/>
      <c r="F1879" s="34" t="n"/>
      <c r="G1879" s="28" t="n"/>
      <c r="H1879" s="33">
        <f>IF(OR(E1879="",F1879=""),"",ROUND(MOD(F1879-E1879,1)*24-N(G1879),2))</f>
        <v/>
      </c>
      <c r="I1879" s="33">
        <f>IF(H1879="","",ROUND(MAX(0,H1879-8),2))</f>
        <v/>
      </c>
      <c r="J1879" s="33">
        <f>IF(OR(E1879="",F1879=""),"",ROUND(IF(MOD(F1879,1)&gt;=TIME(22,0,0),(MOD(F1879,1)-TIME(22,0,0))*24,IF(MOD(F1879,1)&lt;TIME(6,0,0),(MOD(F1879,1)+1-TIME(22,0,0))*24,0)),2))</f>
        <v/>
      </c>
      <c r="K1879" s="33">
        <f>IF(H1879="","",ROUND(IF(L1879="휴일근로",MIN(H1879,8)*1.5+MAX(0,H1879-8)*2,I1879*1.5)+N(J1879)*0.5,2))</f>
        <v/>
      </c>
      <c r="L1879" s="18" t="n"/>
      <c r="M1879" s="18" t="n"/>
      <c r="N1879" s="22" t="n"/>
    </row>
    <row r="1880">
      <c r="A1880" s="19" t="n"/>
      <c r="B1880" s="25">
        <f>IF(A1880="","",CHOOSE(WEEKDAY(A1880,2),"월","화","수","목","금","토","일"))</f>
        <v/>
      </c>
      <c r="C1880" s="18" t="n"/>
      <c r="D1880" s="25">
        <f>IFERROR(IF(C1880="","",INDEX(직원명부!$B$5:$B$24,MATCH(C1880,직원명부!$A$5:$A$24,0))),"사번 확인")</f>
        <v/>
      </c>
      <c r="E1880" s="34" t="n"/>
      <c r="F1880" s="34" t="n"/>
      <c r="G1880" s="28" t="n"/>
      <c r="H1880" s="33">
        <f>IF(OR(E1880="",F1880=""),"",ROUND(MOD(F1880-E1880,1)*24-N(G1880),2))</f>
        <v/>
      </c>
      <c r="I1880" s="33">
        <f>IF(H1880="","",ROUND(MAX(0,H1880-8),2))</f>
        <v/>
      </c>
      <c r="J1880" s="33">
        <f>IF(OR(E1880="",F1880=""),"",ROUND(IF(MOD(F1880,1)&gt;=TIME(22,0,0),(MOD(F1880,1)-TIME(22,0,0))*24,IF(MOD(F1880,1)&lt;TIME(6,0,0),(MOD(F1880,1)+1-TIME(22,0,0))*24,0)),2))</f>
        <v/>
      </c>
      <c r="K1880" s="33">
        <f>IF(H1880="","",ROUND(IF(L1880="휴일근로",MIN(H1880,8)*1.5+MAX(0,H1880-8)*2,I1880*1.5)+N(J1880)*0.5,2))</f>
        <v/>
      </c>
      <c r="L1880" s="18" t="n"/>
      <c r="M1880" s="18" t="n"/>
      <c r="N1880" s="22" t="n"/>
    </row>
    <row r="1881">
      <c r="A1881" s="19" t="n"/>
      <c r="B1881" s="25">
        <f>IF(A1881="","",CHOOSE(WEEKDAY(A1881,2),"월","화","수","목","금","토","일"))</f>
        <v/>
      </c>
      <c r="C1881" s="18" t="n"/>
      <c r="D1881" s="25">
        <f>IFERROR(IF(C1881="","",INDEX(직원명부!$B$5:$B$24,MATCH(C1881,직원명부!$A$5:$A$24,0))),"사번 확인")</f>
        <v/>
      </c>
      <c r="E1881" s="34" t="n"/>
      <c r="F1881" s="34" t="n"/>
      <c r="G1881" s="28" t="n"/>
      <c r="H1881" s="33">
        <f>IF(OR(E1881="",F1881=""),"",ROUND(MOD(F1881-E1881,1)*24-N(G1881),2))</f>
        <v/>
      </c>
      <c r="I1881" s="33">
        <f>IF(H1881="","",ROUND(MAX(0,H1881-8),2))</f>
        <v/>
      </c>
      <c r="J1881" s="33">
        <f>IF(OR(E1881="",F1881=""),"",ROUND(IF(MOD(F1881,1)&gt;=TIME(22,0,0),(MOD(F1881,1)-TIME(22,0,0))*24,IF(MOD(F1881,1)&lt;TIME(6,0,0),(MOD(F1881,1)+1-TIME(22,0,0))*24,0)),2))</f>
        <v/>
      </c>
      <c r="K1881" s="33">
        <f>IF(H1881="","",ROUND(IF(L1881="휴일근로",MIN(H1881,8)*1.5+MAX(0,H1881-8)*2,I1881*1.5)+N(J1881)*0.5,2))</f>
        <v/>
      </c>
      <c r="L1881" s="18" t="n"/>
      <c r="M1881" s="18" t="n"/>
      <c r="N1881" s="22" t="n"/>
    </row>
    <row r="1882">
      <c r="A1882" s="19" t="n"/>
      <c r="B1882" s="25">
        <f>IF(A1882="","",CHOOSE(WEEKDAY(A1882,2),"월","화","수","목","금","토","일"))</f>
        <v/>
      </c>
      <c r="C1882" s="18" t="n"/>
      <c r="D1882" s="25">
        <f>IFERROR(IF(C1882="","",INDEX(직원명부!$B$5:$B$24,MATCH(C1882,직원명부!$A$5:$A$24,0))),"사번 확인")</f>
        <v/>
      </c>
      <c r="E1882" s="34" t="n"/>
      <c r="F1882" s="34" t="n"/>
      <c r="G1882" s="28" t="n"/>
      <c r="H1882" s="33">
        <f>IF(OR(E1882="",F1882=""),"",ROUND(MOD(F1882-E1882,1)*24-N(G1882),2))</f>
        <v/>
      </c>
      <c r="I1882" s="33">
        <f>IF(H1882="","",ROUND(MAX(0,H1882-8),2))</f>
        <v/>
      </c>
      <c r="J1882" s="33">
        <f>IF(OR(E1882="",F1882=""),"",ROUND(IF(MOD(F1882,1)&gt;=TIME(22,0,0),(MOD(F1882,1)-TIME(22,0,0))*24,IF(MOD(F1882,1)&lt;TIME(6,0,0),(MOD(F1882,1)+1-TIME(22,0,0))*24,0)),2))</f>
        <v/>
      </c>
      <c r="K1882" s="33">
        <f>IF(H1882="","",ROUND(IF(L1882="휴일근로",MIN(H1882,8)*1.5+MAX(0,H1882-8)*2,I1882*1.5)+N(J1882)*0.5,2))</f>
        <v/>
      </c>
      <c r="L1882" s="18" t="n"/>
      <c r="M1882" s="18" t="n"/>
      <c r="N1882" s="22" t="n"/>
    </row>
    <row r="1883">
      <c r="A1883" s="19" t="n"/>
      <c r="B1883" s="25">
        <f>IF(A1883="","",CHOOSE(WEEKDAY(A1883,2),"월","화","수","목","금","토","일"))</f>
        <v/>
      </c>
      <c r="C1883" s="18" t="n"/>
      <c r="D1883" s="25">
        <f>IFERROR(IF(C1883="","",INDEX(직원명부!$B$5:$B$24,MATCH(C1883,직원명부!$A$5:$A$24,0))),"사번 확인")</f>
        <v/>
      </c>
      <c r="E1883" s="34" t="n"/>
      <c r="F1883" s="34" t="n"/>
      <c r="G1883" s="28" t="n"/>
      <c r="H1883" s="33">
        <f>IF(OR(E1883="",F1883=""),"",ROUND(MOD(F1883-E1883,1)*24-N(G1883),2))</f>
        <v/>
      </c>
      <c r="I1883" s="33">
        <f>IF(H1883="","",ROUND(MAX(0,H1883-8),2))</f>
        <v/>
      </c>
      <c r="J1883" s="33">
        <f>IF(OR(E1883="",F1883=""),"",ROUND(IF(MOD(F1883,1)&gt;=TIME(22,0,0),(MOD(F1883,1)-TIME(22,0,0))*24,IF(MOD(F1883,1)&lt;TIME(6,0,0),(MOD(F1883,1)+1-TIME(22,0,0))*24,0)),2))</f>
        <v/>
      </c>
      <c r="K1883" s="33">
        <f>IF(H1883="","",ROUND(IF(L1883="휴일근로",MIN(H1883,8)*1.5+MAX(0,H1883-8)*2,I1883*1.5)+N(J1883)*0.5,2))</f>
        <v/>
      </c>
      <c r="L1883" s="18" t="n"/>
      <c r="M1883" s="18" t="n"/>
      <c r="N1883" s="22" t="n"/>
    </row>
    <row r="1884">
      <c r="A1884" s="19" t="n"/>
      <c r="B1884" s="25">
        <f>IF(A1884="","",CHOOSE(WEEKDAY(A1884,2),"월","화","수","목","금","토","일"))</f>
        <v/>
      </c>
      <c r="C1884" s="18" t="n"/>
      <c r="D1884" s="25">
        <f>IFERROR(IF(C1884="","",INDEX(직원명부!$B$5:$B$24,MATCH(C1884,직원명부!$A$5:$A$24,0))),"사번 확인")</f>
        <v/>
      </c>
      <c r="E1884" s="34" t="n"/>
      <c r="F1884" s="34" t="n"/>
      <c r="G1884" s="28" t="n"/>
      <c r="H1884" s="33">
        <f>IF(OR(E1884="",F1884=""),"",ROUND(MOD(F1884-E1884,1)*24-N(G1884),2))</f>
        <v/>
      </c>
      <c r="I1884" s="33">
        <f>IF(H1884="","",ROUND(MAX(0,H1884-8),2))</f>
        <v/>
      </c>
      <c r="J1884" s="33">
        <f>IF(OR(E1884="",F1884=""),"",ROUND(IF(MOD(F1884,1)&gt;=TIME(22,0,0),(MOD(F1884,1)-TIME(22,0,0))*24,IF(MOD(F1884,1)&lt;TIME(6,0,0),(MOD(F1884,1)+1-TIME(22,0,0))*24,0)),2))</f>
        <v/>
      </c>
      <c r="K1884" s="33">
        <f>IF(H1884="","",ROUND(IF(L1884="휴일근로",MIN(H1884,8)*1.5+MAX(0,H1884-8)*2,I1884*1.5)+N(J1884)*0.5,2))</f>
        <v/>
      </c>
      <c r="L1884" s="18" t="n"/>
      <c r="M1884" s="18" t="n"/>
      <c r="N1884" s="22" t="n"/>
    </row>
    <row r="1885">
      <c r="A1885" s="19" t="n"/>
      <c r="B1885" s="25">
        <f>IF(A1885="","",CHOOSE(WEEKDAY(A1885,2),"월","화","수","목","금","토","일"))</f>
        <v/>
      </c>
      <c r="C1885" s="18" t="n"/>
      <c r="D1885" s="25">
        <f>IFERROR(IF(C1885="","",INDEX(직원명부!$B$5:$B$24,MATCH(C1885,직원명부!$A$5:$A$24,0))),"사번 확인")</f>
        <v/>
      </c>
      <c r="E1885" s="34" t="n"/>
      <c r="F1885" s="34" t="n"/>
      <c r="G1885" s="28" t="n"/>
      <c r="H1885" s="33">
        <f>IF(OR(E1885="",F1885=""),"",ROUND(MOD(F1885-E1885,1)*24-N(G1885),2))</f>
        <v/>
      </c>
      <c r="I1885" s="33">
        <f>IF(H1885="","",ROUND(MAX(0,H1885-8),2))</f>
        <v/>
      </c>
      <c r="J1885" s="33">
        <f>IF(OR(E1885="",F1885=""),"",ROUND(IF(MOD(F1885,1)&gt;=TIME(22,0,0),(MOD(F1885,1)-TIME(22,0,0))*24,IF(MOD(F1885,1)&lt;TIME(6,0,0),(MOD(F1885,1)+1-TIME(22,0,0))*24,0)),2))</f>
        <v/>
      </c>
      <c r="K1885" s="33">
        <f>IF(H1885="","",ROUND(IF(L1885="휴일근로",MIN(H1885,8)*1.5+MAX(0,H1885-8)*2,I1885*1.5)+N(J1885)*0.5,2))</f>
        <v/>
      </c>
      <c r="L1885" s="18" t="n"/>
      <c r="M1885" s="18" t="n"/>
      <c r="N1885" s="22" t="n"/>
    </row>
    <row r="1886">
      <c r="A1886" s="19" t="n"/>
      <c r="B1886" s="25">
        <f>IF(A1886="","",CHOOSE(WEEKDAY(A1886,2),"월","화","수","목","금","토","일"))</f>
        <v/>
      </c>
      <c r="C1886" s="18" t="n"/>
      <c r="D1886" s="25">
        <f>IFERROR(IF(C1886="","",INDEX(직원명부!$B$5:$B$24,MATCH(C1886,직원명부!$A$5:$A$24,0))),"사번 확인")</f>
        <v/>
      </c>
      <c r="E1886" s="34" t="n"/>
      <c r="F1886" s="34" t="n"/>
      <c r="G1886" s="28" t="n"/>
      <c r="H1886" s="33">
        <f>IF(OR(E1886="",F1886=""),"",ROUND(MOD(F1886-E1886,1)*24-N(G1886),2))</f>
        <v/>
      </c>
      <c r="I1886" s="33">
        <f>IF(H1886="","",ROUND(MAX(0,H1886-8),2))</f>
        <v/>
      </c>
      <c r="J1886" s="33">
        <f>IF(OR(E1886="",F1886=""),"",ROUND(IF(MOD(F1886,1)&gt;=TIME(22,0,0),(MOD(F1886,1)-TIME(22,0,0))*24,IF(MOD(F1886,1)&lt;TIME(6,0,0),(MOD(F1886,1)+1-TIME(22,0,0))*24,0)),2))</f>
        <v/>
      </c>
      <c r="K1886" s="33">
        <f>IF(H1886="","",ROUND(IF(L1886="휴일근로",MIN(H1886,8)*1.5+MAX(0,H1886-8)*2,I1886*1.5)+N(J1886)*0.5,2))</f>
        <v/>
      </c>
      <c r="L1886" s="18" t="n"/>
      <c r="M1886" s="18" t="n"/>
      <c r="N1886" s="22" t="n"/>
    </row>
    <row r="1887">
      <c r="A1887" s="19" t="n"/>
      <c r="B1887" s="25">
        <f>IF(A1887="","",CHOOSE(WEEKDAY(A1887,2),"월","화","수","목","금","토","일"))</f>
        <v/>
      </c>
      <c r="C1887" s="18" t="n"/>
      <c r="D1887" s="25">
        <f>IFERROR(IF(C1887="","",INDEX(직원명부!$B$5:$B$24,MATCH(C1887,직원명부!$A$5:$A$24,0))),"사번 확인")</f>
        <v/>
      </c>
      <c r="E1887" s="34" t="n"/>
      <c r="F1887" s="34" t="n"/>
      <c r="G1887" s="28" t="n"/>
      <c r="H1887" s="33">
        <f>IF(OR(E1887="",F1887=""),"",ROUND(MOD(F1887-E1887,1)*24-N(G1887),2))</f>
        <v/>
      </c>
      <c r="I1887" s="33">
        <f>IF(H1887="","",ROUND(MAX(0,H1887-8),2))</f>
        <v/>
      </c>
      <c r="J1887" s="33">
        <f>IF(OR(E1887="",F1887=""),"",ROUND(IF(MOD(F1887,1)&gt;=TIME(22,0,0),(MOD(F1887,1)-TIME(22,0,0))*24,IF(MOD(F1887,1)&lt;TIME(6,0,0),(MOD(F1887,1)+1-TIME(22,0,0))*24,0)),2))</f>
        <v/>
      </c>
      <c r="K1887" s="33">
        <f>IF(H1887="","",ROUND(IF(L1887="휴일근로",MIN(H1887,8)*1.5+MAX(0,H1887-8)*2,I1887*1.5)+N(J1887)*0.5,2))</f>
        <v/>
      </c>
      <c r="L1887" s="18" t="n"/>
      <c r="M1887" s="18" t="n"/>
      <c r="N1887" s="22" t="n"/>
    </row>
    <row r="1888">
      <c r="A1888" s="19" t="n"/>
      <c r="B1888" s="25">
        <f>IF(A1888="","",CHOOSE(WEEKDAY(A1888,2),"월","화","수","목","금","토","일"))</f>
        <v/>
      </c>
      <c r="C1888" s="18" t="n"/>
      <c r="D1888" s="25">
        <f>IFERROR(IF(C1888="","",INDEX(직원명부!$B$5:$B$24,MATCH(C1888,직원명부!$A$5:$A$24,0))),"사번 확인")</f>
        <v/>
      </c>
      <c r="E1888" s="34" t="n"/>
      <c r="F1888" s="34" t="n"/>
      <c r="G1888" s="28" t="n"/>
      <c r="H1888" s="33">
        <f>IF(OR(E1888="",F1888=""),"",ROUND(MOD(F1888-E1888,1)*24-N(G1888),2))</f>
        <v/>
      </c>
      <c r="I1888" s="33">
        <f>IF(H1888="","",ROUND(MAX(0,H1888-8),2))</f>
        <v/>
      </c>
      <c r="J1888" s="33">
        <f>IF(OR(E1888="",F1888=""),"",ROUND(IF(MOD(F1888,1)&gt;=TIME(22,0,0),(MOD(F1888,1)-TIME(22,0,0))*24,IF(MOD(F1888,1)&lt;TIME(6,0,0),(MOD(F1888,1)+1-TIME(22,0,0))*24,0)),2))</f>
        <v/>
      </c>
      <c r="K1888" s="33">
        <f>IF(H1888="","",ROUND(IF(L1888="휴일근로",MIN(H1888,8)*1.5+MAX(0,H1888-8)*2,I1888*1.5)+N(J1888)*0.5,2))</f>
        <v/>
      </c>
      <c r="L1888" s="18" t="n"/>
      <c r="M1888" s="18" t="n"/>
      <c r="N1888" s="22" t="n"/>
    </row>
    <row r="1889">
      <c r="A1889" s="19" t="n"/>
      <c r="B1889" s="25">
        <f>IF(A1889="","",CHOOSE(WEEKDAY(A1889,2),"월","화","수","목","금","토","일"))</f>
        <v/>
      </c>
      <c r="C1889" s="18" t="n"/>
      <c r="D1889" s="25">
        <f>IFERROR(IF(C1889="","",INDEX(직원명부!$B$5:$B$24,MATCH(C1889,직원명부!$A$5:$A$24,0))),"사번 확인")</f>
        <v/>
      </c>
      <c r="E1889" s="34" t="n"/>
      <c r="F1889" s="34" t="n"/>
      <c r="G1889" s="28" t="n"/>
      <c r="H1889" s="33">
        <f>IF(OR(E1889="",F1889=""),"",ROUND(MOD(F1889-E1889,1)*24-N(G1889),2))</f>
        <v/>
      </c>
      <c r="I1889" s="33">
        <f>IF(H1889="","",ROUND(MAX(0,H1889-8),2))</f>
        <v/>
      </c>
      <c r="J1889" s="33">
        <f>IF(OR(E1889="",F1889=""),"",ROUND(IF(MOD(F1889,1)&gt;=TIME(22,0,0),(MOD(F1889,1)-TIME(22,0,0))*24,IF(MOD(F1889,1)&lt;TIME(6,0,0),(MOD(F1889,1)+1-TIME(22,0,0))*24,0)),2))</f>
        <v/>
      </c>
      <c r="K1889" s="33">
        <f>IF(H1889="","",ROUND(IF(L1889="휴일근로",MIN(H1889,8)*1.5+MAX(0,H1889-8)*2,I1889*1.5)+N(J1889)*0.5,2))</f>
        <v/>
      </c>
      <c r="L1889" s="18" t="n"/>
      <c r="M1889" s="18" t="n"/>
      <c r="N1889" s="22" t="n"/>
    </row>
    <row r="1890">
      <c r="A1890" s="19" t="n"/>
      <c r="B1890" s="25">
        <f>IF(A1890="","",CHOOSE(WEEKDAY(A1890,2),"월","화","수","목","금","토","일"))</f>
        <v/>
      </c>
      <c r="C1890" s="18" t="n"/>
      <c r="D1890" s="25">
        <f>IFERROR(IF(C1890="","",INDEX(직원명부!$B$5:$B$24,MATCH(C1890,직원명부!$A$5:$A$24,0))),"사번 확인")</f>
        <v/>
      </c>
      <c r="E1890" s="34" t="n"/>
      <c r="F1890" s="34" t="n"/>
      <c r="G1890" s="28" t="n"/>
      <c r="H1890" s="33">
        <f>IF(OR(E1890="",F1890=""),"",ROUND(MOD(F1890-E1890,1)*24-N(G1890),2))</f>
        <v/>
      </c>
      <c r="I1890" s="33">
        <f>IF(H1890="","",ROUND(MAX(0,H1890-8),2))</f>
        <v/>
      </c>
      <c r="J1890" s="33">
        <f>IF(OR(E1890="",F1890=""),"",ROUND(IF(MOD(F1890,1)&gt;=TIME(22,0,0),(MOD(F1890,1)-TIME(22,0,0))*24,IF(MOD(F1890,1)&lt;TIME(6,0,0),(MOD(F1890,1)+1-TIME(22,0,0))*24,0)),2))</f>
        <v/>
      </c>
      <c r="K1890" s="33">
        <f>IF(H1890="","",ROUND(IF(L1890="휴일근로",MIN(H1890,8)*1.5+MAX(0,H1890-8)*2,I1890*1.5)+N(J1890)*0.5,2))</f>
        <v/>
      </c>
      <c r="L1890" s="18" t="n"/>
      <c r="M1890" s="18" t="n"/>
      <c r="N1890" s="22" t="n"/>
    </row>
    <row r="1891">
      <c r="A1891" s="19" t="n"/>
      <c r="B1891" s="25">
        <f>IF(A1891="","",CHOOSE(WEEKDAY(A1891,2),"월","화","수","목","금","토","일"))</f>
        <v/>
      </c>
      <c r="C1891" s="18" t="n"/>
      <c r="D1891" s="25">
        <f>IFERROR(IF(C1891="","",INDEX(직원명부!$B$5:$B$24,MATCH(C1891,직원명부!$A$5:$A$24,0))),"사번 확인")</f>
        <v/>
      </c>
      <c r="E1891" s="34" t="n"/>
      <c r="F1891" s="34" t="n"/>
      <c r="G1891" s="28" t="n"/>
      <c r="H1891" s="33">
        <f>IF(OR(E1891="",F1891=""),"",ROUND(MOD(F1891-E1891,1)*24-N(G1891),2))</f>
        <v/>
      </c>
      <c r="I1891" s="33">
        <f>IF(H1891="","",ROUND(MAX(0,H1891-8),2))</f>
        <v/>
      </c>
      <c r="J1891" s="33">
        <f>IF(OR(E1891="",F1891=""),"",ROUND(IF(MOD(F1891,1)&gt;=TIME(22,0,0),(MOD(F1891,1)-TIME(22,0,0))*24,IF(MOD(F1891,1)&lt;TIME(6,0,0),(MOD(F1891,1)+1-TIME(22,0,0))*24,0)),2))</f>
        <v/>
      </c>
      <c r="K1891" s="33">
        <f>IF(H1891="","",ROUND(IF(L1891="휴일근로",MIN(H1891,8)*1.5+MAX(0,H1891-8)*2,I1891*1.5)+N(J1891)*0.5,2))</f>
        <v/>
      </c>
      <c r="L1891" s="18" t="n"/>
      <c r="M1891" s="18" t="n"/>
      <c r="N1891" s="22" t="n"/>
    </row>
    <row r="1892">
      <c r="A1892" s="19" t="n"/>
      <c r="B1892" s="25">
        <f>IF(A1892="","",CHOOSE(WEEKDAY(A1892,2),"월","화","수","목","금","토","일"))</f>
        <v/>
      </c>
      <c r="C1892" s="18" t="n"/>
      <c r="D1892" s="25">
        <f>IFERROR(IF(C1892="","",INDEX(직원명부!$B$5:$B$24,MATCH(C1892,직원명부!$A$5:$A$24,0))),"사번 확인")</f>
        <v/>
      </c>
      <c r="E1892" s="34" t="n"/>
      <c r="F1892" s="34" t="n"/>
      <c r="G1892" s="28" t="n"/>
      <c r="H1892" s="33">
        <f>IF(OR(E1892="",F1892=""),"",ROUND(MOD(F1892-E1892,1)*24-N(G1892),2))</f>
        <v/>
      </c>
      <c r="I1892" s="33">
        <f>IF(H1892="","",ROUND(MAX(0,H1892-8),2))</f>
        <v/>
      </c>
      <c r="J1892" s="33">
        <f>IF(OR(E1892="",F1892=""),"",ROUND(IF(MOD(F1892,1)&gt;=TIME(22,0,0),(MOD(F1892,1)-TIME(22,0,0))*24,IF(MOD(F1892,1)&lt;TIME(6,0,0),(MOD(F1892,1)+1-TIME(22,0,0))*24,0)),2))</f>
        <v/>
      </c>
      <c r="K1892" s="33">
        <f>IF(H1892="","",ROUND(IF(L1892="휴일근로",MIN(H1892,8)*1.5+MAX(0,H1892-8)*2,I1892*1.5)+N(J1892)*0.5,2))</f>
        <v/>
      </c>
      <c r="L1892" s="18" t="n"/>
      <c r="M1892" s="18" t="n"/>
      <c r="N1892" s="22" t="n"/>
    </row>
    <row r="1893">
      <c r="A1893" s="19" t="n"/>
      <c r="B1893" s="25">
        <f>IF(A1893="","",CHOOSE(WEEKDAY(A1893,2),"월","화","수","목","금","토","일"))</f>
        <v/>
      </c>
      <c r="C1893" s="18" t="n"/>
      <c r="D1893" s="25">
        <f>IFERROR(IF(C1893="","",INDEX(직원명부!$B$5:$B$24,MATCH(C1893,직원명부!$A$5:$A$24,0))),"사번 확인")</f>
        <v/>
      </c>
      <c r="E1893" s="34" t="n"/>
      <c r="F1893" s="34" t="n"/>
      <c r="G1893" s="28" t="n"/>
      <c r="H1893" s="33">
        <f>IF(OR(E1893="",F1893=""),"",ROUND(MOD(F1893-E1893,1)*24-N(G1893),2))</f>
        <v/>
      </c>
      <c r="I1893" s="33">
        <f>IF(H1893="","",ROUND(MAX(0,H1893-8),2))</f>
        <v/>
      </c>
      <c r="J1893" s="33">
        <f>IF(OR(E1893="",F1893=""),"",ROUND(IF(MOD(F1893,1)&gt;=TIME(22,0,0),(MOD(F1893,1)-TIME(22,0,0))*24,IF(MOD(F1893,1)&lt;TIME(6,0,0),(MOD(F1893,1)+1-TIME(22,0,0))*24,0)),2))</f>
        <v/>
      </c>
      <c r="K1893" s="33">
        <f>IF(H1893="","",ROUND(IF(L1893="휴일근로",MIN(H1893,8)*1.5+MAX(0,H1893-8)*2,I1893*1.5)+N(J1893)*0.5,2))</f>
        <v/>
      </c>
      <c r="L1893" s="18" t="n"/>
      <c r="M1893" s="18" t="n"/>
      <c r="N1893" s="22" t="n"/>
    </row>
    <row r="1894">
      <c r="A1894" s="19" t="n"/>
      <c r="B1894" s="25">
        <f>IF(A1894="","",CHOOSE(WEEKDAY(A1894,2),"월","화","수","목","금","토","일"))</f>
        <v/>
      </c>
      <c r="C1894" s="18" t="n"/>
      <c r="D1894" s="25">
        <f>IFERROR(IF(C1894="","",INDEX(직원명부!$B$5:$B$24,MATCH(C1894,직원명부!$A$5:$A$24,0))),"사번 확인")</f>
        <v/>
      </c>
      <c r="E1894" s="34" t="n"/>
      <c r="F1894" s="34" t="n"/>
      <c r="G1894" s="28" t="n"/>
      <c r="H1894" s="33">
        <f>IF(OR(E1894="",F1894=""),"",ROUND(MOD(F1894-E1894,1)*24-N(G1894),2))</f>
        <v/>
      </c>
      <c r="I1894" s="33">
        <f>IF(H1894="","",ROUND(MAX(0,H1894-8),2))</f>
        <v/>
      </c>
      <c r="J1894" s="33">
        <f>IF(OR(E1894="",F1894=""),"",ROUND(IF(MOD(F1894,1)&gt;=TIME(22,0,0),(MOD(F1894,1)-TIME(22,0,0))*24,IF(MOD(F1894,1)&lt;TIME(6,0,0),(MOD(F1894,1)+1-TIME(22,0,0))*24,0)),2))</f>
        <v/>
      </c>
      <c r="K1894" s="33">
        <f>IF(H1894="","",ROUND(IF(L1894="휴일근로",MIN(H1894,8)*1.5+MAX(0,H1894-8)*2,I1894*1.5)+N(J1894)*0.5,2))</f>
        <v/>
      </c>
      <c r="L1894" s="18" t="n"/>
      <c r="M1894" s="18" t="n"/>
      <c r="N1894" s="22" t="n"/>
    </row>
    <row r="1895">
      <c r="A1895" s="19" t="n"/>
      <c r="B1895" s="25">
        <f>IF(A1895="","",CHOOSE(WEEKDAY(A1895,2),"월","화","수","목","금","토","일"))</f>
        <v/>
      </c>
      <c r="C1895" s="18" t="n"/>
      <c r="D1895" s="25">
        <f>IFERROR(IF(C1895="","",INDEX(직원명부!$B$5:$B$24,MATCH(C1895,직원명부!$A$5:$A$24,0))),"사번 확인")</f>
        <v/>
      </c>
      <c r="E1895" s="34" t="n"/>
      <c r="F1895" s="34" t="n"/>
      <c r="G1895" s="28" t="n"/>
      <c r="H1895" s="33">
        <f>IF(OR(E1895="",F1895=""),"",ROUND(MOD(F1895-E1895,1)*24-N(G1895),2))</f>
        <v/>
      </c>
      <c r="I1895" s="33">
        <f>IF(H1895="","",ROUND(MAX(0,H1895-8),2))</f>
        <v/>
      </c>
      <c r="J1895" s="33">
        <f>IF(OR(E1895="",F1895=""),"",ROUND(IF(MOD(F1895,1)&gt;=TIME(22,0,0),(MOD(F1895,1)-TIME(22,0,0))*24,IF(MOD(F1895,1)&lt;TIME(6,0,0),(MOD(F1895,1)+1-TIME(22,0,0))*24,0)),2))</f>
        <v/>
      </c>
      <c r="K1895" s="33">
        <f>IF(H1895="","",ROUND(IF(L1895="휴일근로",MIN(H1895,8)*1.5+MAX(0,H1895-8)*2,I1895*1.5)+N(J1895)*0.5,2))</f>
        <v/>
      </c>
      <c r="L1895" s="18" t="n"/>
      <c r="M1895" s="18" t="n"/>
      <c r="N1895" s="22" t="n"/>
    </row>
    <row r="1896">
      <c r="A1896" s="19" t="n"/>
      <c r="B1896" s="25">
        <f>IF(A1896="","",CHOOSE(WEEKDAY(A1896,2),"월","화","수","목","금","토","일"))</f>
        <v/>
      </c>
      <c r="C1896" s="18" t="n"/>
      <c r="D1896" s="25">
        <f>IFERROR(IF(C1896="","",INDEX(직원명부!$B$5:$B$24,MATCH(C1896,직원명부!$A$5:$A$24,0))),"사번 확인")</f>
        <v/>
      </c>
      <c r="E1896" s="34" t="n"/>
      <c r="F1896" s="34" t="n"/>
      <c r="G1896" s="28" t="n"/>
      <c r="H1896" s="33">
        <f>IF(OR(E1896="",F1896=""),"",ROUND(MOD(F1896-E1896,1)*24-N(G1896),2))</f>
        <v/>
      </c>
      <c r="I1896" s="33">
        <f>IF(H1896="","",ROUND(MAX(0,H1896-8),2))</f>
        <v/>
      </c>
      <c r="J1896" s="33">
        <f>IF(OR(E1896="",F1896=""),"",ROUND(IF(MOD(F1896,1)&gt;=TIME(22,0,0),(MOD(F1896,1)-TIME(22,0,0))*24,IF(MOD(F1896,1)&lt;TIME(6,0,0),(MOD(F1896,1)+1-TIME(22,0,0))*24,0)),2))</f>
        <v/>
      </c>
      <c r="K1896" s="33">
        <f>IF(H1896="","",ROUND(IF(L1896="휴일근로",MIN(H1896,8)*1.5+MAX(0,H1896-8)*2,I1896*1.5)+N(J1896)*0.5,2))</f>
        <v/>
      </c>
      <c r="L1896" s="18" t="n"/>
      <c r="M1896" s="18" t="n"/>
      <c r="N1896" s="22" t="n"/>
    </row>
    <row r="1897">
      <c r="A1897" s="19" t="n"/>
      <c r="B1897" s="25">
        <f>IF(A1897="","",CHOOSE(WEEKDAY(A1897,2),"월","화","수","목","금","토","일"))</f>
        <v/>
      </c>
      <c r="C1897" s="18" t="n"/>
      <c r="D1897" s="25">
        <f>IFERROR(IF(C1897="","",INDEX(직원명부!$B$5:$B$24,MATCH(C1897,직원명부!$A$5:$A$24,0))),"사번 확인")</f>
        <v/>
      </c>
      <c r="E1897" s="34" t="n"/>
      <c r="F1897" s="34" t="n"/>
      <c r="G1897" s="28" t="n"/>
      <c r="H1897" s="33">
        <f>IF(OR(E1897="",F1897=""),"",ROUND(MOD(F1897-E1897,1)*24-N(G1897),2))</f>
        <v/>
      </c>
      <c r="I1897" s="33">
        <f>IF(H1897="","",ROUND(MAX(0,H1897-8),2))</f>
        <v/>
      </c>
      <c r="J1897" s="33">
        <f>IF(OR(E1897="",F1897=""),"",ROUND(IF(MOD(F1897,1)&gt;=TIME(22,0,0),(MOD(F1897,1)-TIME(22,0,0))*24,IF(MOD(F1897,1)&lt;TIME(6,0,0),(MOD(F1897,1)+1-TIME(22,0,0))*24,0)),2))</f>
        <v/>
      </c>
      <c r="K1897" s="33">
        <f>IF(H1897="","",ROUND(IF(L1897="휴일근로",MIN(H1897,8)*1.5+MAX(0,H1897-8)*2,I1897*1.5)+N(J1897)*0.5,2))</f>
        <v/>
      </c>
      <c r="L1897" s="18" t="n"/>
      <c r="M1897" s="18" t="n"/>
      <c r="N1897" s="22" t="n"/>
    </row>
    <row r="1898">
      <c r="A1898" s="19" t="n"/>
      <c r="B1898" s="25">
        <f>IF(A1898="","",CHOOSE(WEEKDAY(A1898,2),"월","화","수","목","금","토","일"))</f>
        <v/>
      </c>
      <c r="C1898" s="18" t="n"/>
      <c r="D1898" s="25">
        <f>IFERROR(IF(C1898="","",INDEX(직원명부!$B$5:$B$24,MATCH(C1898,직원명부!$A$5:$A$24,0))),"사번 확인")</f>
        <v/>
      </c>
      <c r="E1898" s="34" t="n"/>
      <c r="F1898" s="34" t="n"/>
      <c r="G1898" s="28" t="n"/>
      <c r="H1898" s="33">
        <f>IF(OR(E1898="",F1898=""),"",ROUND(MOD(F1898-E1898,1)*24-N(G1898),2))</f>
        <v/>
      </c>
      <c r="I1898" s="33">
        <f>IF(H1898="","",ROUND(MAX(0,H1898-8),2))</f>
        <v/>
      </c>
      <c r="J1898" s="33">
        <f>IF(OR(E1898="",F1898=""),"",ROUND(IF(MOD(F1898,1)&gt;=TIME(22,0,0),(MOD(F1898,1)-TIME(22,0,0))*24,IF(MOD(F1898,1)&lt;TIME(6,0,0),(MOD(F1898,1)+1-TIME(22,0,0))*24,0)),2))</f>
        <v/>
      </c>
      <c r="K1898" s="33">
        <f>IF(H1898="","",ROUND(IF(L1898="휴일근로",MIN(H1898,8)*1.5+MAX(0,H1898-8)*2,I1898*1.5)+N(J1898)*0.5,2))</f>
        <v/>
      </c>
      <c r="L1898" s="18" t="n"/>
      <c r="M1898" s="18" t="n"/>
      <c r="N1898" s="22" t="n"/>
    </row>
    <row r="1899">
      <c r="A1899" s="19" t="n"/>
      <c r="B1899" s="25">
        <f>IF(A1899="","",CHOOSE(WEEKDAY(A1899,2),"월","화","수","목","금","토","일"))</f>
        <v/>
      </c>
      <c r="C1899" s="18" t="n"/>
      <c r="D1899" s="25">
        <f>IFERROR(IF(C1899="","",INDEX(직원명부!$B$5:$B$24,MATCH(C1899,직원명부!$A$5:$A$24,0))),"사번 확인")</f>
        <v/>
      </c>
      <c r="E1899" s="34" t="n"/>
      <c r="F1899" s="34" t="n"/>
      <c r="G1899" s="28" t="n"/>
      <c r="H1899" s="33">
        <f>IF(OR(E1899="",F1899=""),"",ROUND(MOD(F1899-E1899,1)*24-N(G1899),2))</f>
        <v/>
      </c>
      <c r="I1899" s="33">
        <f>IF(H1899="","",ROUND(MAX(0,H1899-8),2))</f>
        <v/>
      </c>
      <c r="J1899" s="33">
        <f>IF(OR(E1899="",F1899=""),"",ROUND(IF(MOD(F1899,1)&gt;=TIME(22,0,0),(MOD(F1899,1)-TIME(22,0,0))*24,IF(MOD(F1899,1)&lt;TIME(6,0,0),(MOD(F1899,1)+1-TIME(22,0,0))*24,0)),2))</f>
        <v/>
      </c>
      <c r="K1899" s="33">
        <f>IF(H1899="","",ROUND(IF(L1899="휴일근로",MIN(H1899,8)*1.5+MAX(0,H1899-8)*2,I1899*1.5)+N(J1899)*0.5,2))</f>
        <v/>
      </c>
      <c r="L1899" s="18" t="n"/>
      <c r="M1899" s="18" t="n"/>
      <c r="N1899" s="22" t="n"/>
    </row>
    <row r="1900">
      <c r="A1900" s="19" t="n"/>
      <c r="B1900" s="25">
        <f>IF(A1900="","",CHOOSE(WEEKDAY(A1900,2),"월","화","수","목","금","토","일"))</f>
        <v/>
      </c>
      <c r="C1900" s="18" t="n"/>
      <c r="D1900" s="25">
        <f>IFERROR(IF(C1900="","",INDEX(직원명부!$B$5:$B$24,MATCH(C1900,직원명부!$A$5:$A$24,0))),"사번 확인")</f>
        <v/>
      </c>
      <c r="E1900" s="34" t="n"/>
      <c r="F1900" s="34" t="n"/>
      <c r="G1900" s="28" t="n"/>
      <c r="H1900" s="33">
        <f>IF(OR(E1900="",F1900=""),"",ROUND(MOD(F1900-E1900,1)*24-N(G1900),2))</f>
        <v/>
      </c>
      <c r="I1900" s="33">
        <f>IF(H1900="","",ROUND(MAX(0,H1900-8),2))</f>
        <v/>
      </c>
      <c r="J1900" s="33">
        <f>IF(OR(E1900="",F1900=""),"",ROUND(IF(MOD(F1900,1)&gt;=TIME(22,0,0),(MOD(F1900,1)-TIME(22,0,0))*24,IF(MOD(F1900,1)&lt;TIME(6,0,0),(MOD(F1900,1)+1-TIME(22,0,0))*24,0)),2))</f>
        <v/>
      </c>
      <c r="K1900" s="33">
        <f>IF(H1900="","",ROUND(IF(L1900="휴일근로",MIN(H1900,8)*1.5+MAX(0,H1900-8)*2,I1900*1.5)+N(J1900)*0.5,2))</f>
        <v/>
      </c>
      <c r="L1900" s="18" t="n"/>
      <c r="M1900" s="18" t="n"/>
      <c r="N1900" s="22" t="n"/>
    </row>
    <row r="1901">
      <c r="A1901" s="19" t="n"/>
      <c r="B1901" s="25">
        <f>IF(A1901="","",CHOOSE(WEEKDAY(A1901,2),"월","화","수","목","금","토","일"))</f>
        <v/>
      </c>
      <c r="C1901" s="18" t="n"/>
      <c r="D1901" s="25">
        <f>IFERROR(IF(C1901="","",INDEX(직원명부!$B$5:$B$24,MATCH(C1901,직원명부!$A$5:$A$24,0))),"사번 확인")</f>
        <v/>
      </c>
      <c r="E1901" s="34" t="n"/>
      <c r="F1901" s="34" t="n"/>
      <c r="G1901" s="28" t="n"/>
      <c r="H1901" s="33">
        <f>IF(OR(E1901="",F1901=""),"",ROUND(MOD(F1901-E1901,1)*24-N(G1901),2))</f>
        <v/>
      </c>
      <c r="I1901" s="33">
        <f>IF(H1901="","",ROUND(MAX(0,H1901-8),2))</f>
        <v/>
      </c>
      <c r="J1901" s="33">
        <f>IF(OR(E1901="",F1901=""),"",ROUND(IF(MOD(F1901,1)&gt;=TIME(22,0,0),(MOD(F1901,1)-TIME(22,0,0))*24,IF(MOD(F1901,1)&lt;TIME(6,0,0),(MOD(F1901,1)+1-TIME(22,0,0))*24,0)),2))</f>
        <v/>
      </c>
      <c r="K1901" s="33">
        <f>IF(H1901="","",ROUND(IF(L1901="휴일근로",MIN(H1901,8)*1.5+MAX(0,H1901-8)*2,I1901*1.5)+N(J1901)*0.5,2))</f>
        <v/>
      </c>
      <c r="L1901" s="18" t="n"/>
      <c r="M1901" s="18" t="n"/>
      <c r="N1901" s="22" t="n"/>
    </row>
    <row r="1902">
      <c r="A1902" s="19" t="n"/>
      <c r="B1902" s="25">
        <f>IF(A1902="","",CHOOSE(WEEKDAY(A1902,2),"월","화","수","목","금","토","일"))</f>
        <v/>
      </c>
      <c r="C1902" s="18" t="n"/>
      <c r="D1902" s="25">
        <f>IFERROR(IF(C1902="","",INDEX(직원명부!$B$5:$B$24,MATCH(C1902,직원명부!$A$5:$A$24,0))),"사번 확인")</f>
        <v/>
      </c>
      <c r="E1902" s="34" t="n"/>
      <c r="F1902" s="34" t="n"/>
      <c r="G1902" s="28" t="n"/>
      <c r="H1902" s="33">
        <f>IF(OR(E1902="",F1902=""),"",ROUND(MOD(F1902-E1902,1)*24-N(G1902),2))</f>
        <v/>
      </c>
      <c r="I1902" s="33">
        <f>IF(H1902="","",ROUND(MAX(0,H1902-8),2))</f>
        <v/>
      </c>
      <c r="J1902" s="33">
        <f>IF(OR(E1902="",F1902=""),"",ROUND(IF(MOD(F1902,1)&gt;=TIME(22,0,0),(MOD(F1902,1)-TIME(22,0,0))*24,IF(MOD(F1902,1)&lt;TIME(6,0,0),(MOD(F1902,1)+1-TIME(22,0,0))*24,0)),2))</f>
        <v/>
      </c>
      <c r="K1902" s="33">
        <f>IF(H1902="","",ROUND(IF(L1902="휴일근로",MIN(H1902,8)*1.5+MAX(0,H1902-8)*2,I1902*1.5)+N(J1902)*0.5,2))</f>
        <v/>
      </c>
      <c r="L1902" s="18" t="n"/>
      <c r="M1902" s="18" t="n"/>
      <c r="N1902" s="22" t="n"/>
    </row>
    <row r="1903">
      <c r="A1903" s="19" t="n"/>
      <c r="B1903" s="25">
        <f>IF(A1903="","",CHOOSE(WEEKDAY(A1903,2),"월","화","수","목","금","토","일"))</f>
        <v/>
      </c>
      <c r="C1903" s="18" t="n"/>
      <c r="D1903" s="25">
        <f>IFERROR(IF(C1903="","",INDEX(직원명부!$B$5:$B$24,MATCH(C1903,직원명부!$A$5:$A$24,0))),"사번 확인")</f>
        <v/>
      </c>
      <c r="E1903" s="34" t="n"/>
      <c r="F1903" s="34" t="n"/>
      <c r="G1903" s="28" t="n"/>
      <c r="H1903" s="33">
        <f>IF(OR(E1903="",F1903=""),"",ROUND(MOD(F1903-E1903,1)*24-N(G1903),2))</f>
        <v/>
      </c>
      <c r="I1903" s="33">
        <f>IF(H1903="","",ROUND(MAX(0,H1903-8),2))</f>
        <v/>
      </c>
      <c r="J1903" s="33">
        <f>IF(OR(E1903="",F1903=""),"",ROUND(IF(MOD(F1903,1)&gt;=TIME(22,0,0),(MOD(F1903,1)-TIME(22,0,0))*24,IF(MOD(F1903,1)&lt;TIME(6,0,0),(MOD(F1903,1)+1-TIME(22,0,0))*24,0)),2))</f>
        <v/>
      </c>
      <c r="K1903" s="33">
        <f>IF(H1903="","",ROUND(IF(L1903="휴일근로",MIN(H1903,8)*1.5+MAX(0,H1903-8)*2,I1903*1.5)+N(J1903)*0.5,2))</f>
        <v/>
      </c>
      <c r="L1903" s="18" t="n"/>
      <c r="M1903" s="18" t="n"/>
      <c r="N1903" s="22" t="n"/>
    </row>
    <row r="1904">
      <c r="A1904" s="19" t="n"/>
      <c r="B1904" s="25">
        <f>IF(A1904="","",CHOOSE(WEEKDAY(A1904,2),"월","화","수","목","금","토","일"))</f>
        <v/>
      </c>
      <c r="C1904" s="18" t="n"/>
      <c r="D1904" s="25">
        <f>IFERROR(IF(C1904="","",INDEX(직원명부!$B$5:$B$24,MATCH(C1904,직원명부!$A$5:$A$24,0))),"사번 확인")</f>
        <v/>
      </c>
      <c r="E1904" s="34" t="n"/>
      <c r="F1904" s="34" t="n"/>
      <c r="G1904" s="28" t="n"/>
      <c r="H1904" s="33">
        <f>IF(OR(E1904="",F1904=""),"",ROUND(MOD(F1904-E1904,1)*24-N(G1904),2))</f>
        <v/>
      </c>
      <c r="I1904" s="33">
        <f>IF(H1904="","",ROUND(MAX(0,H1904-8),2))</f>
        <v/>
      </c>
      <c r="J1904" s="33">
        <f>IF(OR(E1904="",F1904=""),"",ROUND(IF(MOD(F1904,1)&gt;=TIME(22,0,0),(MOD(F1904,1)-TIME(22,0,0))*24,IF(MOD(F1904,1)&lt;TIME(6,0,0),(MOD(F1904,1)+1-TIME(22,0,0))*24,0)),2))</f>
        <v/>
      </c>
      <c r="K1904" s="33">
        <f>IF(H1904="","",ROUND(IF(L1904="휴일근로",MIN(H1904,8)*1.5+MAX(0,H1904-8)*2,I1904*1.5)+N(J1904)*0.5,2))</f>
        <v/>
      </c>
      <c r="L1904" s="18" t="n"/>
      <c r="M1904" s="18" t="n"/>
      <c r="N1904" s="22" t="n"/>
    </row>
    <row r="1905">
      <c r="A1905" s="19" t="n"/>
      <c r="B1905" s="25">
        <f>IF(A1905="","",CHOOSE(WEEKDAY(A1905,2),"월","화","수","목","금","토","일"))</f>
        <v/>
      </c>
      <c r="C1905" s="18" t="n"/>
      <c r="D1905" s="25">
        <f>IFERROR(IF(C1905="","",INDEX(직원명부!$B$5:$B$24,MATCH(C1905,직원명부!$A$5:$A$24,0))),"사번 확인")</f>
        <v/>
      </c>
      <c r="E1905" s="34" t="n"/>
      <c r="F1905" s="34" t="n"/>
      <c r="G1905" s="28" t="n"/>
      <c r="H1905" s="33">
        <f>IF(OR(E1905="",F1905=""),"",ROUND(MOD(F1905-E1905,1)*24-N(G1905),2))</f>
        <v/>
      </c>
      <c r="I1905" s="33">
        <f>IF(H1905="","",ROUND(MAX(0,H1905-8),2))</f>
        <v/>
      </c>
      <c r="J1905" s="33">
        <f>IF(OR(E1905="",F1905=""),"",ROUND(IF(MOD(F1905,1)&gt;=TIME(22,0,0),(MOD(F1905,1)-TIME(22,0,0))*24,IF(MOD(F1905,1)&lt;TIME(6,0,0),(MOD(F1905,1)+1-TIME(22,0,0))*24,0)),2))</f>
        <v/>
      </c>
      <c r="K1905" s="33">
        <f>IF(H1905="","",ROUND(IF(L1905="휴일근로",MIN(H1905,8)*1.5+MAX(0,H1905-8)*2,I1905*1.5)+N(J1905)*0.5,2))</f>
        <v/>
      </c>
      <c r="L1905" s="18" t="n"/>
      <c r="M1905" s="18" t="n"/>
      <c r="N1905" s="22" t="n"/>
    </row>
    <row r="1906">
      <c r="A1906" s="19" t="n"/>
      <c r="B1906" s="25">
        <f>IF(A1906="","",CHOOSE(WEEKDAY(A1906,2),"월","화","수","목","금","토","일"))</f>
        <v/>
      </c>
      <c r="C1906" s="18" t="n"/>
      <c r="D1906" s="25">
        <f>IFERROR(IF(C1906="","",INDEX(직원명부!$B$5:$B$24,MATCH(C1906,직원명부!$A$5:$A$24,0))),"사번 확인")</f>
        <v/>
      </c>
      <c r="E1906" s="34" t="n"/>
      <c r="F1906" s="34" t="n"/>
      <c r="G1906" s="28" t="n"/>
      <c r="H1906" s="33">
        <f>IF(OR(E1906="",F1906=""),"",ROUND(MOD(F1906-E1906,1)*24-N(G1906),2))</f>
        <v/>
      </c>
      <c r="I1906" s="33">
        <f>IF(H1906="","",ROUND(MAX(0,H1906-8),2))</f>
        <v/>
      </c>
      <c r="J1906" s="33">
        <f>IF(OR(E1906="",F1906=""),"",ROUND(IF(MOD(F1906,1)&gt;=TIME(22,0,0),(MOD(F1906,1)-TIME(22,0,0))*24,IF(MOD(F1906,1)&lt;TIME(6,0,0),(MOD(F1906,1)+1-TIME(22,0,0))*24,0)),2))</f>
        <v/>
      </c>
      <c r="K1906" s="33">
        <f>IF(H1906="","",ROUND(IF(L1906="휴일근로",MIN(H1906,8)*1.5+MAX(0,H1906-8)*2,I1906*1.5)+N(J1906)*0.5,2))</f>
        <v/>
      </c>
      <c r="L1906" s="18" t="n"/>
      <c r="M1906" s="18" t="n"/>
      <c r="N1906" s="22" t="n"/>
    </row>
    <row r="1907">
      <c r="A1907" s="19" t="n"/>
      <c r="B1907" s="25">
        <f>IF(A1907="","",CHOOSE(WEEKDAY(A1907,2),"월","화","수","목","금","토","일"))</f>
        <v/>
      </c>
      <c r="C1907" s="18" t="n"/>
      <c r="D1907" s="25">
        <f>IFERROR(IF(C1907="","",INDEX(직원명부!$B$5:$B$24,MATCH(C1907,직원명부!$A$5:$A$24,0))),"사번 확인")</f>
        <v/>
      </c>
      <c r="E1907" s="34" t="n"/>
      <c r="F1907" s="34" t="n"/>
      <c r="G1907" s="28" t="n"/>
      <c r="H1907" s="33">
        <f>IF(OR(E1907="",F1907=""),"",ROUND(MOD(F1907-E1907,1)*24-N(G1907),2))</f>
        <v/>
      </c>
      <c r="I1907" s="33">
        <f>IF(H1907="","",ROUND(MAX(0,H1907-8),2))</f>
        <v/>
      </c>
      <c r="J1907" s="33">
        <f>IF(OR(E1907="",F1907=""),"",ROUND(IF(MOD(F1907,1)&gt;=TIME(22,0,0),(MOD(F1907,1)-TIME(22,0,0))*24,IF(MOD(F1907,1)&lt;TIME(6,0,0),(MOD(F1907,1)+1-TIME(22,0,0))*24,0)),2))</f>
        <v/>
      </c>
      <c r="K1907" s="33">
        <f>IF(H1907="","",ROUND(IF(L1907="휴일근로",MIN(H1907,8)*1.5+MAX(0,H1907-8)*2,I1907*1.5)+N(J1907)*0.5,2))</f>
        <v/>
      </c>
      <c r="L1907" s="18" t="n"/>
      <c r="M1907" s="18" t="n"/>
      <c r="N1907" s="22" t="n"/>
    </row>
    <row r="1908">
      <c r="A1908" s="19" t="n"/>
      <c r="B1908" s="25">
        <f>IF(A1908="","",CHOOSE(WEEKDAY(A1908,2),"월","화","수","목","금","토","일"))</f>
        <v/>
      </c>
      <c r="C1908" s="18" t="n"/>
      <c r="D1908" s="25">
        <f>IFERROR(IF(C1908="","",INDEX(직원명부!$B$5:$B$24,MATCH(C1908,직원명부!$A$5:$A$24,0))),"사번 확인")</f>
        <v/>
      </c>
      <c r="E1908" s="34" t="n"/>
      <c r="F1908" s="34" t="n"/>
      <c r="G1908" s="28" t="n"/>
      <c r="H1908" s="33">
        <f>IF(OR(E1908="",F1908=""),"",ROUND(MOD(F1908-E1908,1)*24-N(G1908),2))</f>
        <v/>
      </c>
      <c r="I1908" s="33">
        <f>IF(H1908="","",ROUND(MAX(0,H1908-8),2))</f>
        <v/>
      </c>
      <c r="J1908" s="33">
        <f>IF(OR(E1908="",F1908=""),"",ROUND(IF(MOD(F1908,1)&gt;=TIME(22,0,0),(MOD(F1908,1)-TIME(22,0,0))*24,IF(MOD(F1908,1)&lt;TIME(6,0,0),(MOD(F1908,1)+1-TIME(22,0,0))*24,0)),2))</f>
        <v/>
      </c>
      <c r="K1908" s="33">
        <f>IF(H1908="","",ROUND(IF(L1908="휴일근로",MIN(H1908,8)*1.5+MAX(0,H1908-8)*2,I1908*1.5)+N(J1908)*0.5,2))</f>
        <v/>
      </c>
      <c r="L1908" s="18" t="n"/>
      <c r="M1908" s="18" t="n"/>
      <c r="N1908" s="22" t="n"/>
    </row>
    <row r="1909">
      <c r="A1909" s="19" t="n"/>
      <c r="B1909" s="25">
        <f>IF(A1909="","",CHOOSE(WEEKDAY(A1909,2),"월","화","수","목","금","토","일"))</f>
        <v/>
      </c>
      <c r="C1909" s="18" t="n"/>
      <c r="D1909" s="25">
        <f>IFERROR(IF(C1909="","",INDEX(직원명부!$B$5:$B$24,MATCH(C1909,직원명부!$A$5:$A$24,0))),"사번 확인")</f>
        <v/>
      </c>
      <c r="E1909" s="34" t="n"/>
      <c r="F1909" s="34" t="n"/>
      <c r="G1909" s="28" t="n"/>
      <c r="H1909" s="33">
        <f>IF(OR(E1909="",F1909=""),"",ROUND(MOD(F1909-E1909,1)*24-N(G1909),2))</f>
        <v/>
      </c>
      <c r="I1909" s="33">
        <f>IF(H1909="","",ROUND(MAX(0,H1909-8),2))</f>
        <v/>
      </c>
      <c r="J1909" s="33">
        <f>IF(OR(E1909="",F1909=""),"",ROUND(IF(MOD(F1909,1)&gt;=TIME(22,0,0),(MOD(F1909,1)-TIME(22,0,0))*24,IF(MOD(F1909,1)&lt;TIME(6,0,0),(MOD(F1909,1)+1-TIME(22,0,0))*24,0)),2))</f>
        <v/>
      </c>
      <c r="K1909" s="33">
        <f>IF(H1909="","",ROUND(IF(L1909="휴일근로",MIN(H1909,8)*1.5+MAX(0,H1909-8)*2,I1909*1.5)+N(J1909)*0.5,2))</f>
        <v/>
      </c>
      <c r="L1909" s="18" t="n"/>
      <c r="M1909" s="18" t="n"/>
      <c r="N1909" s="22" t="n"/>
    </row>
    <row r="1910">
      <c r="A1910" s="19" t="n"/>
      <c r="B1910" s="25">
        <f>IF(A1910="","",CHOOSE(WEEKDAY(A1910,2),"월","화","수","목","금","토","일"))</f>
        <v/>
      </c>
      <c r="C1910" s="18" t="n"/>
      <c r="D1910" s="25">
        <f>IFERROR(IF(C1910="","",INDEX(직원명부!$B$5:$B$24,MATCH(C1910,직원명부!$A$5:$A$24,0))),"사번 확인")</f>
        <v/>
      </c>
      <c r="E1910" s="34" t="n"/>
      <c r="F1910" s="34" t="n"/>
      <c r="G1910" s="28" t="n"/>
      <c r="H1910" s="33">
        <f>IF(OR(E1910="",F1910=""),"",ROUND(MOD(F1910-E1910,1)*24-N(G1910),2))</f>
        <v/>
      </c>
      <c r="I1910" s="33">
        <f>IF(H1910="","",ROUND(MAX(0,H1910-8),2))</f>
        <v/>
      </c>
      <c r="J1910" s="33">
        <f>IF(OR(E1910="",F1910=""),"",ROUND(IF(MOD(F1910,1)&gt;=TIME(22,0,0),(MOD(F1910,1)-TIME(22,0,0))*24,IF(MOD(F1910,1)&lt;TIME(6,0,0),(MOD(F1910,1)+1-TIME(22,0,0))*24,0)),2))</f>
        <v/>
      </c>
      <c r="K1910" s="33">
        <f>IF(H1910="","",ROUND(IF(L1910="휴일근로",MIN(H1910,8)*1.5+MAX(0,H1910-8)*2,I1910*1.5)+N(J1910)*0.5,2))</f>
        <v/>
      </c>
      <c r="L1910" s="18" t="n"/>
      <c r="M1910" s="18" t="n"/>
      <c r="N1910" s="22" t="n"/>
    </row>
    <row r="1911">
      <c r="A1911" s="19" t="n"/>
      <c r="B1911" s="25">
        <f>IF(A1911="","",CHOOSE(WEEKDAY(A1911,2),"월","화","수","목","금","토","일"))</f>
        <v/>
      </c>
      <c r="C1911" s="18" t="n"/>
      <c r="D1911" s="25">
        <f>IFERROR(IF(C1911="","",INDEX(직원명부!$B$5:$B$24,MATCH(C1911,직원명부!$A$5:$A$24,0))),"사번 확인")</f>
        <v/>
      </c>
      <c r="E1911" s="34" t="n"/>
      <c r="F1911" s="34" t="n"/>
      <c r="G1911" s="28" t="n"/>
      <c r="H1911" s="33">
        <f>IF(OR(E1911="",F1911=""),"",ROUND(MOD(F1911-E1911,1)*24-N(G1911),2))</f>
        <v/>
      </c>
      <c r="I1911" s="33">
        <f>IF(H1911="","",ROUND(MAX(0,H1911-8),2))</f>
        <v/>
      </c>
      <c r="J1911" s="33">
        <f>IF(OR(E1911="",F1911=""),"",ROUND(IF(MOD(F1911,1)&gt;=TIME(22,0,0),(MOD(F1911,1)-TIME(22,0,0))*24,IF(MOD(F1911,1)&lt;TIME(6,0,0),(MOD(F1911,1)+1-TIME(22,0,0))*24,0)),2))</f>
        <v/>
      </c>
      <c r="K1911" s="33">
        <f>IF(H1911="","",ROUND(IF(L1911="휴일근로",MIN(H1911,8)*1.5+MAX(0,H1911-8)*2,I1911*1.5)+N(J1911)*0.5,2))</f>
        <v/>
      </c>
      <c r="L1911" s="18" t="n"/>
      <c r="M1911" s="18" t="n"/>
      <c r="N1911" s="22" t="n"/>
    </row>
    <row r="1912">
      <c r="A1912" s="19" t="n"/>
      <c r="B1912" s="25">
        <f>IF(A1912="","",CHOOSE(WEEKDAY(A1912,2),"월","화","수","목","금","토","일"))</f>
        <v/>
      </c>
      <c r="C1912" s="18" t="n"/>
      <c r="D1912" s="25">
        <f>IFERROR(IF(C1912="","",INDEX(직원명부!$B$5:$B$24,MATCH(C1912,직원명부!$A$5:$A$24,0))),"사번 확인")</f>
        <v/>
      </c>
      <c r="E1912" s="34" t="n"/>
      <c r="F1912" s="34" t="n"/>
      <c r="G1912" s="28" t="n"/>
      <c r="H1912" s="33">
        <f>IF(OR(E1912="",F1912=""),"",ROUND(MOD(F1912-E1912,1)*24-N(G1912),2))</f>
        <v/>
      </c>
      <c r="I1912" s="33">
        <f>IF(H1912="","",ROUND(MAX(0,H1912-8),2))</f>
        <v/>
      </c>
      <c r="J1912" s="33">
        <f>IF(OR(E1912="",F1912=""),"",ROUND(IF(MOD(F1912,1)&gt;=TIME(22,0,0),(MOD(F1912,1)-TIME(22,0,0))*24,IF(MOD(F1912,1)&lt;TIME(6,0,0),(MOD(F1912,1)+1-TIME(22,0,0))*24,0)),2))</f>
        <v/>
      </c>
      <c r="K1912" s="33">
        <f>IF(H1912="","",ROUND(IF(L1912="휴일근로",MIN(H1912,8)*1.5+MAX(0,H1912-8)*2,I1912*1.5)+N(J1912)*0.5,2))</f>
        <v/>
      </c>
      <c r="L1912" s="18" t="n"/>
      <c r="M1912" s="18" t="n"/>
      <c r="N1912" s="22" t="n"/>
    </row>
    <row r="1913">
      <c r="A1913" s="19" t="n"/>
      <c r="B1913" s="25">
        <f>IF(A1913="","",CHOOSE(WEEKDAY(A1913,2),"월","화","수","목","금","토","일"))</f>
        <v/>
      </c>
      <c r="C1913" s="18" t="n"/>
      <c r="D1913" s="25">
        <f>IFERROR(IF(C1913="","",INDEX(직원명부!$B$5:$B$24,MATCH(C1913,직원명부!$A$5:$A$24,0))),"사번 확인")</f>
        <v/>
      </c>
      <c r="E1913" s="34" t="n"/>
      <c r="F1913" s="34" t="n"/>
      <c r="G1913" s="28" t="n"/>
      <c r="H1913" s="33">
        <f>IF(OR(E1913="",F1913=""),"",ROUND(MOD(F1913-E1913,1)*24-N(G1913),2))</f>
        <v/>
      </c>
      <c r="I1913" s="33">
        <f>IF(H1913="","",ROUND(MAX(0,H1913-8),2))</f>
        <v/>
      </c>
      <c r="J1913" s="33">
        <f>IF(OR(E1913="",F1913=""),"",ROUND(IF(MOD(F1913,1)&gt;=TIME(22,0,0),(MOD(F1913,1)-TIME(22,0,0))*24,IF(MOD(F1913,1)&lt;TIME(6,0,0),(MOD(F1913,1)+1-TIME(22,0,0))*24,0)),2))</f>
        <v/>
      </c>
      <c r="K1913" s="33">
        <f>IF(H1913="","",ROUND(IF(L1913="휴일근로",MIN(H1913,8)*1.5+MAX(0,H1913-8)*2,I1913*1.5)+N(J1913)*0.5,2))</f>
        <v/>
      </c>
      <c r="L1913" s="18" t="n"/>
      <c r="M1913" s="18" t="n"/>
      <c r="N1913" s="22" t="n"/>
    </row>
    <row r="1914">
      <c r="A1914" s="19" t="n"/>
      <c r="B1914" s="25">
        <f>IF(A1914="","",CHOOSE(WEEKDAY(A1914,2),"월","화","수","목","금","토","일"))</f>
        <v/>
      </c>
      <c r="C1914" s="18" t="n"/>
      <c r="D1914" s="25">
        <f>IFERROR(IF(C1914="","",INDEX(직원명부!$B$5:$B$24,MATCH(C1914,직원명부!$A$5:$A$24,0))),"사번 확인")</f>
        <v/>
      </c>
      <c r="E1914" s="34" t="n"/>
      <c r="F1914" s="34" t="n"/>
      <c r="G1914" s="28" t="n"/>
      <c r="H1914" s="33">
        <f>IF(OR(E1914="",F1914=""),"",ROUND(MOD(F1914-E1914,1)*24-N(G1914),2))</f>
        <v/>
      </c>
      <c r="I1914" s="33">
        <f>IF(H1914="","",ROUND(MAX(0,H1914-8),2))</f>
        <v/>
      </c>
      <c r="J1914" s="33">
        <f>IF(OR(E1914="",F1914=""),"",ROUND(IF(MOD(F1914,1)&gt;=TIME(22,0,0),(MOD(F1914,1)-TIME(22,0,0))*24,IF(MOD(F1914,1)&lt;TIME(6,0,0),(MOD(F1914,1)+1-TIME(22,0,0))*24,0)),2))</f>
        <v/>
      </c>
      <c r="K1914" s="33">
        <f>IF(H1914="","",ROUND(IF(L1914="휴일근로",MIN(H1914,8)*1.5+MAX(0,H1914-8)*2,I1914*1.5)+N(J1914)*0.5,2))</f>
        <v/>
      </c>
      <c r="L1914" s="18" t="n"/>
      <c r="M1914" s="18" t="n"/>
      <c r="N1914" s="22" t="n"/>
    </row>
    <row r="1915">
      <c r="A1915" s="19" t="n"/>
      <c r="B1915" s="25">
        <f>IF(A1915="","",CHOOSE(WEEKDAY(A1915,2),"월","화","수","목","금","토","일"))</f>
        <v/>
      </c>
      <c r="C1915" s="18" t="n"/>
      <c r="D1915" s="25">
        <f>IFERROR(IF(C1915="","",INDEX(직원명부!$B$5:$B$24,MATCH(C1915,직원명부!$A$5:$A$24,0))),"사번 확인")</f>
        <v/>
      </c>
      <c r="E1915" s="34" t="n"/>
      <c r="F1915" s="34" t="n"/>
      <c r="G1915" s="28" t="n"/>
      <c r="H1915" s="33">
        <f>IF(OR(E1915="",F1915=""),"",ROUND(MOD(F1915-E1915,1)*24-N(G1915),2))</f>
        <v/>
      </c>
      <c r="I1915" s="33">
        <f>IF(H1915="","",ROUND(MAX(0,H1915-8),2))</f>
        <v/>
      </c>
      <c r="J1915" s="33">
        <f>IF(OR(E1915="",F1915=""),"",ROUND(IF(MOD(F1915,1)&gt;=TIME(22,0,0),(MOD(F1915,1)-TIME(22,0,0))*24,IF(MOD(F1915,1)&lt;TIME(6,0,0),(MOD(F1915,1)+1-TIME(22,0,0))*24,0)),2))</f>
        <v/>
      </c>
      <c r="K1915" s="33">
        <f>IF(H1915="","",ROUND(IF(L1915="휴일근로",MIN(H1915,8)*1.5+MAX(0,H1915-8)*2,I1915*1.5)+N(J1915)*0.5,2))</f>
        <v/>
      </c>
      <c r="L1915" s="18" t="n"/>
      <c r="M1915" s="18" t="n"/>
      <c r="N1915" s="22" t="n"/>
    </row>
    <row r="1916">
      <c r="A1916" s="19" t="n"/>
      <c r="B1916" s="25">
        <f>IF(A1916="","",CHOOSE(WEEKDAY(A1916,2),"월","화","수","목","금","토","일"))</f>
        <v/>
      </c>
      <c r="C1916" s="18" t="n"/>
      <c r="D1916" s="25">
        <f>IFERROR(IF(C1916="","",INDEX(직원명부!$B$5:$B$24,MATCH(C1916,직원명부!$A$5:$A$24,0))),"사번 확인")</f>
        <v/>
      </c>
      <c r="E1916" s="34" t="n"/>
      <c r="F1916" s="34" t="n"/>
      <c r="G1916" s="28" t="n"/>
      <c r="H1916" s="33">
        <f>IF(OR(E1916="",F1916=""),"",ROUND(MOD(F1916-E1916,1)*24-N(G1916),2))</f>
        <v/>
      </c>
      <c r="I1916" s="33">
        <f>IF(H1916="","",ROUND(MAX(0,H1916-8),2))</f>
        <v/>
      </c>
      <c r="J1916" s="33">
        <f>IF(OR(E1916="",F1916=""),"",ROUND(IF(MOD(F1916,1)&gt;=TIME(22,0,0),(MOD(F1916,1)-TIME(22,0,0))*24,IF(MOD(F1916,1)&lt;TIME(6,0,0),(MOD(F1916,1)+1-TIME(22,0,0))*24,0)),2))</f>
        <v/>
      </c>
      <c r="K1916" s="33">
        <f>IF(H1916="","",ROUND(IF(L1916="휴일근로",MIN(H1916,8)*1.5+MAX(0,H1916-8)*2,I1916*1.5)+N(J1916)*0.5,2))</f>
        <v/>
      </c>
      <c r="L1916" s="18" t="n"/>
      <c r="M1916" s="18" t="n"/>
      <c r="N1916" s="22" t="n"/>
    </row>
    <row r="1917">
      <c r="A1917" s="19" t="n"/>
      <c r="B1917" s="25">
        <f>IF(A1917="","",CHOOSE(WEEKDAY(A1917,2),"월","화","수","목","금","토","일"))</f>
        <v/>
      </c>
      <c r="C1917" s="18" t="n"/>
      <c r="D1917" s="25">
        <f>IFERROR(IF(C1917="","",INDEX(직원명부!$B$5:$B$24,MATCH(C1917,직원명부!$A$5:$A$24,0))),"사번 확인")</f>
        <v/>
      </c>
      <c r="E1917" s="34" t="n"/>
      <c r="F1917" s="34" t="n"/>
      <c r="G1917" s="28" t="n"/>
      <c r="H1917" s="33">
        <f>IF(OR(E1917="",F1917=""),"",ROUND(MOD(F1917-E1917,1)*24-N(G1917),2))</f>
        <v/>
      </c>
      <c r="I1917" s="33">
        <f>IF(H1917="","",ROUND(MAX(0,H1917-8),2))</f>
        <v/>
      </c>
      <c r="J1917" s="33">
        <f>IF(OR(E1917="",F1917=""),"",ROUND(IF(MOD(F1917,1)&gt;=TIME(22,0,0),(MOD(F1917,1)-TIME(22,0,0))*24,IF(MOD(F1917,1)&lt;TIME(6,0,0),(MOD(F1917,1)+1-TIME(22,0,0))*24,0)),2))</f>
        <v/>
      </c>
      <c r="K1917" s="33">
        <f>IF(H1917="","",ROUND(IF(L1917="휴일근로",MIN(H1917,8)*1.5+MAX(0,H1917-8)*2,I1917*1.5)+N(J1917)*0.5,2))</f>
        <v/>
      </c>
      <c r="L1917" s="18" t="n"/>
      <c r="M1917" s="18" t="n"/>
      <c r="N1917" s="22" t="n"/>
    </row>
    <row r="1918">
      <c r="A1918" s="19" t="n"/>
      <c r="B1918" s="25">
        <f>IF(A1918="","",CHOOSE(WEEKDAY(A1918,2),"월","화","수","목","금","토","일"))</f>
        <v/>
      </c>
      <c r="C1918" s="18" t="n"/>
      <c r="D1918" s="25">
        <f>IFERROR(IF(C1918="","",INDEX(직원명부!$B$5:$B$24,MATCH(C1918,직원명부!$A$5:$A$24,0))),"사번 확인")</f>
        <v/>
      </c>
      <c r="E1918" s="34" t="n"/>
      <c r="F1918" s="34" t="n"/>
      <c r="G1918" s="28" t="n"/>
      <c r="H1918" s="33">
        <f>IF(OR(E1918="",F1918=""),"",ROUND(MOD(F1918-E1918,1)*24-N(G1918),2))</f>
        <v/>
      </c>
      <c r="I1918" s="33">
        <f>IF(H1918="","",ROUND(MAX(0,H1918-8),2))</f>
        <v/>
      </c>
      <c r="J1918" s="33">
        <f>IF(OR(E1918="",F1918=""),"",ROUND(IF(MOD(F1918,1)&gt;=TIME(22,0,0),(MOD(F1918,1)-TIME(22,0,0))*24,IF(MOD(F1918,1)&lt;TIME(6,0,0),(MOD(F1918,1)+1-TIME(22,0,0))*24,0)),2))</f>
        <v/>
      </c>
      <c r="K1918" s="33">
        <f>IF(H1918="","",ROUND(IF(L1918="휴일근로",MIN(H1918,8)*1.5+MAX(0,H1918-8)*2,I1918*1.5)+N(J1918)*0.5,2))</f>
        <v/>
      </c>
      <c r="L1918" s="18" t="n"/>
      <c r="M1918" s="18" t="n"/>
      <c r="N1918" s="22" t="n"/>
    </row>
    <row r="1919">
      <c r="A1919" s="19" t="n"/>
      <c r="B1919" s="25">
        <f>IF(A1919="","",CHOOSE(WEEKDAY(A1919,2),"월","화","수","목","금","토","일"))</f>
        <v/>
      </c>
      <c r="C1919" s="18" t="n"/>
      <c r="D1919" s="25">
        <f>IFERROR(IF(C1919="","",INDEX(직원명부!$B$5:$B$24,MATCH(C1919,직원명부!$A$5:$A$24,0))),"사번 확인")</f>
        <v/>
      </c>
      <c r="E1919" s="34" t="n"/>
      <c r="F1919" s="34" t="n"/>
      <c r="G1919" s="28" t="n"/>
      <c r="H1919" s="33">
        <f>IF(OR(E1919="",F1919=""),"",ROUND(MOD(F1919-E1919,1)*24-N(G1919),2))</f>
        <v/>
      </c>
      <c r="I1919" s="33">
        <f>IF(H1919="","",ROUND(MAX(0,H1919-8),2))</f>
        <v/>
      </c>
      <c r="J1919" s="33">
        <f>IF(OR(E1919="",F1919=""),"",ROUND(IF(MOD(F1919,1)&gt;=TIME(22,0,0),(MOD(F1919,1)-TIME(22,0,0))*24,IF(MOD(F1919,1)&lt;TIME(6,0,0),(MOD(F1919,1)+1-TIME(22,0,0))*24,0)),2))</f>
        <v/>
      </c>
      <c r="K1919" s="33">
        <f>IF(H1919="","",ROUND(IF(L1919="휴일근로",MIN(H1919,8)*1.5+MAX(0,H1919-8)*2,I1919*1.5)+N(J1919)*0.5,2))</f>
        <v/>
      </c>
      <c r="L1919" s="18" t="n"/>
      <c r="M1919" s="18" t="n"/>
      <c r="N1919" s="22" t="n"/>
    </row>
    <row r="1920">
      <c r="A1920" s="19" t="n"/>
      <c r="B1920" s="25">
        <f>IF(A1920="","",CHOOSE(WEEKDAY(A1920,2),"월","화","수","목","금","토","일"))</f>
        <v/>
      </c>
      <c r="C1920" s="18" t="n"/>
      <c r="D1920" s="25">
        <f>IFERROR(IF(C1920="","",INDEX(직원명부!$B$5:$B$24,MATCH(C1920,직원명부!$A$5:$A$24,0))),"사번 확인")</f>
        <v/>
      </c>
      <c r="E1920" s="34" t="n"/>
      <c r="F1920" s="34" t="n"/>
      <c r="G1920" s="28" t="n"/>
      <c r="H1920" s="33">
        <f>IF(OR(E1920="",F1920=""),"",ROUND(MOD(F1920-E1920,1)*24-N(G1920),2))</f>
        <v/>
      </c>
      <c r="I1920" s="33">
        <f>IF(H1920="","",ROUND(MAX(0,H1920-8),2))</f>
        <v/>
      </c>
      <c r="J1920" s="33">
        <f>IF(OR(E1920="",F1920=""),"",ROUND(IF(MOD(F1920,1)&gt;=TIME(22,0,0),(MOD(F1920,1)-TIME(22,0,0))*24,IF(MOD(F1920,1)&lt;TIME(6,0,0),(MOD(F1920,1)+1-TIME(22,0,0))*24,0)),2))</f>
        <v/>
      </c>
      <c r="K1920" s="33">
        <f>IF(H1920="","",ROUND(IF(L1920="휴일근로",MIN(H1920,8)*1.5+MAX(0,H1920-8)*2,I1920*1.5)+N(J1920)*0.5,2))</f>
        <v/>
      </c>
      <c r="L1920" s="18" t="n"/>
      <c r="M1920" s="18" t="n"/>
      <c r="N1920" s="22" t="n"/>
    </row>
    <row r="1921">
      <c r="A1921" s="19" t="n"/>
      <c r="B1921" s="25">
        <f>IF(A1921="","",CHOOSE(WEEKDAY(A1921,2),"월","화","수","목","금","토","일"))</f>
        <v/>
      </c>
      <c r="C1921" s="18" t="n"/>
      <c r="D1921" s="25">
        <f>IFERROR(IF(C1921="","",INDEX(직원명부!$B$5:$B$24,MATCH(C1921,직원명부!$A$5:$A$24,0))),"사번 확인")</f>
        <v/>
      </c>
      <c r="E1921" s="34" t="n"/>
      <c r="F1921" s="34" t="n"/>
      <c r="G1921" s="28" t="n"/>
      <c r="H1921" s="33">
        <f>IF(OR(E1921="",F1921=""),"",ROUND(MOD(F1921-E1921,1)*24-N(G1921),2))</f>
        <v/>
      </c>
      <c r="I1921" s="33">
        <f>IF(H1921="","",ROUND(MAX(0,H1921-8),2))</f>
        <v/>
      </c>
      <c r="J1921" s="33">
        <f>IF(OR(E1921="",F1921=""),"",ROUND(IF(MOD(F1921,1)&gt;=TIME(22,0,0),(MOD(F1921,1)-TIME(22,0,0))*24,IF(MOD(F1921,1)&lt;TIME(6,0,0),(MOD(F1921,1)+1-TIME(22,0,0))*24,0)),2))</f>
        <v/>
      </c>
      <c r="K1921" s="33">
        <f>IF(H1921="","",ROUND(IF(L1921="휴일근로",MIN(H1921,8)*1.5+MAX(0,H1921-8)*2,I1921*1.5)+N(J1921)*0.5,2))</f>
        <v/>
      </c>
      <c r="L1921" s="18" t="n"/>
      <c r="M1921" s="18" t="n"/>
      <c r="N1921" s="22" t="n"/>
    </row>
    <row r="1922">
      <c r="A1922" s="19" t="n"/>
      <c r="B1922" s="25">
        <f>IF(A1922="","",CHOOSE(WEEKDAY(A1922,2),"월","화","수","목","금","토","일"))</f>
        <v/>
      </c>
      <c r="C1922" s="18" t="n"/>
      <c r="D1922" s="25">
        <f>IFERROR(IF(C1922="","",INDEX(직원명부!$B$5:$B$24,MATCH(C1922,직원명부!$A$5:$A$24,0))),"사번 확인")</f>
        <v/>
      </c>
      <c r="E1922" s="34" t="n"/>
      <c r="F1922" s="34" t="n"/>
      <c r="G1922" s="28" t="n"/>
      <c r="H1922" s="33">
        <f>IF(OR(E1922="",F1922=""),"",ROUND(MOD(F1922-E1922,1)*24-N(G1922),2))</f>
        <v/>
      </c>
      <c r="I1922" s="33">
        <f>IF(H1922="","",ROUND(MAX(0,H1922-8),2))</f>
        <v/>
      </c>
      <c r="J1922" s="33">
        <f>IF(OR(E1922="",F1922=""),"",ROUND(IF(MOD(F1922,1)&gt;=TIME(22,0,0),(MOD(F1922,1)-TIME(22,0,0))*24,IF(MOD(F1922,1)&lt;TIME(6,0,0),(MOD(F1922,1)+1-TIME(22,0,0))*24,0)),2))</f>
        <v/>
      </c>
      <c r="K1922" s="33">
        <f>IF(H1922="","",ROUND(IF(L1922="휴일근로",MIN(H1922,8)*1.5+MAX(0,H1922-8)*2,I1922*1.5)+N(J1922)*0.5,2))</f>
        <v/>
      </c>
      <c r="L1922" s="18" t="n"/>
      <c r="M1922" s="18" t="n"/>
      <c r="N1922" s="22" t="n"/>
    </row>
    <row r="1923">
      <c r="A1923" s="19" t="n"/>
      <c r="B1923" s="25">
        <f>IF(A1923="","",CHOOSE(WEEKDAY(A1923,2),"월","화","수","목","금","토","일"))</f>
        <v/>
      </c>
      <c r="C1923" s="18" t="n"/>
      <c r="D1923" s="25">
        <f>IFERROR(IF(C1923="","",INDEX(직원명부!$B$5:$B$24,MATCH(C1923,직원명부!$A$5:$A$24,0))),"사번 확인")</f>
        <v/>
      </c>
      <c r="E1923" s="34" t="n"/>
      <c r="F1923" s="34" t="n"/>
      <c r="G1923" s="28" t="n"/>
      <c r="H1923" s="33">
        <f>IF(OR(E1923="",F1923=""),"",ROUND(MOD(F1923-E1923,1)*24-N(G1923),2))</f>
        <v/>
      </c>
      <c r="I1923" s="33">
        <f>IF(H1923="","",ROUND(MAX(0,H1923-8),2))</f>
        <v/>
      </c>
      <c r="J1923" s="33">
        <f>IF(OR(E1923="",F1923=""),"",ROUND(IF(MOD(F1923,1)&gt;=TIME(22,0,0),(MOD(F1923,1)-TIME(22,0,0))*24,IF(MOD(F1923,1)&lt;TIME(6,0,0),(MOD(F1923,1)+1-TIME(22,0,0))*24,0)),2))</f>
        <v/>
      </c>
      <c r="K1923" s="33">
        <f>IF(H1923="","",ROUND(IF(L1923="휴일근로",MIN(H1923,8)*1.5+MAX(0,H1923-8)*2,I1923*1.5)+N(J1923)*0.5,2))</f>
        <v/>
      </c>
      <c r="L1923" s="18" t="n"/>
      <c r="M1923" s="18" t="n"/>
      <c r="N1923" s="22" t="n"/>
    </row>
    <row r="1924">
      <c r="A1924" s="19" t="n"/>
      <c r="B1924" s="25">
        <f>IF(A1924="","",CHOOSE(WEEKDAY(A1924,2),"월","화","수","목","금","토","일"))</f>
        <v/>
      </c>
      <c r="C1924" s="18" t="n"/>
      <c r="D1924" s="25">
        <f>IFERROR(IF(C1924="","",INDEX(직원명부!$B$5:$B$24,MATCH(C1924,직원명부!$A$5:$A$24,0))),"사번 확인")</f>
        <v/>
      </c>
      <c r="E1924" s="34" t="n"/>
      <c r="F1924" s="34" t="n"/>
      <c r="G1924" s="28" t="n"/>
      <c r="H1924" s="33">
        <f>IF(OR(E1924="",F1924=""),"",ROUND(MOD(F1924-E1924,1)*24-N(G1924),2))</f>
        <v/>
      </c>
      <c r="I1924" s="33">
        <f>IF(H1924="","",ROUND(MAX(0,H1924-8),2))</f>
        <v/>
      </c>
      <c r="J1924" s="33">
        <f>IF(OR(E1924="",F1924=""),"",ROUND(IF(MOD(F1924,1)&gt;=TIME(22,0,0),(MOD(F1924,1)-TIME(22,0,0))*24,IF(MOD(F1924,1)&lt;TIME(6,0,0),(MOD(F1924,1)+1-TIME(22,0,0))*24,0)),2))</f>
        <v/>
      </c>
      <c r="K1924" s="33">
        <f>IF(H1924="","",ROUND(IF(L1924="휴일근로",MIN(H1924,8)*1.5+MAX(0,H1924-8)*2,I1924*1.5)+N(J1924)*0.5,2))</f>
        <v/>
      </c>
      <c r="L1924" s="18" t="n"/>
      <c r="M1924" s="18" t="n"/>
      <c r="N1924" s="22" t="n"/>
    </row>
    <row r="1925">
      <c r="A1925" s="19" t="n"/>
      <c r="B1925" s="25">
        <f>IF(A1925="","",CHOOSE(WEEKDAY(A1925,2),"월","화","수","목","금","토","일"))</f>
        <v/>
      </c>
      <c r="C1925" s="18" t="n"/>
      <c r="D1925" s="25">
        <f>IFERROR(IF(C1925="","",INDEX(직원명부!$B$5:$B$24,MATCH(C1925,직원명부!$A$5:$A$24,0))),"사번 확인")</f>
        <v/>
      </c>
      <c r="E1925" s="34" t="n"/>
      <c r="F1925" s="34" t="n"/>
      <c r="G1925" s="28" t="n"/>
      <c r="H1925" s="33">
        <f>IF(OR(E1925="",F1925=""),"",ROUND(MOD(F1925-E1925,1)*24-N(G1925),2))</f>
        <v/>
      </c>
      <c r="I1925" s="33">
        <f>IF(H1925="","",ROUND(MAX(0,H1925-8),2))</f>
        <v/>
      </c>
      <c r="J1925" s="33">
        <f>IF(OR(E1925="",F1925=""),"",ROUND(IF(MOD(F1925,1)&gt;=TIME(22,0,0),(MOD(F1925,1)-TIME(22,0,0))*24,IF(MOD(F1925,1)&lt;TIME(6,0,0),(MOD(F1925,1)+1-TIME(22,0,0))*24,0)),2))</f>
        <v/>
      </c>
      <c r="K1925" s="33">
        <f>IF(H1925="","",ROUND(IF(L1925="휴일근로",MIN(H1925,8)*1.5+MAX(0,H1925-8)*2,I1925*1.5)+N(J1925)*0.5,2))</f>
        <v/>
      </c>
      <c r="L1925" s="18" t="n"/>
      <c r="M1925" s="18" t="n"/>
      <c r="N1925" s="22" t="n"/>
    </row>
    <row r="1926">
      <c r="A1926" s="19" t="n"/>
      <c r="B1926" s="25">
        <f>IF(A1926="","",CHOOSE(WEEKDAY(A1926,2),"월","화","수","목","금","토","일"))</f>
        <v/>
      </c>
      <c r="C1926" s="18" t="n"/>
      <c r="D1926" s="25">
        <f>IFERROR(IF(C1926="","",INDEX(직원명부!$B$5:$B$24,MATCH(C1926,직원명부!$A$5:$A$24,0))),"사번 확인")</f>
        <v/>
      </c>
      <c r="E1926" s="34" t="n"/>
      <c r="F1926" s="34" t="n"/>
      <c r="G1926" s="28" t="n"/>
      <c r="H1926" s="33">
        <f>IF(OR(E1926="",F1926=""),"",ROUND(MOD(F1926-E1926,1)*24-N(G1926),2))</f>
        <v/>
      </c>
      <c r="I1926" s="33">
        <f>IF(H1926="","",ROUND(MAX(0,H1926-8),2))</f>
        <v/>
      </c>
      <c r="J1926" s="33">
        <f>IF(OR(E1926="",F1926=""),"",ROUND(IF(MOD(F1926,1)&gt;=TIME(22,0,0),(MOD(F1926,1)-TIME(22,0,0))*24,IF(MOD(F1926,1)&lt;TIME(6,0,0),(MOD(F1926,1)+1-TIME(22,0,0))*24,0)),2))</f>
        <v/>
      </c>
      <c r="K1926" s="33">
        <f>IF(H1926="","",ROUND(IF(L1926="휴일근로",MIN(H1926,8)*1.5+MAX(0,H1926-8)*2,I1926*1.5)+N(J1926)*0.5,2))</f>
        <v/>
      </c>
      <c r="L1926" s="18" t="n"/>
      <c r="M1926" s="18" t="n"/>
      <c r="N1926" s="22" t="n"/>
    </row>
    <row r="1927">
      <c r="A1927" s="19" t="n"/>
      <c r="B1927" s="25">
        <f>IF(A1927="","",CHOOSE(WEEKDAY(A1927,2),"월","화","수","목","금","토","일"))</f>
        <v/>
      </c>
      <c r="C1927" s="18" t="n"/>
      <c r="D1927" s="25">
        <f>IFERROR(IF(C1927="","",INDEX(직원명부!$B$5:$B$24,MATCH(C1927,직원명부!$A$5:$A$24,0))),"사번 확인")</f>
        <v/>
      </c>
      <c r="E1927" s="34" t="n"/>
      <c r="F1927" s="34" t="n"/>
      <c r="G1927" s="28" t="n"/>
      <c r="H1927" s="33">
        <f>IF(OR(E1927="",F1927=""),"",ROUND(MOD(F1927-E1927,1)*24-N(G1927),2))</f>
        <v/>
      </c>
      <c r="I1927" s="33">
        <f>IF(H1927="","",ROUND(MAX(0,H1927-8),2))</f>
        <v/>
      </c>
      <c r="J1927" s="33">
        <f>IF(OR(E1927="",F1927=""),"",ROUND(IF(MOD(F1927,1)&gt;=TIME(22,0,0),(MOD(F1927,1)-TIME(22,0,0))*24,IF(MOD(F1927,1)&lt;TIME(6,0,0),(MOD(F1927,1)+1-TIME(22,0,0))*24,0)),2))</f>
        <v/>
      </c>
      <c r="K1927" s="33">
        <f>IF(H1927="","",ROUND(IF(L1927="휴일근로",MIN(H1927,8)*1.5+MAX(0,H1927-8)*2,I1927*1.5)+N(J1927)*0.5,2))</f>
        <v/>
      </c>
      <c r="L1927" s="18" t="n"/>
      <c r="M1927" s="18" t="n"/>
      <c r="N1927" s="22" t="n"/>
    </row>
    <row r="1928">
      <c r="A1928" s="19" t="n"/>
      <c r="B1928" s="25">
        <f>IF(A1928="","",CHOOSE(WEEKDAY(A1928,2),"월","화","수","목","금","토","일"))</f>
        <v/>
      </c>
      <c r="C1928" s="18" t="n"/>
      <c r="D1928" s="25">
        <f>IFERROR(IF(C1928="","",INDEX(직원명부!$B$5:$B$24,MATCH(C1928,직원명부!$A$5:$A$24,0))),"사번 확인")</f>
        <v/>
      </c>
      <c r="E1928" s="34" t="n"/>
      <c r="F1928" s="34" t="n"/>
      <c r="G1928" s="28" t="n"/>
      <c r="H1928" s="33">
        <f>IF(OR(E1928="",F1928=""),"",ROUND(MOD(F1928-E1928,1)*24-N(G1928),2))</f>
        <v/>
      </c>
      <c r="I1928" s="33">
        <f>IF(H1928="","",ROUND(MAX(0,H1928-8),2))</f>
        <v/>
      </c>
      <c r="J1928" s="33">
        <f>IF(OR(E1928="",F1928=""),"",ROUND(IF(MOD(F1928,1)&gt;=TIME(22,0,0),(MOD(F1928,1)-TIME(22,0,0))*24,IF(MOD(F1928,1)&lt;TIME(6,0,0),(MOD(F1928,1)+1-TIME(22,0,0))*24,0)),2))</f>
        <v/>
      </c>
      <c r="K1928" s="33">
        <f>IF(H1928="","",ROUND(IF(L1928="휴일근로",MIN(H1928,8)*1.5+MAX(0,H1928-8)*2,I1928*1.5)+N(J1928)*0.5,2))</f>
        <v/>
      </c>
      <c r="L1928" s="18" t="n"/>
      <c r="M1928" s="18" t="n"/>
      <c r="N1928" s="22" t="n"/>
    </row>
    <row r="1929">
      <c r="A1929" s="19" t="n"/>
      <c r="B1929" s="25">
        <f>IF(A1929="","",CHOOSE(WEEKDAY(A1929,2),"월","화","수","목","금","토","일"))</f>
        <v/>
      </c>
      <c r="C1929" s="18" t="n"/>
      <c r="D1929" s="25">
        <f>IFERROR(IF(C1929="","",INDEX(직원명부!$B$5:$B$24,MATCH(C1929,직원명부!$A$5:$A$24,0))),"사번 확인")</f>
        <v/>
      </c>
      <c r="E1929" s="34" t="n"/>
      <c r="F1929" s="34" t="n"/>
      <c r="G1929" s="28" t="n"/>
      <c r="H1929" s="33">
        <f>IF(OR(E1929="",F1929=""),"",ROUND(MOD(F1929-E1929,1)*24-N(G1929),2))</f>
        <v/>
      </c>
      <c r="I1929" s="33">
        <f>IF(H1929="","",ROUND(MAX(0,H1929-8),2))</f>
        <v/>
      </c>
      <c r="J1929" s="33">
        <f>IF(OR(E1929="",F1929=""),"",ROUND(IF(MOD(F1929,1)&gt;=TIME(22,0,0),(MOD(F1929,1)-TIME(22,0,0))*24,IF(MOD(F1929,1)&lt;TIME(6,0,0),(MOD(F1929,1)+1-TIME(22,0,0))*24,0)),2))</f>
        <v/>
      </c>
      <c r="K1929" s="33">
        <f>IF(H1929="","",ROUND(IF(L1929="휴일근로",MIN(H1929,8)*1.5+MAX(0,H1929-8)*2,I1929*1.5)+N(J1929)*0.5,2))</f>
        <v/>
      </c>
      <c r="L1929" s="18" t="n"/>
      <c r="M1929" s="18" t="n"/>
      <c r="N1929" s="22" t="n"/>
    </row>
    <row r="1930">
      <c r="A1930" s="19" t="n"/>
      <c r="B1930" s="25">
        <f>IF(A1930="","",CHOOSE(WEEKDAY(A1930,2),"월","화","수","목","금","토","일"))</f>
        <v/>
      </c>
      <c r="C1930" s="18" t="n"/>
      <c r="D1930" s="25">
        <f>IFERROR(IF(C1930="","",INDEX(직원명부!$B$5:$B$24,MATCH(C1930,직원명부!$A$5:$A$24,0))),"사번 확인")</f>
        <v/>
      </c>
      <c r="E1930" s="34" t="n"/>
      <c r="F1930" s="34" t="n"/>
      <c r="G1930" s="28" t="n"/>
      <c r="H1930" s="33">
        <f>IF(OR(E1930="",F1930=""),"",ROUND(MOD(F1930-E1930,1)*24-N(G1930),2))</f>
        <v/>
      </c>
      <c r="I1930" s="33">
        <f>IF(H1930="","",ROUND(MAX(0,H1930-8),2))</f>
        <v/>
      </c>
      <c r="J1930" s="33">
        <f>IF(OR(E1930="",F1930=""),"",ROUND(IF(MOD(F1930,1)&gt;=TIME(22,0,0),(MOD(F1930,1)-TIME(22,0,0))*24,IF(MOD(F1930,1)&lt;TIME(6,0,0),(MOD(F1930,1)+1-TIME(22,0,0))*24,0)),2))</f>
        <v/>
      </c>
      <c r="K1930" s="33">
        <f>IF(H1930="","",ROUND(IF(L1930="휴일근로",MIN(H1930,8)*1.5+MAX(0,H1930-8)*2,I1930*1.5)+N(J1930)*0.5,2))</f>
        <v/>
      </c>
      <c r="L1930" s="18" t="n"/>
      <c r="M1930" s="18" t="n"/>
      <c r="N1930" s="22" t="n"/>
    </row>
    <row r="1931">
      <c r="A1931" s="19" t="n"/>
      <c r="B1931" s="25">
        <f>IF(A1931="","",CHOOSE(WEEKDAY(A1931,2),"월","화","수","목","금","토","일"))</f>
        <v/>
      </c>
      <c r="C1931" s="18" t="n"/>
      <c r="D1931" s="25">
        <f>IFERROR(IF(C1931="","",INDEX(직원명부!$B$5:$B$24,MATCH(C1931,직원명부!$A$5:$A$24,0))),"사번 확인")</f>
        <v/>
      </c>
      <c r="E1931" s="34" t="n"/>
      <c r="F1931" s="34" t="n"/>
      <c r="G1931" s="28" t="n"/>
      <c r="H1931" s="33">
        <f>IF(OR(E1931="",F1931=""),"",ROUND(MOD(F1931-E1931,1)*24-N(G1931),2))</f>
        <v/>
      </c>
      <c r="I1931" s="33">
        <f>IF(H1931="","",ROUND(MAX(0,H1931-8),2))</f>
        <v/>
      </c>
      <c r="J1931" s="33">
        <f>IF(OR(E1931="",F1931=""),"",ROUND(IF(MOD(F1931,1)&gt;=TIME(22,0,0),(MOD(F1931,1)-TIME(22,0,0))*24,IF(MOD(F1931,1)&lt;TIME(6,0,0),(MOD(F1931,1)+1-TIME(22,0,0))*24,0)),2))</f>
        <v/>
      </c>
      <c r="K1931" s="33">
        <f>IF(H1931="","",ROUND(IF(L1931="휴일근로",MIN(H1931,8)*1.5+MAX(0,H1931-8)*2,I1931*1.5)+N(J1931)*0.5,2))</f>
        <v/>
      </c>
      <c r="L1931" s="18" t="n"/>
      <c r="M1931" s="18" t="n"/>
      <c r="N1931" s="22" t="n"/>
    </row>
    <row r="1932">
      <c r="A1932" s="19" t="n"/>
      <c r="B1932" s="25">
        <f>IF(A1932="","",CHOOSE(WEEKDAY(A1932,2),"월","화","수","목","금","토","일"))</f>
        <v/>
      </c>
      <c r="C1932" s="18" t="n"/>
      <c r="D1932" s="25">
        <f>IFERROR(IF(C1932="","",INDEX(직원명부!$B$5:$B$24,MATCH(C1932,직원명부!$A$5:$A$24,0))),"사번 확인")</f>
        <v/>
      </c>
      <c r="E1932" s="34" t="n"/>
      <c r="F1932" s="34" t="n"/>
      <c r="G1932" s="28" t="n"/>
      <c r="H1932" s="33">
        <f>IF(OR(E1932="",F1932=""),"",ROUND(MOD(F1932-E1932,1)*24-N(G1932),2))</f>
        <v/>
      </c>
      <c r="I1932" s="33">
        <f>IF(H1932="","",ROUND(MAX(0,H1932-8),2))</f>
        <v/>
      </c>
      <c r="J1932" s="33">
        <f>IF(OR(E1932="",F1932=""),"",ROUND(IF(MOD(F1932,1)&gt;=TIME(22,0,0),(MOD(F1932,1)-TIME(22,0,0))*24,IF(MOD(F1932,1)&lt;TIME(6,0,0),(MOD(F1932,1)+1-TIME(22,0,0))*24,0)),2))</f>
        <v/>
      </c>
      <c r="K1932" s="33">
        <f>IF(H1932="","",ROUND(IF(L1932="휴일근로",MIN(H1932,8)*1.5+MAX(0,H1932-8)*2,I1932*1.5)+N(J1932)*0.5,2))</f>
        <v/>
      </c>
      <c r="L1932" s="18" t="n"/>
      <c r="M1932" s="18" t="n"/>
      <c r="N1932" s="22" t="n"/>
    </row>
    <row r="1933">
      <c r="A1933" s="19" t="n"/>
      <c r="B1933" s="25">
        <f>IF(A1933="","",CHOOSE(WEEKDAY(A1933,2),"월","화","수","목","금","토","일"))</f>
        <v/>
      </c>
      <c r="C1933" s="18" t="n"/>
      <c r="D1933" s="25">
        <f>IFERROR(IF(C1933="","",INDEX(직원명부!$B$5:$B$24,MATCH(C1933,직원명부!$A$5:$A$24,0))),"사번 확인")</f>
        <v/>
      </c>
      <c r="E1933" s="34" t="n"/>
      <c r="F1933" s="34" t="n"/>
      <c r="G1933" s="28" t="n"/>
      <c r="H1933" s="33">
        <f>IF(OR(E1933="",F1933=""),"",ROUND(MOD(F1933-E1933,1)*24-N(G1933),2))</f>
        <v/>
      </c>
      <c r="I1933" s="33">
        <f>IF(H1933="","",ROUND(MAX(0,H1933-8),2))</f>
        <v/>
      </c>
      <c r="J1933" s="33">
        <f>IF(OR(E1933="",F1933=""),"",ROUND(IF(MOD(F1933,1)&gt;=TIME(22,0,0),(MOD(F1933,1)-TIME(22,0,0))*24,IF(MOD(F1933,1)&lt;TIME(6,0,0),(MOD(F1933,1)+1-TIME(22,0,0))*24,0)),2))</f>
        <v/>
      </c>
      <c r="K1933" s="33">
        <f>IF(H1933="","",ROUND(IF(L1933="휴일근로",MIN(H1933,8)*1.5+MAX(0,H1933-8)*2,I1933*1.5)+N(J1933)*0.5,2))</f>
        <v/>
      </c>
      <c r="L1933" s="18" t="n"/>
      <c r="M1933" s="18" t="n"/>
      <c r="N1933" s="22" t="n"/>
    </row>
    <row r="1934">
      <c r="A1934" s="19" t="n"/>
      <c r="B1934" s="25">
        <f>IF(A1934="","",CHOOSE(WEEKDAY(A1934,2),"월","화","수","목","금","토","일"))</f>
        <v/>
      </c>
      <c r="C1934" s="18" t="n"/>
      <c r="D1934" s="25">
        <f>IFERROR(IF(C1934="","",INDEX(직원명부!$B$5:$B$24,MATCH(C1934,직원명부!$A$5:$A$24,0))),"사번 확인")</f>
        <v/>
      </c>
      <c r="E1934" s="34" t="n"/>
      <c r="F1934" s="34" t="n"/>
      <c r="G1934" s="28" t="n"/>
      <c r="H1934" s="33">
        <f>IF(OR(E1934="",F1934=""),"",ROUND(MOD(F1934-E1934,1)*24-N(G1934),2))</f>
        <v/>
      </c>
      <c r="I1934" s="33">
        <f>IF(H1934="","",ROUND(MAX(0,H1934-8),2))</f>
        <v/>
      </c>
      <c r="J1934" s="33">
        <f>IF(OR(E1934="",F1934=""),"",ROUND(IF(MOD(F1934,1)&gt;=TIME(22,0,0),(MOD(F1934,1)-TIME(22,0,0))*24,IF(MOD(F1934,1)&lt;TIME(6,0,0),(MOD(F1934,1)+1-TIME(22,0,0))*24,0)),2))</f>
        <v/>
      </c>
      <c r="K1934" s="33">
        <f>IF(H1934="","",ROUND(IF(L1934="휴일근로",MIN(H1934,8)*1.5+MAX(0,H1934-8)*2,I1934*1.5)+N(J1934)*0.5,2))</f>
        <v/>
      </c>
      <c r="L1934" s="18" t="n"/>
      <c r="M1934" s="18" t="n"/>
      <c r="N1934" s="22" t="n"/>
    </row>
    <row r="1935">
      <c r="A1935" s="19" t="n"/>
      <c r="B1935" s="25">
        <f>IF(A1935="","",CHOOSE(WEEKDAY(A1935,2),"월","화","수","목","금","토","일"))</f>
        <v/>
      </c>
      <c r="C1935" s="18" t="n"/>
      <c r="D1935" s="25">
        <f>IFERROR(IF(C1935="","",INDEX(직원명부!$B$5:$B$24,MATCH(C1935,직원명부!$A$5:$A$24,0))),"사번 확인")</f>
        <v/>
      </c>
      <c r="E1935" s="34" t="n"/>
      <c r="F1935" s="34" t="n"/>
      <c r="G1935" s="28" t="n"/>
      <c r="H1935" s="33">
        <f>IF(OR(E1935="",F1935=""),"",ROUND(MOD(F1935-E1935,1)*24-N(G1935),2))</f>
        <v/>
      </c>
      <c r="I1935" s="33">
        <f>IF(H1935="","",ROUND(MAX(0,H1935-8),2))</f>
        <v/>
      </c>
      <c r="J1935" s="33">
        <f>IF(OR(E1935="",F1935=""),"",ROUND(IF(MOD(F1935,1)&gt;=TIME(22,0,0),(MOD(F1935,1)-TIME(22,0,0))*24,IF(MOD(F1935,1)&lt;TIME(6,0,0),(MOD(F1935,1)+1-TIME(22,0,0))*24,0)),2))</f>
        <v/>
      </c>
      <c r="K1935" s="33">
        <f>IF(H1935="","",ROUND(IF(L1935="휴일근로",MIN(H1935,8)*1.5+MAX(0,H1935-8)*2,I1935*1.5)+N(J1935)*0.5,2))</f>
        <v/>
      </c>
      <c r="L1935" s="18" t="n"/>
      <c r="M1935" s="18" t="n"/>
      <c r="N1935" s="22" t="n"/>
    </row>
    <row r="1936">
      <c r="A1936" s="19" t="n"/>
      <c r="B1936" s="25">
        <f>IF(A1936="","",CHOOSE(WEEKDAY(A1936,2),"월","화","수","목","금","토","일"))</f>
        <v/>
      </c>
      <c r="C1936" s="18" t="n"/>
      <c r="D1936" s="25">
        <f>IFERROR(IF(C1936="","",INDEX(직원명부!$B$5:$B$24,MATCH(C1936,직원명부!$A$5:$A$24,0))),"사번 확인")</f>
        <v/>
      </c>
      <c r="E1936" s="34" t="n"/>
      <c r="F1936" s="34" t="n"/>
      <c r="G1936" s="28" t="n"/>
      <c r="H1936" s="33">
        <f>IF(OR(E1936="",F1936=""),"",ROUND(MOD(F1936-E1936,1)*24-N(G1936),2))</f>
        <v/>
      </c>
      <c r="I1936" s="33">
        <f>IF(H1936="","",ROUND(MAX(0,H1936-8),2))</f>
        <v/>
      </c>
      <c r="J1936" s="33">
        <f>IF(OR(E1936="",F1936=""),"",ROUND(IF(MOD(F1936,1)&gt;=TIME(22,0,0),(MOD(F1936,1)-TIME(22,0,0))*24,IF(MOD(F1936,1)&lt;TIME(6,0,0),(MOD(F1936,1)+1-TIME(22,0,0))*24,0)),2))</f>
        <v/>
      </c>
      <c r="K1936" s="33">
        <f>IF(H1936="","",ROUND(IF(L1936="휴일근로",MIN(H1936,8)*1.5+MAX(0,H1936-8)*2,I1936*1.5)+N(J1936)*0.5,2))</f>
        <v/>
      </c>
      <c r="L1936" s="18" t="n"/>
      <c r="M1936" s="18" t="n"/>
      <c r="N1936" s="22" t="n"/>
    </row>
    <row r="1937">
      <c r="A1937" s="19" t="n"/>
      <c r="B1937" s="25">
        <f>IF(A1937="","",CHOOSE(WEEKDAY(A1937,2),"월","화","수","목","금","토","일"))</f>
        <v/>
      </c>
      <c r="C1937" s="18" t="n"/>
      <c r="D1937" s="25">
        <f>IFERROR(IF(C1937="","",INDEX(직원명부!$B$5:$B$24,MATCH(C1937,직원명부!$A$5:$A$24,0))),"사번 확인")</f>
        <v/>
      </c>
      <c r="E1937" s="34" t="n"/>
      <c r="F1937" s="34" t="n"/>
      <c r="G1937" s="28" t="n"/>
      <c r="H1937" s="33">
        <f>IF(OR(E1937="",F1937=""),"",ROUND(MOD(F1937-E1937,1)*24-N(G1937),2))</f>
        <v/>
      </c>
      <c r="I1937" s="33">
        <f>IF(H1937="","",ROUND(MAX(0,H1937-8),2))</f>
        <v/>
      </c>
      <c r="J1937" s="33">
        <f>IF(OR(E1937="",F1937=""),"",ROUND(IF(MOD(F1937,1)&gt;=TIME(22,0,0),(MOD(F1937,1)-TIME(22,0,0))*24,IF(MOD(F1937,1)&lt;TIME(6,0,0),(MOD(F1937,1)+1-TIME(22,0,0))*24,0)),2))</f>
        <v/>
      </c>
      <c r="K1937" s="33">
        <f>IF(H1937="","",ROUND(IF(L1937="휴일근로",MIN(H1937,8)*1.5+MAX(0,H1937-8)*2,I1937*1.5)+N(J1937)*0.5,2))</f>
        <v/>
      </c>
      <c r="L1937" s="18" t="n"/>
      <c r="M1937" s="18" t="n"/>
      <c r="N1937" s="22" t="n"/>
    </row>
    <row r="1938">
      <c r="A1938" s="19" t="n"/>
      <c r="B1938" s="25">
        <f>IF(A1938="","",CHOOSE(WEEKDAY(A1938,2),"월","화","수","목","금","토","일"))</f>
        <v/>
      </c>
      <c r="C1938" s="18" t="n"/>
      <c r="D1938" s="25">
        <f>IFERROR(IF(C1938="","",INDEX(직원명부!$B$5:$B$24,MATCH(C1938,직원명부!$A$5:$A$24,0))),"사번 확인")</f>
        <v/>
      </c>
      <c r="E1938" s="34" t="n"/>
      <c r="F1938" s="34" t="n"/>
      <c r="G1938" s="28" t="n"/>
      <c r="H1938" s="33">
        <f>IF(OR(E1938="",F1938=""),"",ROUND(MOD(F1938-E1938,1)*24-N(G1938),2))</f>
        <v/>
      </c>
      <c r="I1938" s="33">
        <f>IF(H1938="","",ROUND(MAX(0,H1938-8),2))</f>
        <v/>
      </c>
      <c r="J1938" s="33">
        <f>IF(OR(E1938="",F1938=""),"",ROUND(IF(MOD(F1938,1)&gt;=TIME(22,0,0),(MOD(F1938,1)-TIME(22,0,0))*24,IF(MOD(F1938,1)&lt;TIME(6,0,0),(MOD(F1938,1)+1-TIME(22,0,0))*24,0)),2))</f>
        <v/>
      </c>
      <c r="K1938" s="33">
        <f>IF(H1938="","",ROUND(IF(L1938="휴일근로",MIN(H1938,8)*1.5+MAX(0,H1938-8)*2,I1938*1.5)+N(J1938)*0.5,2))</f>
        <v/>
      </c>
      <c r="L1938" s="18" t="n"/>
      <c r="M1938" s="18" t="n"/>
      <c r="N1938" s="22" t="n"/>
    </row>
    <row r="1939">
      <c r="A1939" s="19" t="n"/>
      <c r="B1939" s="25">
        <f>IF(A1939="","",CHOOSE(WEEKDAY(A1939,2),"월","화","수","목","금","토","일"))</f>
        <v/>
      </c>
      <c r="C1939" s="18" t="n"/>
      <c r="D1939" s="25">
        <f>IFERROR(IF(C1939="","",INDEX(직원명부!$B$5:$B$24,MATCH(C1939,직원명부!$A$5:$A$24,0))),"사번 확인")</f>
        <v/>
      </c>
      <c r="E1939" s="34" t="n"/>
      <c r="F1939" s="34" t="n"/>
      <c r="G1939" s="28" t="n"/>
      <c r="H1939" s="33">
        <f>IF(OR(E1939="",F1939=""),"",ROUND(MOD(F1939-E1939,1)*24-N(G1939),2))</f>
        <v/>
      </c>
      <c r="I1939" s="33">
        <f>IF(H1939="","",ROUND(MAX(0,H1939-8),2))</f>
        <v/>
      </c>
      <c r="J1939" s="33">
        <f>IF(OR(E1939="",F1939=""),"",ROUND(IF(MOD(F1939,1)&gt;=TIME(22,0,0),(MOD(F1939,1)-TIME(22,0,0))*24,IF(MOD(F1939,1)&lt;TIME(6,0,0),(MOD(F1939,1)+1-TIME(22,0,0))*24,0)),2))</f>
        <v/>
      </c>
      <c r="K1939" s="33">
        <f>IF(H1939="","",ROUND(IF(L1939="휴일근로",MIN(H1939,8)*1.5+MAX(0,H1939-8)*2,I1939*1.5)+N(J1939)*0.5,2))</f>
        <v/>
      </c>
      <c r="L1939" s="18" t="n"/>
      <c r="M1939" s="18" t="n"/>
      <c r="N1939" s="22" t="n"/>
    </row>
    <row r="1940">
      <c r="A1940" s="19" t="n"/>
      <c r="B1940" s="25">
        <f>IF(A1940="","",CHOOSE(WEEKDAY(A1940,2),"월","화","수","목","금","토","일"))</f>
        <v/>
      </c>
      <c r="C1940" s="18" t="n"/>
      <c r="D1940" s="25">
        <f>IFERROR(IF(C1940="","",INDEX(직원명부!$B$5:$B$24,MATCH(C1940,직원명부!$A$5:$A$24,0))),"사번 확인")</f>
        <v/>
      </c>
      <c r="E1940" s="34" t="n"/>
      <c r="F1940" s="34" t="n"/>
      <c r="G1940" s="28" t="n"/>
      <c r="H1940" s="33">
        <f>IF(OR(E1940="",F1940=""),"",ROUND(MOD(F1940-E1940,1)*24-N(G1940),2))</f>
        <v/>
      </c>
      <c r="I1940" s="33">
        <f>IF(H1940="","",ROUND(MAX(0,H1940-8),2))</f>
        <v/>
      </c>
      <c r="J1940" s="33">
        <f>IF(OR(E1940="",F1940=""),"",ROUND(IF(MOD(F1940,1)&gt;=TIME(22,0,0),(MOD(F1940,1)-TIME(22,0,0))*24,IF(MOD(F1940,1)&lt;TIME(6,0,0),(MOD(F1940,1)+1-TIME(22,0,0))*24,0)),2))</f>
        <v/>
      </c>
      <c r="K1940" s="33">
        <f>IF(H1940="","",ROUND(IF(L1940="휴일근로",MIN(H1940,8)*1.5+MAX(0,H1940-8)*2,I1940*1.5)+N(J1940)*0.5,2))</f>
        <v/>
      </c>
      <c r="L1940" s="18" t="n"/>
      <c r="M1940" s="18" t="n"/>
      <c r="N1940" s="22" t="n"/>
    </row>
    <row r="1941">
      <c r="A1941" s="19" t="n"/>
      <c r="B1941" s="25">
        <f>IF(A1941="","",CHOOSE(WEEKDAY(A1941,2),"월","화","수","목","금","토","일"))</f>
        <v/>
      </c>
      <c r="C1941" s="18" t="n"/>
      <c r="D1941" s="25">
        <f>IFERROR(IF(C1941="","",INDEX(직원명부!$B$5:$B$24,MATCH(C1941,직원명부!$A$5:$A$24,0))),"사번 확인")</f>
        <v/>
      </c>
      <c r="E1941" s="34" t="n"/>
      <c r="F1941" s="34" t="n"/>
      <c r="G1941" s="28" t="n"/>
      <c r="H1941" s="33">
        <f>IF(OR(E1941="",F1941=""),"",ROUND(MOD(F1941-E1941,1)*24-N(G1941),2))</f>
        <v/>
      </c>
      <c r="I1941" s="33">
        <f>IF(H1941="","",ROUND(MAX(0,H1941-8),2))</f>
        <v/>
      </c>
      <c r="J1941" s="33">
        <f>IF(OR(E1941="",F1941=""),"",ROUND(IF(MOD(F1941,1)&gt;=TIME(22,0,0),(MOD(F1941,1)-TIME(22,0,0))*24,IF(MOD(F1941,1)&lt;TIME(6,0,0),(MOD(F1941,1)+1-TIME(22,0,0))*24,0)),2))</f>
        <v/>
      </c>
      <c r="K1941" s="33">
        <f>IF(H1941="","",ROUND(IF(L1941="휴일근로",MIN(H1941,8)*1.5+MAX(0,H1941-8)*2,I1941*1.5)+N(J1941)*0.5,2))</f>
        <v/>
      </c>
      <c r="L1941" s="18" t="n"/>
      <c r="M1941" s="18" t="n"/>
      <c r="N1941" s="22" t="n"/>
    </row>
    <row r="1942">
      <c r="A1942" s="19" t="n"/>
      <c r="B1942" s="25">
        <f>IF(A1942="","",CHOOSE(WEEKDAY(A1942,2),"월","화","수","목","금","토","일"))</f>
        <v/>
      </c>
      <c r="C1942" s="18" t="n"/>
      <c r="D1942" s="25">
        <f>IFERROR(IF(C1942="","",INDEX(직원명부!$B$5:$B$24,MATCH(C1942,직원명부!$A$5:$A$24,0))),"사번 확인")</f>
        <v/>
      </c>
      <c r="E1942" s="34" t="n"/>
      <c r="F1942" s="34" t="n"/>
      <c r="G1942" s="28" t="n"/>
      <c r="H1942" s="33">
        <f>IF(OR(E1942="",F1942=""),"",ROUND(MOD(F1942-E1942,1)*24-N(G1942),2))</f>
        <v/>
      </c>
      <c r="I1942" s="33">
        <f>IF(H1942="","",ROUND(MAX(0,H1942-8),2))</f>
        <v/>
      </c>
      <c r="J1942" s="33">
        <f>IF(OR(E1942="",F1942=""),"",ROUND(IF(MOD(F1942,1)&gt;=TIME(22,0,0),(MOD(F1942,1)-TIME(22,0,0))*24,IF(MOD(F1942,1)&lt;TIME(6,0,0),(MOD(F1942,1)+1-TIME(22,0,0))*24,0)),2))</f>
        <v/>
      </c>
      <c r="K1942" s="33">
        <f>IF(H1942="","",ROUND(IF(L1942="휴일근로",MIN(H1942,8)*1.5+MAX(0,H1942-8)*2,I1942*1.5)+N(J1942)*0.5,2))</f>
        <v/>
      </c>
      <c r="L1942" s="18" t="n"/>
      <c r="M1942" s="18" t="n"/>
      <c r="N1942" s="22" t="n"/>
    </row>
    <row r="1943">
      <c r="A1943" s="19" t="n"/>
      <c r="B1943" s="25">
        <f>IF(A1943="","",CHOOSE(WEEKDAY(A1943,2),"월","화","수","목","금","토","일"))</f>
        <v/>
      </c>
      <c r="C1943" s="18" t="n"/>
      <c r="D1943" s="25">
        <f>IFERROR(IF(C1943="","",INDEX(직원명부!$B$5:$B$24,MATCH(C1943,직원명부!$A$5:$A$24,0))),"사번 확인")</f>
        <v/>
      </c>
      <c r="E1943" s="34" t="n"/>
      <c r="F1943" s="34" t="n"/>
      <c r="G1943" s="28" t="n"/>
      <c r="H1943" s="33">
        <f>IF(OR(E1943="",F1943=""),"",ROUND(MOD(F1943-E1943,1)*24-N(G1943),2))</f>
        <v/>
      </c>
      <c r="I1943" s="33">
        <f>IF(H1943="","",ROUND(MAX(0,H1943-8),2))</f>
        <v/>
      </c>
      <c r="J1943" s="33">
        <f>IF(OR(E1943="",F1943=""),"",ROUND(IF(MOD(F1943,1)&gt;=TIME(22,0,0),(MOD(F1943,1)-TIME(22,0,0))*24,IF(MOD(F1943,1)&lt;TIME(6,0,0),(MOD(F1943,1)+1-TIME(22,0,0))*24,0)),2))</f>
        <v/>
      </c>
      <c r="K1943" s="33">
        <f>IF(H1943="","",ROUND(IF(L1943="휴일근로",MIN(H1943,8)*1.5+MAX(0,H1943-8)*2,I1943*1.5)+N(J1943)*0.5,2))</f>
        <v/>
      </c>
      <c r="L1943" s="18" t="n"/>
      <c r="M1943" s="18" t="n"/>
      <c r="N1943" s="22" t="n"/>
    </row>
    <row r="1944">
      <c r="A1944" s="19" t="n"/>
      <c r="B1944" s="25">
        <f>IF(A1944="","",CHOOSE(WEEKDAY(A1944,2),"월","화","수","목","금","토","일"))</f>
        <v/>
      </c>
      <c r="C1944" s="18" t="n"/>
      <c r="D1944" s="25">
        <f>IFERROR(IF(C1944="","",INDEX(직원명부!$B$5:$B$24,MATCH(C1944,직원명부!$A$5:$A$24,0))),"사번 확인")</f>
        <v/>
      </c>
      <c r="E1944" s="34" t="n"/>
      <c r="F1944" s="34" t="n"/>
      <c r="G1944" s="28" t="n"/>
      <c r="H1944" s="33">
        <f>IF(OR(E1944="",F1944=""),"",ROUND(MOD(F1944-E1944,1)*24-N(G1944),2))</f>
        <v/>
      </c>
      <c r="I1944" s="33">
        <f>IF(H1944="","",ROUND(MAX(0,H1944-8),2))</f>
        <v/>
      </c>
      <c r="J1944" s="33">
        <f>IF(OR(E1944="",F1944=""),"",ROUND(IF(MOD(F1944,1)&gt;=TIME(22,0,0),(MOD(F1944,1)-TIME(22,0,0))*24,IF(MOD(F1944,1)&lt;TIME(6,0,0),(MOD(F1944,1)+1-TIME(22,0,0))*24,0)),2))</f>
        <v/>
      </c>
      <c r="K1944" s="33">
        <f>IF(H1944="","",ROUND(IF(L1944="휴일근로",MIN(H1944,8)*1.5+MAX(0,H1944-8)*2,I1944*1.5)+N(J1944)*0.5,2))</f>
        <v/>
      </c>
      <c r="L1944" s="18" t="n"/>
      <c r="M1944" s="18" t="n"/>
      <c r="N1944" s="22" t="n"/>
    </row>
    <row r="1945">
      <c r="A1945" s="19" t="n"/>
      <c r="B1945" s="25">
        <f>IF(A1945="","",CHOOSE(WEEKDAY(A1945,2),"월","화","수","목","금","토","일"))</f>
        <v/>
      </c>
      <c r="C1945" s="18" t="n"/>
      <c r="D1945" s="25">
        <f>IFERROR(IF(C1945="","",INDEX(직원명부!$B$5:$B$24,MATCH(C1945,직원명부!$A$5:$A$24,0))),"사번 확인")</f>
        <v/>
      </c>
      <c r="E1945" s="34" t="n"/>
      <c r="F1945" s="34" t="n"/>
      <c r="G1945" s="28" t="n"/>
      <c r="H1945" s="33">
        <f>IF(OR(E1945="",F1945=""),"",ROUND(MOD(F1945-E1945,1)*24-N(G1945),2))</f>
        <v/>
      </c>
      <c r="I1945" s="33">
        <f>IF(H1945="","",ROUND(MAX(0,H1945-8),2))</f>
        <v/>
      </c>
      <c r="J1945" s="33">
        <f>IF(OR(E1945="",F1945=""),"",ROUND(IF(MOD(F1945,1)&gt;=TIME(22,0,0),(MOD(F1945,1)-TIME(22,0,0))*24,IF(MOD(F1945,1)&lt;TIME(6,0,0),(MOD(F1945,1)+1-TIME(22,0,0))*24,0)),2))</f>
        <v/>
      </c>
      <c r="K1945" s="33">
        <f>IF(H1945="","",ROUND(IF(L1945="휴일근로",MIN(H1945,8)*1.5+MAX(0,H1945-8)*2,I1945*1.5)+N(J1945)*0.5,2))</f>
        <v/>
      </c>
      <c r="L1945" s="18" t="n"/>
      <c r="M1945" s="18" t="n"/>
      <c r="N1945" s="22" t="n"/>
    </row>
    <row r="1946">
      <c r="A1946" s="19" t="n"/>
      <c r="B1946" s="25">
        <f>IF(A1946="","",CHOOSE(WEEKDAY(A1946,2),"월","화","수","목","금","토","일"))</f>
        <v/>
      </c>
      <c r="C1946" s="18" t="n"/>
      <c r="D1946" s="25">
        <f>IFERROR(IF(C1946="","",INDEX(직원명부!$B$5:$B$24,MATCH(C1946,직원명부!$A$5:$A$24,0))),"사번 확인")</f>
        <v/>
      </c>
      <c r="E1946" s="34" t="n"/>
      <c r="F1946" s="34" t="n"/>
      <c r="G1946" s="28" t="n"/>
      <c r="H1946" s="33">
        <f>IF(OR(E1946="",F1946=""),"",ROUND(MOD(F1946-E1946,1)*24-N(G1946),2))</f>
        <v/>
      </c>
      <c r="I1946" s="33">
        <f>IF(H1946="","",ROUND(MAX(0,H1946-8),2))</f>
        <v/>
      </c>
      <c r="J1946" s="33">
        <f>IF(OR(E1946="",F1946=""),"",ROUND(IF(MOD(F1946,1)&gt;=TIME(22,0,0),(MOD(F1946,1)-TIME(22,0,0))*24,IF(MOD(F1946,1)&lt;TIME(6,0,0),(MOD(F1946,1)+1-TIME(22,0,0))*24,0)),2))</f>
        <v/>
      </c>
      <c r="K1946" s="33">
        <f>IF(H1946="","",ROUND(IF(L1946="휴일근로",MIN(H1946,8)*1.5+MAX(0,H1946-8)*2,I1946*1.5)+N(J1946)*0.5,2))</f>
        <v/>
      </c>
      <c r="L1946" s="18" t="n"/>
      <c r="M1946" s="18" t="n"/>
      <c r="N1946" s="22" t="n"/>
    </row>
    <row r="1947">
      <c r="A1947" s="19" t="n"/>
      <c r="B1947" s="25">
        <f>IF(A1947="","",CHOOSE(WEEKDAY(A1947,2),"월","화","수","목","금","토","일"))</f>
        <v/>
      </c>
      <c r="C1947" s="18" t="n"/>
      <c r="D1947" s="25">
        <f>IFERROR(IF(C1947="","",INDEX(직원명부!$B$5:$B$24,MATCH(C1947,직원명부!$A$5:$A$24,0))),"사번 확인")</f>
        <v/>
      </c>
      <c r="E1947" s="34" t="n"/>
      <c r="F1947" s="34" t="n"/>
      <c r="G1947" s="28" t="n"/>
      <c r="H1947" s="33">
        <f>IF(OR(E1947="",F1947=""),"",ROUND(MOD(F1947-E1947,1)*24-N(G1947),2))</f>
        <v/>
      </c>
      <c r="I1947" s="33">
        <f>IF(H1947="","",ROUND(MAX(0,H1947-8),2))</f>
        <v/>
      </c>
      <c r="J1947" s="33">
        <f>IF(OR(E1947="",F1947=""),"",ROUND(IF(MOD(F1947,1)&gt;=TIME(22,0,0),(MOD(F1947,1)-TIME(22,0,0))*24,IF(MOD(F1947,1)&lt;TIME(6,0,0),(MOD(F1947,1)+1-TIME(22,0,0))*24,0)),2))</f>
        <v/>
      </c>
      <c r="K1947" s="33">
        <f>IF(H1947="","",ROUND(IF(L1947="휴일근로",MIN(H1947,8)*1.5+MAX(0,H1947-8)*2,I1947*1.5)+N(J1947)*0.5,2))</f>
        <v/>
      </c>
      <c r="L1947" s="18" t="n"/>
      <c r="M1947" s="18" t="n"/>
      <c r="N1947" s="22" t="n"/>
    </row>
    <row r="1948">
      <c r="A1948" s="19" t="n"/>
      <c r="B1948" s="25">
        <f>IF(A1948="","",CHOOSE(WEEKDAY(A1948,2),"월","화","수","목","금","토","일"))</f>
        <v/>
      </c>
      <c r="C1948" s="18" t="n"/>
      <c r="D1948" s="25">
        <f>IFERROR(IF(C1948="","",INDEX(직원명부!$B$5:$B$24,MATCH(C1948,직원명부!$A$5:$A$24,0))),"사번 확인")</f>
        <v/>
      </c>
      <c r="E1948" s="34" t="n"/>
      <c r="F1948" s="34" t="n"/>
      <c r="G1948" s="28" t="n"/>
      <c r="H1948" s="33">
        <f>IF(OR(E1948="",F1948=""),"",ROUND(MOD(F1948-E1948,1)*24-N(G1948),2))</f>
        <v/>
      </c>
      <c r="I1948" s="33">
        <f>IF(H1948="","",ROUND(MAX(0,H1948-8),2))</f>
        <v/>
      </c>
      <c r="J1948" s="33">
        <f>IF(OR(E1948="",F1948=""),"",ROUND(IF(MOD(F1948,1)&gt;=TIME(22,0,0),(MOD(F1948,1)-TIME(22,0,0))*24,IF(MOD(F1948,1)&lt;TIME(6,0,0),(MOD(F1948,1)+1-TIME(22,0,0))*24,0)),2))</f>
        <v/>
      </c>
      <c r="K1948" s="33">
        <f>IF(H1948="","",ROUND(IF(L1948="휴일근로",MIN(H1948,8)*1.5+MAX(0,H1948-8)*2,I1948*1.5)+N(J1948)*0.5,2))</f>
        <v/>
      </c>
      <c r="L1948" s="18" t="n"/>
      <c r="M1948" s="18" t="n"/>
      <c r="N1948" s="22" t="n"/>
    </row>
    <row r="1949">
      <c r="A1949" s="19" t="n"/>
      <c r="B1949" s="25">
        <f>IF(A1949="","",CHOOSE(WEEKDAY(A1949,2),"월","화","수","목","금","토","일"))</f>
        <v/>
      </c>
      <c r="C1949" s="18" t="n"/>
      <c r="D1949" s="25">
        <f>IFERROR(IF(C1949="","",INDEX(직원명부!$B$5:$B$24,MATCH(C1949,직원명부!$A$5:$A$24,0))),"사번 확인")</f>
        <v/>
      </c>
      <c r="E1949" s="34" t="n"/>
      <c r="F1949" s="34" t="n"/>
      <c r="G1949" s="28" t="n"/>
      <c r="H1949" s="33">
        <f>IF(OR(E1949="",F1949=""),"",ROUND(MOD(F1949-E1949,1)*24-N(G1949),2))</f>
        <v/>
      </c>
      <c r="I1949" s="33">
        <f>IF(H1949="","",ROUND(MAX(0,H1949-8),2))</f>
        <v/>
      </c>
      <c r="J1949" s="33">
        <f>IF(OR(E1949="",F1949=""),"",ROUND(IF(MOD(F1949,1)&gt;=TIME(22,0,0),(MOD(F1949,1)-TIME(22,0,0))*24,IF(MOD(F1949,1)&lt;TIME(6,0,0),(MOD(F1949,1)+1-TIME(22,0,0))*24,0)),2))</f>
        <v/>
      </c>
      <c r="K1949" s="33">
        <f>IF(H1949="","",ROUND(IF(L1949="휴일근로",MIN(H1949,8)*1.5+MAX(0,H1949-8)*2,I1949*1.5)+N(J1949)*0.5,2))</f>
        <v/>
      </c>
      <c r="L1949" s="18" t="n"/>
      <c r="M1949" s="18" t="n"/>
      <c r="N1949" s="22" t="n"/>
    </row>
    <row r="1950">
      <c r="A1950" s="19" t="n"/>
      <c r="B1950" s="25">
        <f>IF(A1950="","",CHOOSE(WEEKDAY(A1950,2),"월","화","수","목","금","토","일"))</f>
        <v/>
      </c>
      <c r="C1950" s="18" t="n"/>
      <c r="D1950" s="25">
        <f>IFERROR(IF(C1950="","",INDEX(직원명부!$B$5:$B$24,MATCH(C1950,직원명부!$A$5:$A$24,0))),"사번 확인")</f>
        <v/>
      </c>
      <c r="E1950" s="34" t="n"/>
      <c r="F1950" s="34" t="n"/>
      <c r="G1950" s="28" t="n"/>
      <c r="H1950" s="33">
        <f>IF(OR(E1950="",F1950=""),"",ROUND(MOD(F1950-E1950,1)*24-N(G1950),2))</f>
        <v/>
      </c>
      <c r="I1950" s="33">
        <f>IF(H1950="","",ROUND(MAX(0,H1950-8),2))</f>
        <v/>
      </c>
      <c r="J1950" s="33">
        <f>IF(OR(E1950="",F1950=""),"",ROUND(IF(MOD(F1950,1)&gt;=TIME(22,0,0),(MOD(F1950,1)-TIME(22,0,0))*24,IF(MOD(F1950,1)&lt;TIME(6,0,0),(MOD(F1950,1)+1-TIME(22,0,0))*24,0)),2))</f>
        <v/>
      </c>
      <c r="K1950" s="33">
        <f>IF(H1950="","",ROUND(IF(L1950="휴일근로",MIN(H1950,8)*1.5+MAX(0,H1950-8)*2,I1950*1.5)+N(J1950)*0.5,2))</f>
        <v/>
      </c>
      <c r="L1950" s="18" t="n"/>
      <c r="M1950" s="18" t="n"/>
      <c r="N1950" s="22" t="n"/>
    </row>
    <row r="1951">
      <c r="A1951" s="19" t="n"/>
      <c r="B1951" s="25">
        <f>IF(A1951="","",CHOOSE(WEEKDAY(A1951,2),"월","화","수","목","금","토","일"))</f>
        <v/>
      </c>
      <c r="C1951" s="18" t="n"/>
      <c r="D1951" s="25">
        <f>IFERROR(IF(C1951="","",INDEX(직원명부!$B$5:$B$24,MATCH(C1951,직원명부!$A$5:$A$24,0))),"사번 확인")</f>
        <v/>
      </c>
      <c r="E1951" s="34" t="n"/>
      <c r="F1951" s="34" t="n"/>
      <c r="G1951" s="28" t="n"/>
      <c r="H1951" s="33">
        <f>IF(OR(E1951="",F1951=""),"",ROUND(MOD(F1951-E1951,1)*24-N(G1951),2))</f>
        <v/>
      </c>
      <c r="I1951" s="33">
        <f>IF(H1951="","",ROUND(MAX(0,H1951-8),2))</f>
        <v/>
      </c>
      <c r="J1951" s="33">
        <f>IF(OR(E1951="",F1951=""),"",ROUND(IF(MOD(F1951,1)&gt;=TIME(22,0,0),(MOD(F1951,1)-TIME(22,0,0))*24,IF(MOD(F1951,1)&lt;TIME(6,0,0),(MOD(F1951,1)+1-TIME(22,0,0))*24,0)),2))</f>
        <v/>
      </c>
      <c r="K1951" s="33">
        <f>IF(H1951="","",ROUND(IF(L1951="휴일근로",MIN(H1951,8)*1.5+MAX(0,H1951-8)*2,I1951*1.5)+N(J1951)*0.5,2))</f>
        <v/>
      </c>
      <c r="L1951" s="18" t="n"/>
      <c r="M1951" s="18" t="n"/>
      <c r="N1951" s="22" t="n"/>
    </row>
    <row r="1952">
      <c r="A1952" s="19" t="n"/>
      <c r="B1952" s="25">
        <f>IF(A1952="","",CHOOSE(WEEKDAY(A1952,2),"월","화","수","목","금","토","일"))</f>
        <v/>
      </c>
      <c r="C1952" s="18" t="n"/>
      <c r="D1952" s="25">
        <f>IFERROR(IF(C1952="","",INDEX(직원명부!$B$5:$B$24,MATCH(C1952,직원명부!$A$5:$A$24,0))),"사번 확인")</f>
        <v/>
      </c>
      <c r="E1952" s="34" t="n"/>
      <c r="F1952" s="34" t="n"/>
      <c r="G1952" s="28" t="n"/>
      <c r="H1952" s="33">
        <f>IF(OR(E1952="",F1952=""),"",ROUND(MOD(F1952-E1952,1)*24-N(G1952),2))</f>
        <v/>
      </c>
      <c r="I1952" s="33">
        <f>IF(H1952="","",ROUND(MAX(0,H1952-8),2))</f>
        <v/>
      </c>
      <c r="J1952" s="33">
        <f>IF(OR(E1952="",F1952=""),"",ROUND(IF(MOD(F1952,1)&gt;=TIME(22,0,0),(MOD(F1952,1)-TIME(22,0,0))*24,IF(MOD(F1952,1)&lt;TIME(6,0,0),(MOD(F1952,1)+1-TIME(22,0,0))*24,0)),2))</f>
        <v/>
      </c>
      <c r="K1952" s="33">
        <f>IF(H1952="","",ROUND(IF(L1952="휴일근로",MIN(H1952,8)*1.5+MAX(0,H1952-8)*2,I1952*1.5)+N(J1952)*0.5,2))</f>
        <v/>
      </c>
      <c r="L1952" s="18" t="n"/>
      <c r="M1952" s="18" t="n"/>
      <c r="N1952" s="22" t="n"/>
    </row>
    <row r="1953">
      <c r="A1953" s="19" t="n"/>
      <c r="B1953" s="25">
        <f>IF(A1953="","",CHOOSE(WEEKDAY(A1953,2),"월","화","수","목","금","토","일"))</f>
        <v/>
      </c>
      <c r="C1953" s="18" t="n"/>
      <c r="D1953" s="25">
        <f>IFERROR(IF(C1953="","",INDEX(직원명부!$B$5:$B$24,MATCH(C1953,직원명부!$A$5:$A$24,0))),"사번 확인")</f>
        <v/>
      </c>
      <c r="E1953" s="34" t="n"/>
      <c r="F1953" s="34" t="n"/>
      <c r="G1953" s="28" t="n"/>
      <c r="H1953" s="33">
        <f>IF(OR(E1953="",F1953=""),"",ROUND(MOD(F1953-E1953,1)*24-N(G1953),2))</f>
        <v/>
      </c>
      <c r="I1953" s="33">
        <f>IF(H1953="","",ROUND(MAX(0,H1953-8),2))</f>
        <v/>
      </c>
      <c r="J1953" s="33">
        <f>IF(OR(E1953="",F1953=""),"",ROUND(IF(MOD(F1953,1)&gt;=TIME(22,0,0),(MOD(F1953,1)-TIME(22,0,0))*24,IF(MOD(F1953,1)&lt;TIME(6,0,0),(MOD(F1953,1)+1-TIME(22,0,0))*24,0)),2))</f>
        <v/>
      </c>
      <c r="K1953" s="33">
        <f>IF(H1953="","",ROUND(IF(L1953="휴일근로",MIN(H1953,8)*1.5+MAX(0,H1953-8)*2,I1953*1.5)+N(J1953)*0.5,2))</f>
        <v/>
      </c>
      <c r="L1953" s="18" t="n"/>
      <c r="M1953" s="18" t="n"/>
      <c r="N1953" s="22" t="n"/>
    </row>
    <row r="1954">
      <c r="A1954" s="19" t="n"/>
      <c r="B1954" s="25">
        <f>IF(A1954="","",CHOOSE(WEEKDAY(A1954,2),"월","화","수","목","금","토","일"))</f>
        <v/>
      </c>
      <c r="C1954" s="18" t="n"/>
      <c r="D1954" s="25">
        <f>IFERROR(IF(C1954="","",INDEX(직원명부!$B$5:$B$24,MATCH(C1954,직원명부!$A$5:$A$24,0))),"사번 확인")</f>
        <v/>
      </c>
      <c r="E1954" s="34" t="n"/>
      <c r="F1954" s="34" t="n"/>
      <c r="G1954" s="28" t="n"/>
      <c r="H1954" s="33">
        <f>IF(OR(E1954="",F1954=""),"",ROUND(MOD(F1954-E1954,1)*24-N(G1954),2))</f>
        <v/>
      </c>
      <c r="I1954" s="33">
        <f>IF(H1954="","",ROUND(MAX(0,H1954-8),2))</f>
        <v/>
      </c>
      <c r="J1954" s="33">
        <f>IF(OR(E1954="",F1954=""),"",ROUND(IF(MOD(F1954,1)&gt;=TIME(22,0,0),(MOD(F1954,1)-TIME(22,0,0))*24,IF(MOD(F1954,1)&lt;TIME(6,0,0),(MOD(F1954,1)+1-TIME(22,0,0))*24,0)),2))</f>
        <v/>
      </c>
      <c r="K1954" s="33">
        <f>IF(H1954="","",ROUND(IF(L1954="휴일근로",MIN(H1954,8)*1.5+MAX(0,H1954-8)*2,I1954*1.5)+N(J1954)*0.5,2))</f>
        <v/>
      </c>
      <c r="L1954" s="18" t="n"/>
      <c r="M1954" s="18" t="n"/>
      <c r="N1954" s="22" t="n"/>
    </row>
    <row r="1955">
      <c r="A1955" s="19" t="n"/>
      <c r="B1955" s="25">
        <f>IF(A1955="","",CHOOSE(WEEKDAY(A1955,2),"월","화","수","목","금","토","일"))</f>
        <v/>
      </c>
      <c r="C1955" s="18" t="n"/>
      <c r="D1955" s="25">
        <f>IFERROR(IF(C1955="","",INDEX(직원명부!$B$5:$B$24,MATCH(C1955,직원명부!$A$5:$A$24,0))),"사번 확인")</f>
        <v/>
      </c>
      <c r="E1955" s="34" t="n"/>
      <c r="F1955" s="34" t="n"/>
      <c r="G1955" s="28" t="n"/>
      <c r="H1955" s="33">
        <f>IF(OR(E1955="",F1955=""),"",ROUND(MOD(F1955-E1955,1)*24-N(G1955),2))</f>
        <v/>
      </c>
      <c r="I1955" s="33">
        <f>IF(H1955="","",ROUND(MAX(0,H1955-8),2))</f>
        <v/>
      </c>
      <c r="J1955" s="33">
        <f>IF(OR(E1955="",F1955=""),"",ROUND(IF(MOD(F1955,1)&gt;=TIME(22,0,0),(MOD(F1955,1)-TIME(22,0,0))*24,IF(MOD(F1955,1)&lt;TIME(6,0,0),(MOD(F1955,1)+1-TIME(22,0,0))*24,0)),2))</f>
        <v/>
      </c>
      <c r="K1955" s="33">
        <f>IF(H1955="","",ROUND(IF(L1955="휴일근로",MIN(H1955,8)*1.5+MAX(0,H1955-8)*2,I1955*1.5)+N(J1955)*0.5,2))</f>
        <v/>
      </c>
      <c r="L1955" s="18" t="n"/>
      <c r="M1955" s="18" t="n"/>
      <c r="N1955" s="22" t="n"/>
    </row>
    <row r="1956">
      <c r="A1956" s="19" t="n"/>
      <c r="B1956" s="25">
        <f>IF(A1956="","",CHOOSE(WEEKDAY(A1956,2),"월","화","수","목","금","토","일"))</f>
        <v/>
      </c>
      <c r="C1956" s="18" t="n"/>
      <c r="D1956" s="25">
        <f>IFERROR(IF(C1956="","",INDEX(직원명부!$B$5:$B$24,MATCH(C1956,직원명부!$A$5:$A$24,0))),"사번 확인")</f>
        <v/>
      </c>
      <c r="E1956" s="34" t="n"/>
      <c r="F1956" s="34" t="n"/>
      <c r="G1956" s="28" t="n"/>
      <c r="H1956" s="33">
        <f>IF(OR(E1956="",F1956=""),"",ROUND(MOD(F1956-E1956,1)*24-N(G1956),2))</f>
        <v/>
      </c>
      <c r="I1956" s="33">
        <f>IF(H1956="","",ROUND(MAX(0,H1956-8),2))</f>
        <v/>
      </c>
      <c r="J1956" s="33">
        <f>IF(OR(E1956="",F1956=""),"",ROUND(IF(MOD(F1956,1)&gt;=TIME(22,0,0),(MOD(F1956,1)-TIME(22,0,0))*24,IF(MOD(F1956,1)&lt;TIME(6,0,0),(MOD(F1956,1)+1-TIME(22,0,0))*24,0)),2))</f>
        <v/>
      </c>
      <c r="K1956" s="33">
        <f>IF(H1956="","",ROUND(IF(L1956="휴일근로",MIN(H1956,8)*1.5+MAX(0,H1956-8)*2,I1956*1.5)+N(J1956)*0.5,2))</f>
        <v/>
      </c>
      <c r="L1956" s="18" t="n"/>
      <c r="M1956" s="18" t="n"/>
      <c r="N1956" s="22" t="n"/>
    </row>
    <row r="1957">
      <c r="A1957" s="19" t="n"/>
      <c r="B1957" s="25">
        <f>IF(A1957="","",CHOOSE(WEEKDAY(A1957,2),"월","화","수","목","금","토","일"))</f>
        <v/>
      </c>
      <c r="C1957" s="18" t="n"/>
      <c r="D1957" s="25">
        <f>IFERROR(IF(C1957="","",INDEX(직원명부!$B$5:$B$24,MATCH(C1957,직원명부!$A$5:$A$24,0))),"사번 확인")</f>
        <v/>
      </c>
      <c r="E1957" s="34" t="n"/>
      <c r="F1957" s="34" t="n"/>
      <c r="G1957" s="28" t="n"/>
      <c r="H1957" s="33">
        <f>IF(OR(E1957="",F1957=""),"",ROUND(MOD(F1957-E1957,1)*24-N(G1957),2))</f>
        <v/>
      </c>
      <c r="I1957" s="33">
        <f>IF(H1957="","",ROUND(MAX(0,H1957-8),2))</f>
        <v/>
      </c>
      <c r="J1957" s="33">
        <f>IF(OR(E1957="",F1957=""),"",ROUND(IF(MOD(F1957,1)&gt;=TIME(22,0,0),(MOD(F1957,1)-TIME(22,0,0))*24,IF(MOD(F1957,1)&lt;TIME(6,0,0),(MOD(F1957,1)+1-TIME(22,0,0))*24,0)),2))</f>
        <v/>
      </c>
      <c r="K1957" s="33">
        <f>IF(H1957="","",ROUND(IF(L1957="휴일근로",MIN(H1957,8)*1.5+MAX(0,H1957-8)*2,I1957*1.5)+N(J1957)*0.5,2))</f>
        <v/>
      </c>
      <c r="L1957" s="18" t="n"/>
      <c r="M1957" s="18" t="n"/>
      <c r="N1957" s="22" t="n"/>
    </row>
    <row r="1958">
      <c r="A1958" s="19" t="n"/>
      <c r="B1958" s="25">
        <f>IF(A1958="","",CHOOSE(WEEKDAY(A1958,2),"월","화","수","목","금","토","일"))</f>
        <v/>
      </c>
      <c r="C1958" s="18" t="n"/>
      <c r="D1958" s="25">
        <f>IFERROR(IF(C1958="","",INDEX(직원명부!$B$5:$B$24,MATCH(C1958,직원명부!$A$5:$A$24,0))),"사번 확인")</f>
        <v/>
      </c>
      <c r="E1958" s="34" t="n"/>
      <c r="F1958" s="34" t="n"/>
      <c r="G1958" s="28" t="n"/>
      <c r="H1958" s="33">
        <f>IF(OR(E1958="",F1958=""),"",ROUND(MOD(F1958-E1958,1)*24-N(G1958),2))</f>
        <v/>
      </c>
      <c r="I1958" s="33">
        <f>IF(H1958="","",ROUND(MAX(0,H1958-8),2))</f>
        <v/>
      </c>
      <c r="J1958" s="33">
        <f>IF(OR(E1958="",F1958=""),"",ROUND(IF(MOD(F1958,1)&gt;=TIME(22,0,0),(MOD(F1958,1)-TIME(22,0,0))*24,IF(MOD(F1958,1)&lt;TIME(6,0,0),(MOD(F1958,1)+1-TIME(22,0,0))*24,0)),2))</f>
        <v/>
      </c>
      <c r="K1958" s="33">
        <f>IF(H1958="","",ROUND(IF(L1958="휴일근로",MIN(H1958,8)*1.5+MAX(0,H1958-8)*2,I1958*1.5)+N(J1958)*0.5,2))</f>
        <v/>
      </c>
      <c r="L1958" s="18" t="n"/>
      <c r="M1958" s="18" t="n"/>
      <c r="N1958" s="22" t="n"/>
    </row>
    <row r="1959">
      <c r="A1959" s="19" t="n"/>
      <c r="B1959" s="25">
        <f>IF(A1959="","",CHOOSE(WEEKDAY(A1959,2),"월","화","수","목","금","토","일"))</f>
        <v/>
      </c>
      <c r="C1959" s="18" t="n"/>
      <c r="D1959" s="25">
        <f>IFERROR(IF(C1959="","",INDEX(직원명부!$B$5:$B$24,MATCH(C1959,직원명부!$A$5:$A$24,0))),"사번 확인")</f>
        <v/>
      </c>
      <c r="E1959" s="34" t="n"/>
      <c r="F1959" s="34" t="n"/>
      <c r="G1959" s="28" t="n"/>
      <c r="H1959" s="33">
        <f>IF(OR(E1959="",F1959=""),"",ROUND(MOD(F1959-E1959,1)*24-N(G1959),2))</f>
        <v/>
      </c>
      <c r="I1959" s="33">
        <f>IF(H1959="","",ROUND(MAX(0,H1959-8),2))</f>
        <v/>
      </c>
      <c r="J1959" s="33">
        <f>IF(OR(E1959="",F1959=""),"",ROUND(IF(MOD(F1959,1)&gt;=TIME(22,0,0),(MOD(F1959,1)-TIME(22,0,0))*24,IF(MOD(F1959,1)&lt;TIME(6,0,0),(MOD(F1959,1)+1-TIME(22,0,0))*24,0)),2))</f>
        <v/>
      </c>
      <c r="K1959" s="33">
        <f>IF(H1959="","",ROUND(IF(L1959="휴일근로",MIN(H1959,8)*1.5+MAX(0,H1959-8)*2,I1959*1.5)+N(J1959)*0.5,2))</f>
        <v/>
      </c>
      <c r="L1959" s="18" t="n"/>
      <c r="M1959" s="18" t="n"/>
      <c r="N1959" s="22" t="n"/>
    </row>
    <row r="1960">
      <c r="A1960" s="19" t="n"/>
      <c r="B1960" s="25">
        <f>IF(A1960="","",CHOOSE(WEEKDAY(A1960,2),"월","화","수","목","금","토","일"))</f>
        <v/>
      </c>
      <c r="C1960" s="18" t="n"/>
      <c r="D1960" s="25">
        <f>IFERROR(IF(C1960="","",INDEX(직원명부!$B$5:$B$24,MATCH(C1960,직원명부!$A$5:$A$24,0))),"사번 확인")</f>
        <v/>
      </c>
      <c r="E1960" s="34" t="n"/>
      <c r="F1960" s="34" t="n"/>
      <c r="G1960" s="28" t="n"/>
      <c r="H1960" s="33">
        <f>IF(OR(E1960="",F1960=""),"",ROUND(MOD(F1960-E1960,1)*24-N(G1960),2))</f>
        <v/>
      </c>
      <c r="I1960" s="33">
        <f>IF(H1960="","",ROUND(MAX(0,H1960-8),2))</f>
        <v/>
      </c>
      <c r="J1960" s="33">
        <f>IF(OR(E1960="",F1960=""),"",ROUND(IF(MOD(F1960,1)&gt;=TIME(22,0,0),(MOD(F1960,1)-TIME(22,0,0))*24,IF(MOD(F1960,1)&lt;TIME(6,0,0),(MOD(F1960,1)+1-TIME(22,0,0))*24,0)),2))</f>
        <v/>
      </c>
      <c r="K1960" s="33">
        <f>IF(H1960="","",ROUND(IF(L1960="휴일근로",MIN(H1960,8)*1.5+MAX(0,H1960-8)*2,I1960*1.5)+N(J1960)*0.5,2))</f>
        <v/>
      </c>
      <c r="L1960" s="18" t="n"/>
      <c r="M1960" s="18" t="n"/>
      <c r="N1960" s="22" t="n"/>
    </row>
    <row r="1961">
      <c r="A1961" s="19" t="n"/>
      <c r="B1961" s="25">
        <f>IF(A1961="","",CHOOSE(WEEKDAY(A1961,2),"월","화","수","목","금","토","일"))</f>
        <v/>
      </c>
      <c r="C1961" s="18" t="n"/>
      <c r="D1961" s="25">
        <f>IFERROR(IF(C1961="","",INDEX(직원명부!$B$5:$B$24,MATCH(C1961,직원명부!$A$5:$A$24,0))),"사번 확인")</f>
        <v/>
      </c>
      <c r="E1961" s="34" t="n"/>
      <c r="F1961" s="34" t="n"/>
      <c r="G1961" s="28" t="n"/>
      <c r="H1961" s="33">
        <f>IF(OR(E1961="",F1961=""),"",ROUND(MOD(F1961-E1961,1)*24-N(G1961),2))</f>
        <v/>
      </c>
      <c r="I1961" s="33">
        <f>IF(H1961="","",ROUND(MAX(0,H1961-8),2))</f>
        <v/>
      </c>
      <c r="J1961" s="33">
        <f>IF(OR(E1961="",F1961=""),"",ROUND(IF(MOD(F1961,1)&gt;=TIME(22,0,0),(MOD(F1961,1)-TIME(22,0,0))*24,IF(MOD(F1961,1)&lt;TIME(6,0,0),(MOD(F1961,1)+1-TIME(22,0,0))*24,0)),2))</f>
        <v/>
      </c>
      <c r="K1961" s="33">
        <f>IF(H1961="","",ROUND(IF(L1961="휴일근로",MIN(H1961,8)*1.5+MAX(0,H1961-8)*2,I1961*1.5)+N(J1961)*0.5,2))</f>
        <v/>
      </c>
      <c r="L1961" s="18" t="n"/>
      <c r="M1961" s="18" t="n"/>
      <c r="N1961" s="22" t="n"/>
    </row>
    <row r="1962">
      <c r="A1962" s="19" t="n"/>
      <c r="B1962" s="25">
        <f>IF(A1962="","",CHOOSE(WEEKDAY(A1962,2),"월","화","수","목","금","토","일"))</f>
        <v/>
      </c>
      <c r="C1962" s="18" t="n"/>
      <c r="D1962" s="25">
        <f>IFERROR(IF(C1962="","",INDEX(직원명부!$B$5:$B$24,MATCH(C1962,직원명부!$A$5:$A$24,0))),"사번 확인")</f>
        <v/>
      </c>
      <c r="E1962" s="34" t="n"/>
      <c r="F1962" s="34" t="n"/>
      <c r="G1962" s="28" t="n"/>
      <c r="H1962" s="33">
        <f>IF(OR(E1962="",F1962=""),"",ROUND(MOD(F1962-E1962,1)*24-N(G1962),2))</f>
        <v/>
      </c>
      <c r="I1962" s="33">
        <f>IF(H1962="","",ROUND(MAX(0,H1962-8),2))</f>
        <v/>
      </c>
      <c r="J1962" s="33">
        <f>IF(OR(E1962="",F1962=""),"",ROUND(IF(MOD(F1962,1)&gt;=TIME(22,0,0),(MOD(F1962,1)-TIME(22,0,0))*24,IF(MOD(F1962,1)&lt;TIME(6,0,0),(MOD(F1962,1)+1-TIME(22,0,0))*24,0)),2))</f>
        <v/>
      </c>
      <c r="K1962" s="33">
        <f>IF(H1962="","",ROUND(IF(L1962="휴일근로",MIN(H1962,8)*1.5+MAX(0,H1962-8)*2,I1962*1.5)+N(J1962)*0.5,2))</f>
        <v/>
      </c>
      <c r="L1962" s="18" t="n"/>
      <c r="M1962" s="18" t="n"/>
      <c r="N1962" s="22" t="n"/>
    </row>
    <row r="1963">
      <c r="A1963" s="19" t="n"/>
      <c r="B1963" s="25">
        <f>IF(A1963="","",CHOOSE(WEEKDAY(A1963,2),"월","화","수","목","금","토","일"))</f>
        <v/>
      </c>
      <c r="C1963" s="18" t="n"/>
      <c r="D1963" s="25">
        <f>IFERROR(IF(C1963="","",INDEX(직원명부!$B$5:$B$24,MATCH(C1963,직원명부!$A$5:$A$24,0))),"사번 확인")</f>
        <v/>
      </c>
      <c r="E1963" s="34" t="n"/>
      <c r="F1963" s="34" t="n"/>
      <c r="G1963" s="28" t="n"/>
      <c r="H1963" s="33">
        <f>IF(OR(E1963="",F1963=""),"",ROUND(MOD(F1963-E1963,1)*24-N(G1963),2))</f>
        <v/>
      </c>
      <c r="I1963" s="33">
        <f>IF(H1963="","",ROUND(MAX(0,H1963-8),2))</f>
        <v/>
      </c>
      <c r="J1963" s="33">
        <f>IF(OR(E1963="",F1963=""),"",ROUND(IF(MOD(F1963,1)&gt;=TIME(22,0,0),(MOD(F1963,1)-TIME(22,0,0))*24,IF(MOD(F1963,1)&lt;TIME(6,0,0),(MOD(F1963,1)+1-TIME(22,0,0))*24,0)),2))</f>
        <v/>
      </c>
      <c r="K1963" s="33">
        <f>IF(H1963="","",ROUND(IF(L1963="휴일근로",MIN(H1963,8)*1.5+MAX(0,H1963-8)*2,I1963*1.5)+N(J1963)*0.5,2))</f>
        <v/>
      </c>
      <c r="L1963" s="18" t="n"/>
      <c r="M1963" s="18" t="n"/>
      <c r="N1963" s="22" t="n"/>
    </row>
    <row r="1964">
      <c r="A1964" s="19" t="n"/>
      <c r="B1964" s="25">
        <f>IF(A1964="","",CHOOSE(WEEKDAY(A1964,2),"월","화","수","목","금","토","일"))</f>
        <v/>
      </c>
      <c r="C1964" s="18" t="n"/>
      <c r="D1964" s="25">
        <f>IFERROR(IF(C1964="","",INDEX(직원명부!$B$5:$B$24,MATCH(C1964,직원명부!$A$5:$A$24,0))),"사번 확인")</f>
        <v/>
      </c>
      <c r="E1964" s="34" t="n"/>
      <c r="F1964" s="34" t="n"/>
      <c r="G1964" s="28" t="n"/>
      <c r="H1964" s="33">
        <f>IF(OR(E1964="",F1964=""),"",ROUND(MOD(F1964-E1964,1)*24-N(G1964),2))</f>
        <v/>
      </c>
      <c r="I1964" s="33">
        <f>IF(H1964="","",ROUND(MAX(0,H1964-8),2))</f>
        <v/>
      </c>
      <c r="J1964" s="33">
        <f>IF(OR(E1964="",F1964=""),"",ROUND(IF(MOD(F1964,1)&gt;=TIME(22,0,0),(MOD(F1964,1)-TIME(22,0,0))*24,IF(MOD(F1964,1)&lt;TIME(6,0,0),(MOD(F1964,1)+1-TIME(22,0,0))*24,0)),2))</f>
        <v/>
      </c>
      <c r="K1964" s="33">
        <f>IF(H1964="","",ROUND(IF(L1964="휴일근로",MIN(H1964,8)*1.5+MAX(0,H1964-8)*2,I1964*1.5)+N(J1964)*0.5,2))</f>
        <v/>
      </c>
      <c r="L1964" s="18" t="n"/>
      <c r="M1964" s="18" t="n"/>
      <c r="N1964" s="22" t="n"/>
    </row>
    <row r="1965">
      <c r="A1965" s="19" t="n"/>
      <c r="B1965" s="25">
        <f>IF(A1965="","",CHOOSE(WEEKDAY(A1965,2),"월","화","수","목","금","토","일"))</f>
        <v/>
      </c>
      <c r="C1965" s="18" t="n"/>
      <c r="D1965" s="25">
        <f>IFERROR(IF(C1965="","",INDEX(직원명부!$B$5:$B$24,MATCH(C1965,직원명부!$A$5:$A$24,0))),"사번 확인")</f>
        <v/>
      </c>
      <c r="E1965" s="34" t="n"/>
      <c r="F1965" s="34" t="n"/>
      <c r="G1965" s="28" t="n"/>
      <c r="H1965" s="33">
        <f>IF(OR(E1965="",F1965=""),"",ROUND(MOD(F1965-E1965,1)*24-N(G1965),2))</f>
        <v/>
      </c>
      <c r="I1965" s="33">
        <f>IF(H1965="","",ROUND(MAX(0,H1965-8),2))</f>
        <v/>
      </c>
      <c r="J1965" s="33">
        <f>IF(OR(E1965="",F1965=""),"",ROUND(IF(MOD(F1965,1)&gt;=TIME(22,0,0),(MOD(F1965,1)-TIME(22,0,0))*24,IF(MOD(F1965,1)&lt;TIME(6,0,0),(MOD(F1965,1)+1-TIME(22,0,0))*24,0)),2))</f>
        <v/>
      </c>
      <c r="K1965" s="33">
        <f>IF(H1965="","",ROUND(IF(L1965="휴일근로",MIN(H1965,8)*1.5+MAX(0,H1965-8)*2,I1965*1.5)+N(J1965)*0.5,2))</f>
        <v/>
      </c>
      <c r="L1965" s="18" t="n"/>
      <c r="M1965" s="18" t="n"/>
      <c r="N1965" s="22" t="n"/>
    </row>
    <row r="1966">
      <c r="A1966" s="19" t="n"/>
      <c r="B1966" s="25">
        <f>IF(A1966="","",CHOOSE(WEEKDAY(A1966,2),"월","화","수","목","금","토","일"))</f>
        <v/>
      </c>
      <c r="C1966" s="18" t="n"/>
      <c r="D1966" s="25">
        <f>IFERROR(IF(C1966="","",INDEX(직원명부!$B$5:$B$24,MATCH(C1966,직원명부!$A$5:$A$24,0))),"사번 확인")</f>
        <v/>
      </c>
      <c r="E1966" s="34" t="n"/>
      <c r="F1966" s="34" t="n"/>
      <c r="G1966" s="28" t="n"/>
      <c r="H1966" s="33">
        <f>IF(OR(E1966="",F1966=""),"",ROUND(MOD(F1966-E1966,1)*24-N(G1966),2))</f>
        <v/>
      </c>
      <c r="I1966" s="33">
        <f>IF(H1966="","",ROUND(MAX(0,H1966-8),2))</f>
        <v/>
      </c>
      <c r="J1966" s="33">
        <f>IF(OR(E1966="",F1966=""),"",ROUND(IF(MOD(F1966,1)&gt;=TIME(22,0,0),(MOD(F1966,1)-TIME(22,0,0))*24,IF(MOD(F1966,1)&lt;TIME(6,0,0),(MOD(F1966,1)+1-TIME(22,0,0))*24,0)),2))</f>
        <v/>
      </c>
      <c r="K1966" s="33">
        <f>IF(H1966="","",ROUND(IF(L1966="휴일근로",MIN(H1966,8)*1.5+MAX(0,H1966-8)*2,I1966*1.5)+N(J1966)*0.5,2))</f>
        <v/>
      </c>
      <c r="L1966" s="18" t="n"/>
      <c r="M1966" s="18" t="n"/>
      <c r="N1966" s="22" t="n"/>
    </row>
    <row r="1967">
      <c r="A1967" s="19" t="n"/>
      <c r="B1967" s="25">
        <f>IF(A1967="","",CHOOSE(WEEKDAY(A1967,2),"월","화","수","목","금","토","일"))</f>
        <v/>
      </c>
      <c r="C1967" s="18" t="n"/>
      <c r="D1967" s="25">
        <f>IFERROR(IF(C1967="","",INDEX(직원명부!$B$5:$B$24,MATCH(C1967,직원명부!$A$5:$A$24,0))),"사번 확인")</f>
        <v/>
      </c>
      <c r="E1967" s="34" t="n"/>
      <c r="F1967" s="34" t="n"/>
      <c r="G1967" s="28" t="n"/>
      <c r="H1967" s="33">
        <f>IF(OR(E1967="",F1967=""),"",ROUND(MOD(F1967-E1967,1)*24-N(G1967),2))</f>
        <v/>
      </c>
      <c r="I1967" s="33">
        <f>IF(H1967="","",ROUND(MAX(0,H1967-8),2))</f>
        <v/>
      </c>
      <c r="J1967" s="33">
        <f>IF(OR(E1967="",F1967=""),"",ROUND(IF(MOD(F1967,1)&gt;=TIME(22,0,0),(MOD(F1967,1)-TIME(22,0,0))*24,IF(MOD(F1967,1)&lt;TIME(6,0,0),(MOD(F1967,1)+1-TIME(22,0,0))*24,0)),2))</f>
        <v/>
      </c>
      <c r="K1967" s="33">
        <f>IF(H1967="","",ROUND(IF(L1967="휴일근로",MIN(H1967,8)*1.5+MAX(0,H1967-8)*2,I1967*1.5)+N(J1967)*0.5,2))</f>
        <v/>
      </c>
      <c r="L1967" s="18" t="n"/>
      <c r="M1967" s="18" t="n"/>
      <c r="N1967" s="22" t="n"/>
    </row>
    <row r="1968">
      <c r="A1968" s="19" t="n"/>
      <c r="B1968" s="25">
        <f>IF(A1968="","",CHOOSE(WEEKDAY(A1968,2),"월","화","수","목","금","토","일"))</f>
        <v/>
      </c>
      <c r="C1968" s="18" t="n"/>
      <c r="D1968" s="25">
        <f>IFERROR(IF(C1968="","",INDEX(직원명부!$B$5:$B$24,MATCH(C1968,직원명부!$A$5:$A$24,0))),"사번 확인")</f>
        <v/>
      </c>
      <c r="E1968" s="34" t="n"/>
      <c r="F1968" s="34" t="n"/>
      <c r="G1968" s="28" t="n"/>
      <c r="H1968" s="33">
        <f>IF(OR(E1968="",F1968=""),"",ROUND(MOD(F1968-E1968,1)*24-N(G1968),2))</f>
        <v/>
      </c>
      <c r="I1968" s="33">
        <f>IF(H1968="","",ROUND(MAX(0,H1968-8),2))</f>
        <v/>
      </c>
      <c r="J1968" s="33">
        <f>IF(OR(E1968="",F1968=""),"",ROUND(IF(MOD(F1968,1)&gt;=TIME(22,0,0),(MOD(F1968,1)-TIME(22,0,0))*24,IF(MOD(F1968,1)&lt;TIME(6,0,0),(MOD(F1968,1)+1-TIME(22,0,0))*24,0)),2))</f>
        <v/>
      </c>
      <c r="K1968" s="33">
        <f>IF(H1968="","",ROUND(IF(L1968="휴일근로",MIN(H1968,8)*1.5+MAX(0,H1968-8)*2,I1968*1.5)+N(J1968)*0.5,2))</f>
        <v/>
      </c>
      <c r="L1968" s="18" t="n"/>
      <c r="M1968" s="18" t="n"/>
      <c r="N1968" s="22" t="n"/>
    </row>
    <row r="1969">
      <c r="A1969" s="19" t="n"/>
      <c r="B1969" s="25">
        <f>IF(A1969="","",CHOOSE(WEEKDAY(A1969,2),"월","화","수","목","금","토","일"))</f>
        <v/>
      </c>
      <c r="C1969" s="18" t="n"/>
      <c r="D1969" s="25">
        <f>IFERROR(IF(C1969="","",INDEX(직원명부!$B$5:$B$24,MATCH(C1969,직원명부!$A$5:$A$24,0))),"사번 확인")</f>
        <v/>
      </c>
      <c r="E1969" s="34" t="n"/>
      <c r="F1969" s="34" t="n"/>
      <c r="G1969" s="28" t="n"/>
      <c r="H1969" s="33">
        <f>IF(OR(E1969="",F1969=""),"",ROUND(MOD(F1969-E1969,1)*24-N(G1969),2))</f>
        <v/>
      </c>
      <c r="I1969" s="33">
        <f>IF(H1969="","",ROUND(MAX(0,H1969-8),2))</f>
        <v/>
      </c>
      <c r="J1969" s="33">
        <f>IF(OR(E1969="",F1969=""),"",ROUND(IF(MOD(F1969,1)&gt;=TIME(22,0,0),(MOD(F1969,1)-TIME(22,0,0))*24,IF(MOD(F1969,1)&lt;TIME(6,0,0),(MOD(F1969,1)+1-TIME(22,0,0))*24,0)),2))</f>
        <v/>
      </c>
      <c r="K1969" s="33">
        <f>IF(H1969="","",ROUND(IF(L1969="휴일근로",MIN(H1969,8)*1.5+MAX(0,H1969-8)*2,I1969*1.5)+N(J1969)*0.5,2))</f>
        <v/>
      </c>
      <c r="L1969" s="18" t="n"/>
      <c r="M1969" s="18" t="n"/>
      <c r="N1969" s="22" t="n"/>
    </row>
    <row r="1970">
      <c r="A1970" s="19" t="n"/>
      <c r="B1970" s="25">
        <f>IF(A1970="","",CHOOSE(WEEKDAY(A1970,2),"월","화","수","목","금","토","일"))</f>
        <v/>
      </c>
      <c r="C1970" s="18" t="n"/>
      <c r="D1970" s="25">
        <f>IFERROR(IF(C1970="","",INDEX(직원명부!$B$5:$B$24,MATCH(C1970,직원명부!$A$5:$A$24,0))),"사번 확인")</f>
        <v/>
      </c>
      <c r="E1970" s="34" t="n"/>
      <c r="F1970" s="34" t="n"/>
      <c r="G1970" s="28" t="n"/>
      <c r="H1970" s="33">
        <f>IF(OR(E1970="",F1970=""),"",ROUND(MOD(F1970-E1970,1)*24-N(G1970),2))</f>
        <v/>
      </c>
      <c r="I1970" s="33">
        <f>IF(H1970="","",ROUND(MAX(0,H1970-8),2))</f>
        <v/>
      </c>
      <c r="J1970" s="33">
        <f>IF(OR(E1970="",F1970=""),"",ROUND(IF(MOD(F1970,1)&gt;=TIME(22,0,0),(MOD(F1970,1)-TIME(22,0,0))*24,IF(MOD(F1970,1)&lt;TIME(6,0,0),(MOD(F1970,1)+1-TIME(22,0,0))*24,0)),2))</f>
        <v/>
      </c>
      <c r="K1970" s="33">
        <f>IF(H1970="","",ROUND(IF(L1970="휴일근로",MIN(H1970,8)*1.5+MAX(0,H1970-8)*2,I1970*1.5)+N(J1970)*0.5,2))</f>
        <v/>
      </c>
      <c r="L1970" s="18" t="n"/>
      <c r="M1970" s="18" t="n"/>
      <c r="N1970" s="22" t="n"/>
    </row>
    <row r="1971">
      <c r="A1971" s="19" t="n"/>
      <c r="B1971" s="25">
        <f>IF(A1971="","",CHOOSE(WEEKDAY(A1971,2),"월","화","수","목","금","토","일"))</f>
        <v/>
      </c>
      <c r="C1971" s="18" t="n"/>
      <c r="D1971" s="25">
        <f>IFERROR(IF(C1971="","",INDEX(직원명부!$B$5:$B$24,MATCH(C1971,직원명부!$A$5:$A$24,0))),"사번 확인")</f>
        <v/>
      </c>
      <c r="E1971" s="34" t="n"/>
      <c r="F1971" s="34" t="n"/>
      <c r="G1971" s="28" t="n"/>
      <c r="H1971" s="33">
        <f>IF(OR(E1971="",F1971=""),"",ROUND(MOD(F1971-E1971,1)*24-N(G1971),2))</f>
        <v/>
      </c>
      <c r="I1971" s="33">
        <f>IF(H1971="","",ROUND(MAX(0,H1971-8),2))</f>
        <v/>
      </c>
      <c r="J1971" s="33">
        <f>IF(OR(E1971="",F1971=""),"",ROUND(IF(MOD(F1971,1)&gt;=TIME(22,0,0),(MOD(F1971,1)-TIME(22,0,0))*24,IF(MOD(F1971,1)&lt;TIME(6,0,0),(MOD(F1971,1)+1-TIME(22,0,0))*24,0)),2))</f>
        <v/>
      </c>
      <c r="K1971" s="33">
        <f>IF(H1971="","",ROUND(IF(L1971="휴일근로",MIN(H1971,8)*1.5+MAX(0,H1971-8)*2,I1971*1.5)+N(J1971)*0.5,2))</f>
        <v/>
      </c>
      <c r="L1971" s="18" t="n"/>
      <c r="M1971" s="18" t="n"/>
      <c r="N1971" s="22" t="n"/>
    </row>
    <row r="1972">
      <c r="A1972" s="19" t="n"/>
      <c r="B1972" s="25">
        <f>IF(A1972="","",CHOOSE(WEEKDAY(A1972,2),"월","화","수","목","금","토","일"))</f>
        <v/>
      </c>
      <c r="C1972" s="18" t="n"/>
      <c r="D1972" s="25">
        <f>IFERROR(IF(C1972="","",INDEX(직원명부!$B$5:$B$24,MATCH(C1972,직원명부!$A$5:$A$24,0))),"사번 확인")</f>
        <v/>
      </c>
      <c r="E1972" s="34" t="n"/>
      <c r="F1972" s="34" t="n"/>
      <c r="G1972" s="28" t="n"/>
      <c r="H1972" s="33">
        <f>IF(OR(E1972="",F1972=""),"",ROUND(MOD(F1972-E1972,1)*24-N(G1972),2))</f>
        <v/>
      </c>
      <c r="I1972" s="33">
        <f>IF(H1972="","",ROUND(MAX(0,H1972-8),2))</f>
        <v/>
      </c>
      <c r="J1972" s="33">
        <f>IF(OR(E1972="",F1972=""),"",ROUND(IF(MOD(F1972,1)&gt;=TIME(22,0,0),(MOD(F1972,1)-TIME(22,0,0))*24,IF(MOD(F1972,1)&lt;TIME(6,0,0),(MOD(F1972,1)+1-TIME(22,0,0))*24,0)),2))</f>
        <v/>
      </c>
      <c r="K1972" s="33">
        <f>IF(H1972="","",ROUND(IF(L1972="휴일근로",MIN(H1972,8)*1.5+MAX(0,H1972-8)*2,I1972*1.5)+N(J1972)*0.5,2))</f>
        <v/>
      </c>
      <c r="L1972" s="18" t="n"/>
      <c r="M1972" s="18" t="n"/>
      <c r="N1972" s="22" t="n"/>
    </row>
    <row r="1973">
      <c r="A1973" s="19" t="n"/>
      <c r="B1973" s="25">
        <f>IF(A1973="","",CHOOSE(WEEKDAY(A1973,2),"월","화","수","목","금","토","일"))</f>
        <v/>
      </c>
      <c r="C1973" s="18" t="n"/>
      <c r="D1973" s="25">
        <f>IFERROR(IF(C1973="","",INDEX(직원명부!$B$5:$B$24,MATCH(C1973,직원명부!$A$5:$A$24,0))),"사번 확인")</f>
        <v/>
      </c>
      <c r="E1973" s="34" t="n"/>
      <c r="F1973" s="34" t="n"/>
      <c r="G1973" s="28" t="n"/>
      <c r="H1973" s="33">
        <f>IF(OR(E1973="",F1973=""),"",ROUND(MOD(F1973-E1973,1)*24-N(G1973),2))</f>
        <v/>
      </c>
      <c r="I1973" s="33">
        <f>IF(H1973="","",ROUND(MAX(0,H1973-8),2))</f>
        <v/>
      </c>
      <c r="J1973" s="33">
        <f>IF(OR(E1973="",F1973=""),"",ROUND(IF(MOD(F1973,1)&gt;=TIME(22,0,0),(MOD(F1973,1)-TIME(22,0,0))*24,IF(MOD(F1973,1)&lt;TIME(6,0,0),(MOD(F1973,1)+1-TIME(22,0,0))*24,0)),2))</f>
        <v/>
      </c>
      <c r="K1973" s="33">
        <f>IF(H1973="","",ROUND(IF(L1973="휴일근로",MIN(H1973,8)*1.5+MAX(0,H1973-8)*2,I1973*1.5)+N(J1973)*0.5,2))</f>
        <v/>
      </c>
      <c r="L1973" s="18" t="n"/>
      <c r="M1973" s="18" t="n"/>
      <c r="N1973" s="22" t="n"/>
    </row>
    <row r="1974">
      <c r="A1974" s="19" t="n"/>
      <c r="B1974" s="25">
        <f>IF(A1974="","",CHOOSE(WEEKDAY(A1974,2),"월","화","수","목","금","토","일"))</f>
        <v/>
      </c>
      <c r="C1974" s="18" t="n"/>
      <c r="D1974" s="25">
        <f>IFERROR(IF(C1974="","",INDEX(직원명부!$B$5:$B$24,MATCH(C1974,직원명부!$A$5:$A$24,0))),"사번 확인")</f>
        <v/>
      </c>
      <c r="E1974" s="34" t="n"/>
      <c r="F1974" s="34" t="n"/>
      <c r="G1974" s="28" t="n"/>
      <c r="H1974" s="33">
        <f>IF(OR(E1974="",F1974=""),"",ROUND(MOD(F1974-E1974,1)*24-N(G1974),2))</f>
        <v/>
      </c>
      <c r="I1974" s="33">
        <f>IF(H1974="","",ROUND(MAX(0,H1974-8),2))</f>
        <v/>
      </c>
      <c r="J1974" s="33">
        <f>IF(OR(E1974="",F1974=""),"",ROUND(IF(MOD(F1974,1)&gt;=TIME(22,0,0),(MOD(F1974,1)-TIME(22,0,0))*24,IF(MOD(F1974,1)&lt;TIME(6,0,0),(MOD(F1974,1)+1-TIME(22,0,0))*24,0)),2))</f>
        <v/>
      </c>
      <c r="K1974" s="33">
        <f>IF(H1974="","",ROUND(IF(L1974="휴일근로",MIN(H1974,8)*1.5+MAX(0,H1974-8)*2,I1974*1.5)+N(J1974)*0.5,2))</f>
        <v/>
      </c>
      <c r="L1974" s="18" t="n"/>
      <c r="M1974" s="18" t="n"/>
      <c r="N1974" s="22" t="n"/>
    </row>
    <row r="1975">
      <c r="A1975" s="19" t="n"/>
      <c r="B1975" s="25">
        <f>IF(A1975="","",CHOOSE(WEEKDAY(A1975,2),"월","화","수","목","금","토","일"))</f>
        <v/>
      </c>
      <c r="C1975" s="18" t="n"/>
      <c r="D1975" s="25">
        <f>IFERROR(IF(C1975="","",INDEX(직원명부!$B$5:$B$24,MATCH(C1975,직원명부!$A$5:$A$24,0))),"사번 확인")</f>
        <v/>
      </c>
      <c r="E1975" s="34" t="n"/>
      <c r="F1975" s="34" t="n"/>
      <c r="G1975" s="28" t="n"/>
      <c r="H1975" s="33">
        <f>IF(OR(E1975="",F1975=""),"",ROUND(MOD(F1975-E1975,1)*24-N(G1975),2))</f>
        <v/>
      </c>
      <c r="I1975" s="33">
        <f>IF(H1975="","",ROUND(MAX(0,H1975-8),2))</f>
        <v/>
      </c>
      <c r="J1975" s="33">
        <f>IF(OR(E1975="",F1975=""),"",ROUND(IF(MOD(F1975,1)&gt;=TIME(22,0,0),(MOD(F1975,1)-TIME(22,0,0))*24,IF(MOD(F1975,1)&lt;TIME(6,0,0),(MOD(F1975,1)+1-TIME(22,0,0))*24,0)),2))</f>
        <v/>
      </c>
      <c r="K1975" s="33">
        <f>IF(H1975="","",ROUND(IF(L1975="휴일근로",MIN(H1975,8)*1.5+MAX(0,H1975-8)*2,I1975*1.5)+N(J1975)*0.5,2))</f>
        <v/>
      </c>
      <c r="L1975" s="18" t="n"/>
      <c r="M1975" s="18" t="n"/>
      <c r="N1975" s="22" t="n"/>
    </row>
    <row r="1976">
      <c r="A1976" s="19" t="n"/>
      <c r="B1976" s="25">
        <f>IF(A1976="","",CHOOSE(WEEKDAY(A1976,2),"월","화","수","목","금","토","일"))</f>
        <v/>
      </c>
      <c r="C1976" s="18" t="n"/>
      <c r="D1976" s="25">
        <f>IFERROR(IF(C1976="","",INDEX(직원명부!$B$5:$B$24,MATCH(C1976,직원명부!$A$5:$A$24,0))),"사번 확인")</f>
        <v/>
      </c>
      <c r="E1976" s="34" t="n"/>
      <c r="F1976" s="34" t="n"/>
      <c r="G1976" s="28" t="n"/>
      <c r="H1976" s="33">
        <f>IF(OR(E1976="",F1976=""),"",ROUND(MOD(F1976-E1976,1)*24-N(G1976),2))</f>
        <v/>
      </c>
      <c r="I1976" s="33">
        <f>IF(H1976="","",ROUND(MAX(0,H1976-8),2))</f>
        <v/>
      </c>
      <c r="J1976" s="33">
        <f>IF(OR(E1976="",F1976=""),"",ROUND(IF(MOD(F1976,1)&gt;=TIME(22,0,0),(MOD(F1976,1)-TIME(22,0,0))*24,IF(MOD(F1976,1)&lt;TIME(6,0,0),(MOD(F1976,1)+1-TIME(22,0,0))*24,0)),2))</f>
        <v/>
      </c>
      <c r="K1976" s="33">
        <f>IF(H1976="","",ROUND(IF(L1976="휴일근로",MIN(H1976,8)*1.5+MAX(0,H1976-8)*2,I1976*1.5)+N(J1976)*0.5,2))</f>
        <v/>
      </c>
      <c r="L1976" s="18" t="n"/>
      <c r="M1976" s="18" t="n"/>
      <c r="N1976" s="22" t="n"/>
    </row>
    <row r="1977">
      <c r="A1977" s="19" t="n"/>
      <c r="B1977" s="25">
        <f>IF(A1977="","",CHOOSE(WEEKDAY(A1977,2),"월","화","수","목","금","토","일"))</f>
        <v/>
      </c>
      <c r="C1977" s="18" t="n"/>
      <c r="D1977" s="25">
        <f>IFERROR(IF(C1977="","",INDEX(직원명부!$B$5:$B$24,MATCH(C1977,직원명부!$A$5:$A$24,0))),"사번 확인")</f>
        <v/>
      </c>
      <c r="E1977" s="34" t="n"/>
      <c r="F1977" s="34" t="n"/>
      <c r="G1977" s="28" t="n"/>
      <c r="H1977" s="33">
        <f>IF(OR(E1977="",F1977=""),"",ROUND(MOD(F1977-E1977,1)*24-N(G1977),2))</f>
        <v/>
      </c>
      <c r="I1977" s="33">
        <f>IF(H1977="","",ROUND(MAX(0,H1977-8),2))</f>
        <v/>
      </c>
      <c r="J1977" s="33">
        <f>IF(OR(E1977="",F1977=""),"",ROUND(IF(MOD(F1977,1)&gt;=TIME(22,0,0),(MOD(F1977,1)-TIME(22,0,0))*24,IF(MOD(F1977,1)&lt;TIME(6,0,0),(MOD(F1977,1)+1-TIME(22,0,0))*24,0)),2))</f>
        <v/>
      </c>
      <c r="K1977" s="33">
        <f>IF(H1977="","",ROUND(IF(L1977="휴일근로",MIN(H1977,8)*1.5+MAX(0,H1977-8)*2,I1977*1.5)+N(J1977)*0.5,2))</f>
        <v/>
      </c>
      <c r="L1977" s="18" t="n"/>
      <c r="M1977" s="18" t="n"/>
      <c r="N1977" s="22" t="n"/>
    </row>
    <row r="1978">
      <c r="A1978" s="19" t="n"/>
      <c r="B1978" s="25">
        <f>IF(A1978="","",CHOOSE(WEEKDAY(A1978,2),"월","화","수","목","금","토","일"))</f>
        <v/>
      </c>
      <c r="C1978" s="18" t="n"/>
      <c r="D1978" s="25">
        <f>IFERROR(IF(C1978="","",INDEX(직원명부!$B$5:$B$24,MATCH(C1978,직원명부!$A$5:$A$24,0))),"사번 확인")</f>
        <v/>
      </c>
      <c r="E1978" s="34" t="n"/>
      <c r="F1978" s="34" t="n"/>
      <c r="G1978" s="28" t="n"/>
      <c r="H1978" s="33">
        <f>IF(OR(E1978="",F1978=""),"",ROUND(MOD(F1978-E1978,1)*24-N(G1978),2))</f>
        <v/>
      </c>
      <c r="I1978" s="33">
        <f>IF(H1978="","",ROUND(MAX(0,H1978-8),2))</f>
        <v/>
      </c>
      <c r="J1978" s="33">
        <f>IF(OR(E1978="",F1978=""),"",ROUND(IF(MOD(F1978,1)&gt;=TIME(22,0,0),(MOD(F1978,1)-TIME(22,0,0))*24,IF(MOD(F1978,1)&lt;TIME(6,0,0),(MOD(F1978,1)+1-TIME(22,0,0))*24,0)),2))</f>
        <v/>
      </c>
      <c r="K1978" s="33">
        <f>IF(H1978="","",ROUND(IF(L1978="휴일근로",MIN(H1978,8)*1.5+MAX(0,H1978-8)*2,I1978*1.5)+N(J1978)*0.5,2))</f>
        <v/>
      </c>
      <c r="L1978" s="18" t="n"/>
      <c r="M1978" s="18" t="n"/>
      <c r="N1978" s="22" t="n"/>
    </row>
    <row r="1979">
      <c r="A1979" s="19" t="n"/>
      <c r="B1979" s="25">
        <f>IF(A1979="","",CHOOSE(WEEKDAY(A1979,2),"월","화","수","목","금","토","일"))</f>
        <v/>
      </c>
      <c r="C1979" s="18" t="n"/>
      <c r="D1979" s="25">
        <f>IFERROR(IF(C1979="","",INDEX(직원명부!$B$5:$B$24,MATCH(C1979,직원명부!$A$5:$A$24,0))),"사번 확인")</f>
        <v/>
      </c>
      <c r="E1979" s="34" t="n"/>
      <c r="F1979" s="34" t="n"/>
      <c r="G1979" s="28" t="n"/>
      <c r="H1979" s="33">
        <f>IF(OR(E1979="",F1979=""),"",ROUND(MOD(F1979-E1979,1)*24-N(G1979),2))</f>
        <v/>
      </c>
      <c r="I1979" s="33">
        <f>IF(H1979="","",ROUND(MAX(0,H1979-8),2))</f>
        <v/>
      </c>
      <c r="J1979" s="33">
        <f>IF(OR(E1979="",F1979=""),"",ROUND(IF(MOD(F1979,1)&gt;=TIME(22,0,0),(MOD(F1979,1)-TIME(22,0,0))*24,IF(MOD(F1979,1)&lt;TIME(6,0,0),(MOD(F1979,1)+1-TIME(22,0,0))*24,0)),2))</f>
        <v/>
      </c>
      <c r="K1979" s="33">
        <f>IF(H1979="","",ROUND(IF(L1979="휴일근로",MIN(H1979,8)*1.5+MAX(0,H1979-8)*2,I1979*1.5)+N(J1979)*0.5,2))</f>
        <v/>
      </c>
      <c r="L1979" s="18" t="n"/>
      <c r="M1979" s="18" t="n"/>
      <c r="N1979" s="22" t="n"/>
    </row>
    <row r="1980">
      <c r="A1980" s="19" t="n"/>
      <c r="B1980" s="25">
        <f>IF(A1980="","",CHOOSE(WEEKDAY(A1980,2),"월","화","수","목","금","토","일"))</f>
        <v/>
      </c>
      <c r="C1980" s="18" t="n"/>
      <c r="D1980" s="25">
        <f>IFERROR(IF(C1980="","",INDEX(직원명부!$B$5:$B$24,MATCH(C1980,직원명부!$A$5:$A$24,0))),"사번 확인")</f>
        <v/>
      </c>
      <c r="E1980" s="34" t="n"/>
      <c r="F1980" s="34" t="n"/>
      <c r="G1980" s="28" t="n"/>
      <c r="H1980" s="33">
        <f>IF(OR(E1980="",F1980=""),"",ROUND(MOD(F1980-E1980,1)*24-N(G1980),2))</f>
        <v/>
      </c>
      <c r="I1980" s="33">
        <f>IF(H1980="","",ROUND(MAX(0,H1980-8),2))</f>
        <v/>
      </c>
      <c r="J1980" s="33">
        <f>IF(OR(E1980="",F1980=""),"",ROUND(IF(MOD(F1980,1)&gt;=TIME(22,0,0),(MOD(F1980,1)-TIME(22,0,0))*24,IF(MOD(F1980,1)&lt;TIME(6,0,0),(MOD(F1980,1)+1-TIME(22,0,0))*24,0)),2))</f>
        <v/>
      </c>
      <c r="K1980" s="33">
        <f>IF(H1980="","",ROUND(IF(L1980="휴일근로",MIN(H1980,8)*1.5+MAX(0,H1980-8)*2,I1980*1.5)+N(J1980)*0.5,2))</f>
        <v/>
      </c>
      <c r="L1980" s="18" t="n"/>
      <c r="M1980" s="18" t="n"/>
      <c r="N1980" s="22" t="n"/>
    </row>
    <row r="1981">
      <c r="A1981" s="19" t="n"/>
      <c r="B1981" s="25">
        <f>IF(A1981="","",CHOOSE(WEEKDAY(A1981,2),"월","화","수","목","금","토","일"))</f>
        <v/>
      </c>
      <c r="C1981" s="18" t="n"/>
      <c r="D1981" s="25">
        <f>IFERROR(IF(C1981="","",INDEX(직원명부!$B$5:$B$24,MATCH(C1981,직원명부!$A$5:$A$24,0))),"사번 확인")</f>
        <v/>
      </c>
      <c r="E1981" s="34" t="n"/>
      <c r="F1981" s="34" t="n"/>
      <c r="G1981" s="28" t="n"/>
      <c r="H1981" s="33">
        <f>IF(OR(E1981="",F1981=""),"",ROUND(MOD(F1981-E1981,1)*24-N(G1981),2))</f>
        <v/>
      </c>
      <c r="I1981" s="33">
        <f>IF(H1981="","",ROUND(MAX(0,H1981-8),2))</f>
        <v/>
      </c>
      <c r="J1981" s="33">
        <f>IF(OR(E1981="",F1981=""),"",ROUND(IF(MOD(F1981,1)&gt;=TIME(22,0,0),(MOD(F1981,1)-TIME(22,0,0))*24,IF(MOD(F1981,1)&lt;TIME(6,0,0),(MOD(F1981,1)+1-TIME(22,0,0))*24,0)),2))</f>
        <v/>
      </c>
      <c r="K1981" s="33">
        <f>IF(H1981="","",ROUND(IF(L1981="휴일근로",MIN(H1981,8)*1.5+MAX(0,H1981-8)*2,I1981*1.5)+N(J1981)*0.5,2))</f>
        <v/>
      </c>
      <c r="L1981" s="18" t="n"/>
      <c r="M1981" s="18" t="n"/>
      <c r="N1981" s="22" t="n"/>
    </row>
    <row r="1982">
      <c r="A1982" s="19" t="n"/>
      <c r="B1982" s="25">
        <f>IF(A1982="","",CHOOSE(WEEKDAY(A1982,2),"월","화","수","목","금","토","일"))</f>
        <v/>
      </c>
      <c r="C1982" s="18" t="n"/>
      <c r="D1982" s="25">
        <f>IFERROR(IF(C1982="","",INDEX(직원명부!$B$5:$B$24,MATCH(C1982,직원명부!$A$5:$A$24,0))),"사번 확인")</f>
        <v/>
      </c>
      <c r="E1982" s="34" t="n"/>
      <c r="F1982" s="34" t="n"/>
      <c r="G1982" s="28" t="n"/>
      <c r="H1982" s="33">
        <f>IF(OR(E1982="",F1982=""),"",ROUND(MOD(F1982-E1982,1)*24-N(G1982),2))</f>
        <v/>
      </c>
      <c r="I1982" s="33">
        <f>IF(H1982="","",ROUND(MAX(0,H1982-8),2))</f>
        <v/>
      </c>
      <c r="J1982" s="33">
        <f>IF(OR(E1982="",F1982=""),"",ROUND(IF(MOD(F1982,1)&gt;=TIME(22,0,0),(MOD(F1982,1)-TIME(22,0,0))*24,IF(MOD(F1982,1)&lt;TIME(6,0,0),(MOD(F1982,1)+1-TIME(22,0,0))*24,0)),2))</f>
        <v/>
      </c>
      <c r="K1982" s="33">
        <f>IF(H1982="","",ROUND(IF(L1982="휴일근로",MIN(H1982,8)*1.5+MAX(0,H1982-8)*2,I1982*1.5)+N(J1982)*0.5,2))</f>
        <v/>
      </c>
      <c r="L1982" s="18" t="n"/>
      <c r="M1982" s="18" t="n"/>
      <c r="N1982" s="22" t="n"/>
    </row>
    <row r="1983">
      <c r="A1983" s="19" t="n"/>
      <c r="B1983" s="25">
        <f>IF(A1983="","",CHOOSE(WEEKDAY(A1983,2),"월","화","수","목","금","토","일"))</f>
        <v/>
      </c>
      <c r="C1983" s="18" t="n"/>
      <c r="D1983" s="25">
        <f>IFERROR(IF(C1983="","",INDEX(직원명부!$B$5:$B$24,MATCH(C1983,직원명부!$A$5:$A$24,0))),"사번 확인")</f>
        <v/>
      </c>
      <c r="E1983" s="34" t="n"/>
      <c r="F1983" s="34" t="n"/>
      <c r="G1983" s="28" t="n"/>
      <c r="H1983" s="33">
        <f>IF(OR(E1983="",F1983=""),"",ROUND(MOD(F1983-E1983,1)*24-N(G1983),2))</f>
        <v/>
      </c>
      <c r="I1983" s="33">
        <f>IF(H1983="","",ROUND(MAX(0,H1983-8),2))</f>
        <v/>
      </c>
      <c r="J1983" s="33">
        <f>IF(OR(E1983="",F1983=""),"",ROUND(IF(MOD(F1983,1)&gt;=TIME(22,0,0),(MOD(F1983,1)-TIME(22,0,0))*24,IF(MOD(F1983,1)&lt;TIME(6,0,0),(MOD(F1983,1)+1-TIME(22,0,0))*24,0)),2))</f>
        <v/>
      </c>
      <c r="K1983" s="33">
        <f>IF(H1983="","",ROUND(IF(L1983="휴일근로",MIN(H1983,8)*1.5+MAX(0,H1983-8)*2,I1983*1.5)+N(J1983)*0.5,2))</f>
        <v/>
      </c>
      <c r="L1983" s="18" t="n"/>
      <c r="M1983" s="18" t="n"/>
      <c r="N1983" s="22" t="n"/>
    </row>
    <row r="1984">
      <c r="A1984" s="19" t="n"/>
      <c r="B1984" s="25">
        <f>IF(A1984="","",CHOOSE(WEEKDAY(A1984,2),"월","화","수","목","금","토","일"))</f>
        <v/>
      </c>
      <c r="C1984" s="18" t="n"/>
      <c r="D1984" s="25">
        <f>IFERROR(IF(C1984="","",INDEX(직원명부!$B$5:$B$24,MATCH(C1984,직원명부!$A$5:$A$24,0))),"사번 확인")</f>
        <v/>
      </c>
      <c r="E1984" s="34" t="n"/>
      <c r="F1984" s="34" t="n"/>
      <c r="G1984" s="28" t="n"/>
      <c r="H1984" s="33">
        <f>IF(OR(E1984="",F1984=""),"",ROUND(MOD(F1984-E1984,1)*24-N(G1984),2))</f>
        <v/>
      </c>
      <c r="I1984" s="33">
        <f>IF(H1984="","",ROUND(MAX(0,H1984-8),2))</f>
        <v/>
      </c>
      <c r="J1984" s="33">
        <f>IF(OR(E1984="",F1984=""),"",ROUND(IF(MOD(F1984,1)&gt;=TIME(22,0,0),(MOD(F1984,1)-TIME(22,0,0))*24,IF(MOD(F1984,1)&lt;TIME(6,0,0),(MOD(F1984,1)+1-TIME(22,0,0))*24,0)),2))</f>
        <v/>
      </c>
      <c r="K1984" s="33">
        <f>IF(H1984="","",ROUND(IF(L1984="휴일근로",MIN(H1984,8)*1.5+MAX(0,H1984-8)*2,I1984*1.5)+N(J1984)*0.5,2))</f>
        <v/>
      </c>
      <c r="L1984" s="18" t="n"/>
      <c r="M1984" s="18" t="n"/>
      <c r="N1984" s="22" t="n"/>
    </row>
    <row r="1985">
      <c r="A1985" s="19" t="n"/>
      <c r="B1985" s="25">
        <f>IF(A1985="","",CHOOSE(WEEKDAY(A1985,2),"월","화","수","목","금","토","일"))</f>
        <v/>
      </c>
      <c r="C1985" s="18" t="n"/>
      <c r="D1985" s="25">
        <f>IFERROR(IF(C1985="","",INDEX(직원명부!$B$5:$B$24,MATCH(C1985,직원명부!$A$5:$A$24,0))),"사번 확인")</f>
        <v/>
      </c>
      <c r="E1985" s="34" t="n"/>
      <c r="F1985" s="34" t="n"/>
      <c r="G1985" s="28" t="n"/>
      <c r="H1985" s="33">
        <f>IF(OR(E1985="",F1985=""),"",ROUND(MOD(F1985-E1985,1)*24-N(G1985),2))</f>
        <v/>
      </c>
      <c r="I1985" s="33">
        <f>IF(H1985="","",ROUND(MAX(0,H1985-8),2))</f>
        <v/>
      </c>
      <c r="J1985" s="33">
        <f>IF(OR(E1985="",F1985=""),"",ROUND(IF(MOD(F1985,1)&gt;=TIME(22,0,0),(MOD(F1985,1)-TIME(22,0,0))*24,IF(MOD(F1985,1)&lt;TIME(6,0,0),(MOD(F1985,1)+1-TIME(22,0,0))*24,0)),2))</f>
        <v/>
      </c>
      <c r="K1985" s="33">
        <f>IF(H1985="","",ROUND(IF(L1985="휴일근로",MIN(H1985,8)*1.5+MAX(0,H1985-8)*2,I1985*1.5)+N(J1985)*0.5,2))</f>
        <v/>
      </c>
      <c r="L1985" s="18" t="n"/>
      <c r="M1985" s="18" t="n"/>
      <c r="N1985" s="22" t="n"/>
    </row>
    <row r="1986">
      <c r="A1986" s="19" t="n"/>
      <c r="B1986" s="25">
        <f>IF(A1986="","",CHOOSE(WEEKDAY(A1986,2),"월","화","수","목","금","토","일"))</f>
        <v/>
      </c>
      <c r="C1986" s="18" t="n"/>
      <c r="D1986" s="25">
        <f>IFERROR(IF(C1986="","",INDEX(직원명부!$B$5:$B$24,MATCH(C1986,직원명부!$A$5:$A$24,0))),"사번 확인")</f>
        <v/>
      </c>
      <c r="E1986" s="34" t="n"/>
      <c r="F1986" s="34" t="n"/>
      <c r="G1986" s="28" t="n"/>
      <c r="H1986" s="33">
        <f>IF(OR(E1986="",F1986=""),"",ROUND(MOD(F1986-E1986,1)*24-N(G1986),2))</f>
        <v/>
      </c>
      <c r="I1986" s="33">
        <f>IF(H1986="","",ROUND(MAX(0,H1986-8),2))</f>
        <v/>
      </c>
      <c r="J1986" s="33">
        <f>IF(OR(E1986="",F1986=""),"",ROUND(IF(MOD(F1986,1)&gt;=TIME(22,0,0),(MOD(F1986,1)-TIME(22,0,0))*24,IF(MOD(F1986,1)&lt;TIME(6,0,0),(MOD(F1986,1)+1-TIME(22,0,0))*24,0)),2))</f>
        <v/>
      </c>
      <c r="K1986" s="33">
        <f>IF(H1986="","",ROUND(IF(L1986="휴일근로",MIN(H1986,8)*1.5+MAX(0,H1986-8)*2,I1986*1.5)+N(J1986)*0.5,2))</f>
        <v/>
      </c>
      <c r="L1986" s="18" t="n"/>
      <c r="M1986" s="18" t="n"/>
      <c r="N1986" s="22" t="n"/>
    </row>
    <row r="1987">
      <c r="A1987" s="19" t="n"/>
      <c r="B1987" s="25">
        <f>IF(A1987="","",CHOOSE(WEEKDAY(A1987,2),"월","화","수","목","금","토","일"))</f>
        <v/>
      </c>
      <c r="C1987" s="18" t="n"/>
      <c r="D1987" s="25">
        <f>IFERROR(IF(C1987="","",INDEX(직원명부!$B$5:$B$24,MATCH(C1987,직원명부!$A$5:$A$24,0))),"사번 확인")</f>
        <v/>
      </c>
      <c r="E1987" s="34" t="n"/>
      <c r="F1987" s="34" t="n"/>
      <c r="G1987" s="28" t="n"/>
      <c r="H1987" s="33">
        <f>IF(OR(E1987="",F1987=""),"",ROUND(MOD(F1987-E1987,1)*24-N(G1987),2))</f>
        <v/>
      </c>
      <c r="I1987" s="33">
        <f>IF(H1987="","",ROUND(MAX(0,H1987-8),2))</f>
        <v/>
      </c>
      <c r="J1987" s="33">
        <f>IF(OR(E1987="",F1987=""),"",ROUND(IF(MOD(F1987,1)&gt;=TIME(22,0,0),(MOD(F1987,1)-TIME(22,0,0))*24,IF(MOD(F1987,1)&lt;TIME(6,0,0),(MOD(F1987,1)+1-TIME(22,0,0))*24,0)),2))</f>
        <v/>
      </c>
      <c r="K1987" s="33">
        <f>IF(H1987="","",ROUND(IF(L1987="휴일근로",MIN(H1987,8)*1.5+MAX(0,H1987-8)*2,I1987*1.5)+N(J1987)*0.5,2))</f>
        <v/>
      </c>
      <c r="L1987" s="18" t="n"/>
      <c r="M1987" s="18" t="n"/>
      <c r="N1987" s="22" t="n"/>
    </row>
    <row r="1988">
      <c r="A1988" s="19" t="n"/>
      <c r="B1988" s="25">
        <f>IF(A1988="","",CHOOSE(WEEKDAY(A1988,2),"월","화","수","목","금","토","일"))</f>
        <v/>
      </c>
      <c r="C1988" s="18" t="n"/>
      <c r="D1988" s="25">
        <f>IFERROR(IF(C1988="","",INDEX(직원명부!$B$5:$B$24,MATCH(C1988,직원명부!$A$5:$A$24,0))),"사번 확인")</f>
        <v/>
      </c>
      <c r="E1988" s="34" t="n"/>
      <c r="F1988" s="34" t="n"/>
      <c r="G1988" s="28" t="n"/>
      <c r="H1988" s="33">
        <f>IF(OR(E1988="",F1988=""),"",ROUND(MOD(F1988-E1988,1)*24-N(G1988),2))</f>
        <v/>
      </c>
      <c r="I1988" s="33">
        <f>IF(H1988="","",ROUND(MAX(0,H1988-8),2))</f>
        <v/>
      </c>
      <c r="J1988" s="33">
        <f>IF(OR(E1988="",F1988=""),"",ROUND(IF(MOD(F1988,1)&gt;=TIME(22,0,0),(MOD(F1988,1)-TIME(22,0,0))*24,IF(MOD(F1988,1)&lt;TIME(6,0,0),(MOD(F1988,1)+1-TIME(22,0,0))*24,0)),2))</f>
        <v/>
      </c>
      <c r="K1988" s="33">
        <f>IF(H1988="","",ROUND(IF(L1988="휴일근로",MIN(H1988,8)*1.5+MAX(0,H1988-8)*2,I1988*1.5)+N(J1988)*0.5,2))</f>
        <v/>
      </c>
      <c r="L1988" s="18" t="n"/>
      <c r="M1988" s="18" t="n"/>
      <c r="N1988" s="22" t="n"/>
    </row>
    <row r="1989">
      <c r="A1989" s="19" t="n"/>
      <c r="B1989" s="25">
        <f>IF(A1989="","",CHOOSE(WEEKDAY(A1989,2),"월","화","수","목","금","토","일"))</f>
        <v/>
      </c>
      <c r="C1989" s="18" t="n"/>
      <c r="D1989" s="25">
        <f>IFERROR(IF(C1989="","",INDEX(직원명부!$B$5:$B$24,MATCH(C1989,직원명부!$A$5:$A$24,0))),"사번 확인")</f>
        <v/>
      </c>
      <c r="E1989" s="34" t="n"/>
      <c r="F1989" s="34" t="n"/>
      <c r="G1989" s="28" t="n"/>
      <c r="H1989" s="33">
        <f>IF(OR(E1989="",F1989=""),"",ROUND(MOD(F1989-E1989,1)*24-N(G1989),2))</f>
        <v/>
      </c>
      <c r="I1989" s="33">
        <f>IF(H1989="","",ROUND(MAX(0,H1989-8),2))</f>
        <v/>
      </c>
      <c r="J1989" s="33">
        <f>IF(OR(E1989="",F1989=""),"",ROUND(IF(MOD(F1989,1)&gt;=TIME(22,0,0),(MOD(F1989,1)-TIME(22,0,0))*24,IF(MOD(F1989,1)&lt;TIME(6,0,0),(MOD(F1989,1)+1-TIME(22,0,0))*24,0)),2))</f>
        <v/>
      </c>
      <c r="K1989" s="33">
        <f>IF(H1989="","",ROUND(IF(L1989="휴일근로",MIN(H1989,8)*1.5+MAX(0,H1989-8)*2,I1989*1.5)+N(J1989)*0.5,2))</f>
        <v/>
      </c>
      <c r="L1989" s="18" t="n"/>
      <c r="M1989" s="18" t="n"/>
      <c r="N1989" s="22" t="n"/>
    </row>
    <row r="1990">
      <c r="A1990" s="19" t="n"/>
      <c r="B1990" s="25">
        <f>IF(A1990="","",CHOOSE(WEEKDAY(A1990,2),"월","화","수","목","금","토","일"))</f>
        <v/>
      </c>
      <c r="C1990" s="18" t="n"/>
      <c r="D1990" s="25">
        <f>IFERROR(IF(C1990="","",INDEX(직원명부!$B$5:$B$24,MATCH(C1990,직원명부!$A$5:$A$24,0))),"사번 확인")</f>
        <v/>
      </c>
      <c r="E1990" s="34" t="n"/>
      <c r="F1990" s="34" t="n"/>
      <c r="G1990" s="28" t="n"/>
      <c r="H1990" s="33">
        <f>IF(OR(E1990="",F1990=""),"",ROUND(MOD(F1990-E1990,1)*24-N(G1990),2))</f>
        <v/>
      </c>
      <c r="I1990" s="33">
        <f>IF(H1990="","",ROUND(MAX(0,H1990-8),2))</f>
        <v/>
      </c>
      <c r="J1990" s="33">
        <f>IF(OR(E1990="",F1990=""),"",ROUND(IF(MOD(F1990,1)&gt;=TIME(22,0,0),(MOD(F1990,1)-TIME(22,0,0))*24,IF(MOD(F1990,1)&lt;TIME(6,0,0),(MOD(F1990,1)+1-TIME(22,0,0))*24,0)),2))</f>
        <v/>
      </c>
      <c r="K1990" s="33">
        <f>IF(H1990="","",ROUND(IF(L1990="휴일근로",MIN(H1990,8)*1.5+MAX(0,H1990-8)*2,I1990*1.5)+N(J1990)*0.5,2))</f>
        <v/>
      </c>
      <c r="L1990" s="18" t="n"/>
      <c r="M1990" s="18" t="n"/>
      <c r="N1990" s="22" t="n"/>
    </row>
    <row r="1991">
      <c r="A1991" s="19" t="n"/>
      <c r="B1991" s="25">
        <f>IF(A1991="","",CHOOSE(WEEKDAY(A1991,2),"월","화","수","목","금","토","일"))</f>
        <v/>
      </c>
      <c r="C1991" s="18" t="n"/>
      <c r="D1991" s="25">
        <f>IFERROR(IF(C1991="","",INDEX(직원명부!$B$5:$B$24,MATCH(C1991,직원명부!$A$5:$A$24,0))),"사번 확인")</f>
        <v/>
      </c>
      <c r="E1991" s="34" t="n"/>
      <c r="F1991" s="34" t="n"/>
      <c r="G1991" s="28" t="n"/>
      <c r="H1991" s="33">
        <f>IF(OR(E1991="",F1991=""),"",ROUND(MOD(F1991-E1991,1)*24-N(G1991),2))</f>
        <v/>
      </c>
      <c r="I1991" s="33">
        <f>IF(H1991="","",ROUND(MAX(0,H1991-8),2))</f>
        <v/>
      </c>
      <c r="J1991" s="33">
        <f>IF(OR(E1991="",F1991=""),"",ROUND(IF(MOD(F1991,1)&gt;=TIME(22,0,0),(MOD(F1991,1)-TIME(22,0,0))*24,IF(MOD(F1991,1)&lt;TIME(6,0,0),(MOD(F1991,1)+1-TIME(22,0,0))*24,0)),2))</f>
        <v/>
      </c>
      <c r="K1991" s="33">
        <f>IF(H1991="","",ROUND(IF(L1991="휴일근로",MIN(H1991,8)*1.5+MAX(0,H1991-8)*2,I1991*1.5)+N(J1991)*0.5,2))</f>
        <v/>
      </c>
      <c r="L1991" s="18" t="n"/>
      <c r="M1991" s="18" t="n"/>
      <c r="N1991" s="22" t="n"/>
    </row>
    <row r="1992">
      <c r="A1992" s="19" t="n"/>
      <c r="B1992" s="25">
        <f>IF(A1992="","",CHOOSE(WEEKDAY(A1992,2),"월","화","수","목","금","토","일"))</f>
        <v/>
      </c>
      <c r="C1992" s="18" t="n"/>
      <c r="D1992" s="25">
        <f>IFERROR(IF(C1992="","",INDEX(직원명부!$B$5:$B$24,MATCH(C1992,직원명부!$A$5:$A$24,0))),"사번 확인")</f>
        <v/>
      </c>
      <c r="E1992" s="34" t="n"/>
      <c r="F1992" s="34" t="n"/>
      <c r="G1992" s="28" t="n"/>
      <c r="H1992" s="33">
        <f>IF(OR(E1992="",F1992=""),"",ROUND(MOD(F1992-E1992,1)*24-N(G1992),2))</f>
        <v/>
      </c>
      <c r="I1992" s="33">
        <f>IF(H1992="","",ROUND(MAX(0,H1992-8),2))</f>
        <v/>
      </c>
      <c r="J1992" s="33">
        <f>IF(OR(E1992="",F1992=""),"",ROUND(IF(MOD(F1992,1)&gt;=TIME(22,0,0),(MOD(F1992,1)-TIME(22,0,0))*24,IF(MOD(F1992,1)&lt;TIME(6,0,0),(MOD(F1992,1)+1-TIME(22,0,0))*24,0)),2))</f>
        <v/>
      </c>
      <c r="K1992" s="33">
        <f>IF(H1992="","",ROUND(IF(L1992="휴일근로",MIN(H1992,8)*1.5+MAX(0,H1992-8)*2,I1992*1.5)+N(J1992)*0.5,2))</f>
        <v/>
      </c>
      <c r="L1992" s="18" t="n"/>
      <c r="M1992" s="18" t="n"/>
      <c r="N1992" s="22" t="n"/>
    </row>
    <row r="1993">
      <c r="A1993" s="19" t="n"/>
      <c r="B1993" s="25">
        <f>IF(A1993="","",CHOOSE(WEEKDAY(A1993,2),"월","화","수","목","금","토","일"))</f>
        <v/>
      </c>
      <c r="C1993" s="18" t="n"/>
      <c r="D1993" s="25">
        <f>IFERROR(IF(C1993="","",INDEX(직원명부!$B$5:$B$24,MATCH(C1993,직원명부!$A$5:$A$24,0))),"사번 확인")</f>
        <v/>
      </c>
      <c r="E1993" s="34" t="n"/>
      <c r="F1993" s="34" t="n"/>
      <c r="G1993" s="28" t="n"/>
      <c r="H1993" s="33">
        <f>IF(OR(E1993="",F1993=""),"",ROUND(MOD(F1993-E1993,1)*24-N(G1993),2))</f>
        <v/>
      </c>
      <c r="I1993" s="33">
        <f>IF(H1993="","",ROUND(MAX(0,H1993-8),2))</f>
        <v/>
      </c>
      <c r="J1993" s="33">
        <f>IF(OR(E1993="",F1993=""),"",ROUND(IF(MOD(F1993,1)&gt;=TIME(22,0,0),(MOD(F1993,1)-TIME(22,0,0))*24,IF(MOD(F1993,1)&lt;TIME(6,0,0),(MOD(F1993,1)+1-TIME(22,0,0))*24,0)),2))</f>
        <v/>
      </c>
      <c r="K1993" s="33">
        <f>IF(H1993="","",ROUND(IF(L1993="휴일근로",MIN(H1993,8)*1.5+MAX(0,H1993-8)*2,I1993*1.5)+N(J1993)*0.5,2))</f>
        <v/>
      </c>
      <c r="L1993" s="18" t="n"/>
      <c r="M1993" s="18" t="n"/>
      <c r="N1993" s="22" t="n"/>
    </row>
    <row r="1994">
      <c r="A1994" s="19" t="n"/>
      <c r="B1994" s="25">
        <f>IF(A1994="","",CHOOSE(WEEKDAY(A1994,2),"월","화","수","목","금","토","일"))</f>
        <v/>
      </c>
      <c r="C1994" s="18" t="n"/>
      <c r="D1994" s="25">
        <f>IFERROR(IF(C1994="","",INDEX(직원명부!$B$5:$B$24,MATCH(C1994,직원명부!$A$5:$A$24,0))),"사번 확인")</f>
        <v/>
      </c>
      <c r="E1994" s="34" t="n"/>
      <c r="F1994" s="34" t="n"/>
      <c r="G1994" s="28" t="n"/>
      <c r="H1994" s="33">
        <f>IF(OR(E1994="",F1994=""),"",ROUND(MOD(F1994-E1994,1)*24-N(G1994),2))</f>
        <v/>
      </c>
      <c r="I1994" s="33">
        <f>IF(H1994="","",ROUND(MAX(0,H1994-8),2))</f>
        <v/>
      </c>
      <c r="J1994" s="33">
        <f>IF(OR(E1994="",F1994=""),"",ROUND(IF(MOD(F1994,1)&gt;=TIME(22,0,0),(MOD(F1994,1)-TIME(22,0,0))*24,IF(MOD(F1994,1)&lt;TIME(6,0,0),(MOD(F1994,1)+1-TIME(22,0,0))*24,0)),2))</f>
        <v/>
      </c>
      <c r="K1994" s="33">
        <f>IF(H1994="","",ROUND(IF(L1994="휴일근로",MIN(H1994,8)*1.5+MAX(0,H1994-8)*2,I1994*1.5)+N(J1994)*0.5,2))</f>
        <v/>
      </c>
      <c r="L1994" s="18" t="n"/>
      <c r="M1994" s="18" t="n"/>
      <c r="N1994" s="22" t="n"/>
    </row>
    <row r="1995">
      <c r="A1995" s="19" t="n"/>
      <c r="B1995" s="25">
        <f>IF(A1995="","",CHOOSE(WEEKDAY(A1995,2),"월","화","수","목","금","토","일"))</f>
        <v/>
      </c>
      <c r="C1995" s="18" t="n"/>
      <c r="D1995" s="25">
        <f>IFERROR(IF(C1995="","",INDEX(직원명부!$B$5:$B$24,MATCH(C1995,직원명부!$A$5:$A$24,0))),"사번 확인")</f>
        <v/>
      </c>
      <c r="E1995" s="34" t="n"/>
      <c r="F1995" s="34" t="n"/>
      <c r="G1995" s="28" t="n"/>
      <c r="H1995" s="33">
        <f>IF(OR(E1995="",F1995=""),"",ROUND(MOD(F1995-E1995,1)*24-N(G1995),2))</f>
        <v/>
      </c>
      <c r="I1995" s="33">
        <f>IF(H1995="","",ROUND(MAX(0,H1995-8),2))</f>
        <v/>
      </c>
      <c r="J1995" s="33">
        <f>IF(OR(E1995="",F1995=""),"",ROUND(IF(MOD(F1995,1)&gt;=TIME(22,0,0),(MOD(F1995,1)-TIME(22,0,0))*24,IF(MOD(F1995,1)&lt;TIME(6,0,0),(MOD(F1995,1)+1-TIME(22,0,0))*24,0)),2))</f>
        <v/>
      </c>
      <c r="K1995" s="33">
        <f>IF(H1995="","",ROUND(IF(L1995="휴일근로",MIN(H1995,8)*1.5+MAX(0,H1995-8)*2,I1995*1.5)+N(J1995)*0.5,2))</f>
        <v/>
      </c>
      <c r="L1995" s="18" t="n"/>
      <c r="M1995" s="18" t="n"/>
      <c r="N1995" s="22" t="n"/>
    </row>
    <row r="1996">
      <c r="A1996" s="19" t="n"/>
      <c r="B1996" s="25">
        <f>IF(A1996="","",CHOOSE(WEEKDAY(A1996,2),"월","화","수","목","금","토","일"))</f>
        <v/>
      </c>
      <c r="C1996" s="18" t="n"/>
      <c r="D1996" s="25">
        <f>IFERROR(IF(C1996="","",INDEX(직원명부!$B$5:$B$24,MATCH(C1996,직원명부!$A$5:$A$24,0))),"사번 확인")</f>
        <v/>
      </c>
      <c r="E1996" s="34" t="n"/>
      <c r="F1996" s="34" t="n"/>
      <c r="G1996" s="28" t="n"/>
      <c r="H1996" s="33">
        <f>IF(OR(E1996="",F1996=""),"",ROUND(MOD(F1996-E1996,1)*24-N(G1996),2))</f>
        <v/>
      </c>
      <c r="I1996" s="33">
        <f>IF(H1996="","",ROUND(MAX(0,H1996-8),2))</f>
        <v/>
      </c>
      <c r="J1996" s="33">
        <f>IF(OR(E1996="",F1996=""),"",ROUND(IF(MOD(F1996,1)&gt;=TIME(22,0,0),(MOD(F1996,1)-TIME(22,0,0))*24,IF(MOD(F1996,1)&lt;TIME(6,0,0),(MOD(F1996,1)+1-TIME(22,0,0))*24,0)),2))</f>
        <v/>
      </c>
      <c r="K1996" s="33">
        <f>IF(H1996="","",ROUND(IF(L1996="휴일근로",MIN(H1996,8)*1.5+MAX(0,H1996-8)*2,I1996*1.5)+N(J1996)*0.5,2))</f>
        <v/>
      </c>
      <c r="L1996" s="18" t="n"/>
      <c r="M1996" s="18" t="n"/>
      <c r="N1996" s="22" t="n"/>
    </row>
    <row r="1997">
      <c r="A1997" s="19" t="n"/>
      <c r="B1997" s="25">
        <f>IF(A1997="","",CHOOSE(WEEKDAY(A1997,2),"월","화","수","목","금","토","일"))</f>
        <v/>
      </c>
      <c r="C1997" s="18" t="n"/>
      <c r="D1997" s="25">
        <f>IFERROR(IF(C1997="","",INDEX(직원명부!$B$5:$B$24,MATCH(C1997,직원명부!$A$5:$A$24,0))),"사번 확인")</f>
        <v/>
      </c>
      <c r="E1997" s="34" t="n"/>
      <c r="F1997" s="34" t="n"/>
      <c r="G1997" s="28" t="n"/>
      <c r="H1997" s="33">
        <f>IF(OR(E1997="",F1997=""),"",ROUND(MOD(F1997-E1997,1)*24-N(G1997),2))</f>
        <v/>
      </c>
      <c r="I1997" s="33">
        <f>IF(H1997="","",ROUND(MAX(0,H1997-8),2))</f>
        <v/>
      </c>
      <c r="J1997" s="33">
        <f>IF(OR(E1997="",F1997=""),"",ROUND(IF(MOD(F1997,1)&gt;=TIME(22,0,0),(MOD(F1997,1)-TIME(22,0,0))*24,IF(MOD(F1997,1)&lt;TIME(6,0,0),(MOD(F1997,1)+1-TIME(22,0,0))*24,0)),2))</f>
        <v/>
      </c>
      <c r="K1997" s="33">
        <f>IF(H1997="","",ROUND(IF(L1997="휴일근로",MIN(H1997,8)*1.5+MAX(0,H1997-8)*2,I1997*1.5)+N(J1997)*0.5,2))</f>
        <v/>
      </c>
      <c r="L1997" s="18" t="n"/>
      <c r="M1997" s="18" t="n"/>
      <c r="N1997" s="22" t="n"/>
    </row>
    <row r="1998">
      <c r="A1998" s="19" t="n"/>
      <c r="B1998" s="25">
        <f>IF(A1998="","",CHOOSE(WEEKDAY(A1998,2),"월","화","수","목","금","토","일"))</f>
        <v/>
      </c>
      <c r="C1998" s="18" t="n"/>
      <c r="D1998" s="25">
        <f>IFERROR(IF(C1998="","",INDEX(직원명부!$B$5:$B$24,MATCH(C1998,직원명부!$A$5:$A$24,0))),"사번 확인")</f>
        <v/>
      </c>
      <c r="E1998" s="34" t="n"/>
      <c r="F1998" s="34" t="n"/>
      <c r="G1998" s="28" t="n"/>
      <c r="H1998" s="33">
        <f>IF(OR(E1998="",F1998=""),"",ROUND(MOD(F1998-E1998,1)*24-N(G1998),2))</f>
        <v/>
      </c>
      <c r="I1998" s="33">
        <f>IF(H1998="","",ROUND(MAX(0,H1998-8),2))</f>
        <v/>
      </c>
      <c r="J1998" s="33">
        <f>IF(OR(E1998="",F1998=""),"",ROUND(IF(MOD(F1998,1)&gt;=TIME(22,0,0),(MOD(F1998,1)-TIME(22,0,0))*24,IF(MOD(F1998,1)&lt;TIME(6,0,0),(MOD(F1998,1)+1-TIME(22,0,0))*24,0)),2))</f>
        <v/>
      </c>
      <c r="K1998" s="33">
        <f>IF(H1998="","",ROUND(IF(L1998="휴일근로",MIN(H1998,8)*1.5+MAX(0,H1998-8)*2,I1998*1.5)+N(J1998)*0.5,2))</f>
        <v/>
      </c>
      <c r="L1998" s="18" t="n"/>
      <c r="M1998" s="18" t="n"/>
      <c r="N1998" s="22" t="n"/>
    </row>
    <row r="1999">
      <c r="A1999" s="19" t="n"/>
      <c r="B1999" s="25">
        <f>IF(A1999="","",CHOOSE(WEEKDAY(A1999,2),"월","화","수","목","금","토","일"))</f>
        <v/>
      </c>
      <c r="C1999" s="18" t="n"/>
      <c r="D1999" s="25">
        <f>IFERROR(IF(C1999="","",INDEX(직원명부!$B$5:$B$24,MATCH(C1999,직원명부!$A$5:$A$24,0))),"사번 확인")</f>
        <v/>
      </c>
      <c r="E1999" s="34" t="n"/>
      <c r="F1999" s="34" t="n"/>
      <c r="G1999" s="28" t="n"/>
      <c r="H1999" s="33">
        <f>IF(OR(E1999="",F1999=""),"",ROUND(MOD(F1999-E1999,1)*24-N(G1999),2))</f>
        <v/>
      </c>
      <c r="I1999" s="33">
        <f>IF(H1999="","",ROUND(MAX(0,H1999-8),2))</f>
        <v/>
      </c>
      <c r="J1999" s="33">
        <f>IF(OR(E1999="",F1999=""),"",ROUND(IF(MOD(F1999,1)&gt;=TIME(22,0,0),(MOD(F1999,1)-TIME(22,0,0))*24,IF(MOD(F1999,1)&lt;TIME(6,0,0),(MOD(F1999,1)+1-TIME(22,0,0))*24,0)),2))</f>
        <v/>
      </c>
      <c r="K1999" s="33">
        <f>IF(H1999="","",ROUND(IF(L1999="휴일근로",MIN(H1999,8)*1.5+MAX(0,H1999-8)*2,I1999*1.5)+N(J1999)*0.5,2))</f>
        <v/>
      </c>
      <c r="L1999" s="18" t="n"/>
      <c r="M1999" s="18" t="n"/>
      <c r="N1999" s="22" t="n"/>
    </row>
    <row r="2000">
      <c r="A2000" s="19" t="n"/>
      <c r="B2000" s="25">
        <f>IF(A2000="","",CHOOSE(WEEKDAY(A2000,2),"월","화","수","목","금","토","일"))</f>
        <v/>
      </c>
      <c r="C2000" s="18" t="n"/>
      <c r="D2000" s="25">
        <f>IFERROR(IF(C2000="","",INDEX(직원명부!$B$5:$B$24,MATCH(C2000,직원명부!$A$5:$A$24,0))),"사번 확인")</f>
        <v/>
      </c>
      <c r="E2000" s="34" t="n"/>
      <c r="F2000" s="34" t="n"/>
      <c r="G2000" s="28" t="n"/>
      <c r="H2000" s="33">
        <f>IF(OR(E2000="",F2000=""),"",ROUND(MOD(F2000-E2000,1)*24-N(G2000),2))</f>
        <v/>
      </c>
      <c r="I2000" s="33">
        <f>IF(H2000="","",ROUND(MAX(0,H2000-8),2))</f>
        <v/>
      </c>
      <c r="J2000" s="33">
        <f>IF(OR(E2000="",F2000=""),"",ROUND(IF(MOD(F2000,1)&gt;=TIME(22,0,0),(MOD(F2000,1)-TIME(22,0,0))*24,IF(MOD(F2000,1)&lt;TIME(6,0,0),(MOD(F2000,1)+1-TIME(22,0,0))*24,0)),2))</f>
        <v/>
      </c>
      <c r="K2000" s="33">
        <f>IF(H2000="","",ROUND(IF(L2000="휴일근로",MIN(H2000,8)*1.5+MAX(0,H2000-8)*2,I2000*1.5)+N(J2000)*0.5,2))</f>
        <v/>
      </c>
      <c r="L2000" s="18" t="n"/>
      <c r="M2000" s="18" t="n"/>
      <c r="N2000" s="22" t="n"/>
    </row>
    <row r="2001">
      <c r="A2001" s="19" t="n"/>
      <c r="B2001" s="25">
        <f>IF(A2001="","",CHOOSE(WEEKDAY(A2001,2),"월","화","수","목","금","토","일"))</f>
        <v/>
      </c>
      <c r="C2001" s="18" t="n"/>
      <c r="D2001" s="25">
        <f>IFERROR(IF(C2001="","",INDEX(직원명부!$B$5:$B$24,MATCH(C2001,직원명부!$A$5:$A$24,0))),"사번 확인")</f>
        <v/>
      </c>
      <c r="E2001" s="34" t="n"/>
      <c r="F2001" s="34" t="n"/>
      <c r="G2001" s="28" t="n"/>
      <c r="H2001" s="33">
        <f>IF(OR(E2001="",F2001=""),"",ROUND(MOD(F2001-E2001,1)*24-N(G2001),2))</f>
        <v/>
      </c>
      <c r="I2001" s="33">
        <f>IF(H2001="","",ROUND(MAX(0,H2001-8),2))</f>
        <v/>
      </c>
      <c r="J2001" s="33">
        <f>IF(OR(E2001="",F2001=""),"",ROUND(IF(MOD(F2001,1)&gt;=TIME(22,0,0),(MOD(F2001,1)-TIME(22,0,0))*24,IF(MOD(F2001,1)&lt;TIME(6,0,0),(MOD(F2001,1)+1-TIME(22,0,0))*24,0)),2))</f>
        <v/>
      </c>
      <c r="K2001" s="33">
        <f>IF(H2001="","",ROUND(IF(L2001="휴일근로",MIN(H2001,8)*1.5+MAX(0,H2001-8)*2,I2001*1.5)+N(J2001)*0.5,2))</f>
        <v/>
      </c>
      <c r="L2001" s="18" t="n"/>
      <c r="M2001" s="18" t="n"/>
      <c r="N2001" s="22" t="n"/>
    </row>
    <row r="2002">
      <c r="A2002" s="19" t="n"/>
      <c r="B2002" s="25">
        <f>IF(A2002="","",CHOOSE(WEEKDAY(A2002,2),"월","화","수","목","금","토","일"))</f>
        <v/>
      </c>
      <c r="C2002" s="18" t="n"/>
      <c r="D2002" s="25">
        <f>IFERROR(IF(C2002="","",INDEX(직원명부!$B$5:$B$24,MATCH(C2002,직원명부!$A$5:$A$24,0))),"사번 확인")</f>
        <v/>
      </c>
      <c r="E2002" s="34" t="n"/>
      <c r="F2002" s="34" t="n"/>
      <c r="G2002" s="28" t="n"/>
      <c r="H2002" s="33">
        <f>IF(OR(E2002="",F2002=""),"",ROUND(MOD(F2002-E2002,1)*24-N(G2002),2))</f>
        <v/>
      </c>
      <c r="I2002" s="33">
        <f>IF(H2002="","",ROUND(MAX(0,H2002-8),2))</f>
        <v/>
      </c>
      <c r="J2002" s="33">
        <f>IF(OR(E2002="",F2002=""),"",ROUND(IF(MOD(F2002,1)&gt;=TIME(22,0,0),(MOD(F2002,1)-TIME(22,0,0))*24,IF(MOD(F2002,1)&lt;TIME(6,0,0),(MOD(F2002,1)+1-TIME(22,0,0))*24,0)),2))</f>
        <v/>
      </c>
      <c r="K2002" s="33">
        <f>IF(H2002="","",ROUND(IF(L2002="휴일근로",MIN(H2002,8)*1.5+MAX(0,H2002-8)*2,I2002*1.5)+N(J2002)*0.5,2))</f>
        <v/>
      </c>
      <c r="L2002" s="18" t="n"/>
      <c r="M2002" s="18" t="n"/>
      <c r="N2002" s="22" t="n"/>
    </row>
    <row r="2003">
      <c r="A2003" s="19" t="n"/>
      <c r="B2003" s="25">
        <f>IF(A2003="","",CHOOSE(WEEKDAY(A2003,2),"월","화","수","목","금","토","일"))</f>
        <v/>
      </c>
      <c r="C2003" s="18" t="n"/>
      <c r="D2003" s="25">
        <f>IFERROR(IF(C2003="","",INDEX(직원명부!$B$5:$B$24,MATCH(C2003,직원명부!$A$5:$A$24,0))),"사번 확인")</f>
        <v/>
      </c>
      <c r="E2003" s="34" t="n"/>
      <c r="F2003" s="34" t="n"/>
      <c r="G2003" s="28" t="n"/>
      <c r="H2003" s="33">
        <f>IF(OR(E2003="",F2003=""),"",ROUND(MOD(F2003-E2003,1)*24-N(G2003),2))</f>
        <v/>
      </c>
      <c r="I2003" s="33">
        <f>IF(H2003="","",ROUND(MAX(0,H2003-8),2))</f>
        <v/>
      </c>
      <c r="J2003" s="33">
        <f>IF(OR(E2003="",F2003=""),"",ROUND(IF(MOD(F2003,1)&gt;=TIME(22,0,0),(MOD(F2003,1)-TIME(22,0,0))*24,IF(MOD(F2003,1)&lt;TIME(6,0,0),(MOD(F2003,1)+1-TIME(22,0,0))*24,0)),2))</f>
        <v/>
      </c>
      <c r="K2003" s="33">
        <f>IF(H2003="","",ROUND(IF(L2003="휴일근로",MIN(H2003,8)*1.5+MAX(0,H2003-8)*2,I2003*1.5)+N(J2003)*0.5,2))</f>
        <v/>
      </c>
      <c r="L2003" s="18" t="n"/>
      <c r="M2003" s="18" t="n"/>
      <c r="N2003" s="22" t="n"/>
    </row>
    <row r="2004">
      <c r="A2004" s="19" t="n"/>
      <c r="B2004" s="25">
        <f>IF(A2004="","",CHOOSE(WEEKDAY(A2004,2),"월","화","수","목","금","토","일"))</f>
        <v/>
      </c>
      <c r="C2004" s="18" t="n"/>
      <c r="D2004" s="25">
        <f>IFERROR(IF(C2004="","",INDEX(직원명부!$B$5:$B$24,MATCH(C2004,직원명부!$A$5:$A$24,0))),"사번 확인")</f>
        <v/>
      </c>
      <c r="E2004" s="34" t="n"/>
      <c r="F2004" s="34" t="n"/>
      <c r="G2004" s="28" t="n"/>
      <c r="H2004" s="33">
        <f>IF(OR(E2004="",F2004=""),"",ROUND(MOD(F2004-E2004,1)*24-N(G2004),2))</f>
        <v/>
      </c>
      <c r="I2004" s="33">
        <f>IF(H2004="","",ROUND(MAX(0,H2004-8),2))</f>
        <v/>
      </c>
      <c r="J2004" s="33">
        <f>IF(OR(E2004="",F2004=""),"",ROUND(IF(MOD(F2004,1)&gt;=TIME(22,0,0),(MOD(F2004,1)-TIME(22,0,0))*24,IF(MOD(F2004,1)&lt;TIME(6,0,0),(MOD(F2004,1)+1-TIME(22,0,0))*24,0)),2))</f>
        <v/>
      </c>
      <c r="K2004" s="33">
        <f>IF(H2004="","",ROUND(IF(L2004="휴일근로",MIN(H2004,8)*1.5+MAX(0,H2004-8)*2,I2004*1.5)+N(J2004)*0.5,2))</f>
        <v/>
      </c>
      <c r="L2004" s="18" t="n"/>
      <c r="M2004" s="18" t="n"/>
      <c r="N2004" s="22" t="n"/>
    </row>
    <row r="2005"/>
    <row r="2006">
      <c r="A2006" s="2" t="inlineStr">
        <is>
          <t>· 「연장시간」은 1일 8시간 초과분입니다. 이 시간에는 통상임금의 50%를 가산해 지급합니다. 휴일근로는 8시간 이내 50%, 8시간 초과분은 100%입니다. (취업규칙 제21조제2항)</t>
        </is>
      </c>
    </row>
    <row r="2007">
      <c r="A2007" s="2" t="inlineStr">
        <is>
          <t>· 5인 미만 사업장에는 가산수당 지급의무가 법으로 강제되지 않지만, 마인드는 근로계약과 통일하기 위해 취업규칙으로 정해 지급합니다. 5명 이상이 되면 여기에 주 12시간 연장 한도가 더해집니다.</t>
        </is>
      </c>
    </row>
    <row r="2008">
      <c r="A2008" s="2" t="inlineStr">
        <is>
          <t>· 「프로젝트」 칸에 그날 주로 작업한 프로젝트명을 적으면 프로젝트집계 시트에서 투입시간이 자동으로 모입니다. 프로젝트명은 매번 같은 표기를 쓰세요. 띄어쓰기가 다르면 다른 프로젝트로 집계됩니다.</t>
        </is>
      </c>
    </row>
    <row r="2009">
      <c r="A2009" s="2" t="inlineStr">
        <is>
          <t>· 「야간시간」은 22:00~06:00 사이의 근로시간이며 퇴근 시각으로 자동 산정합니다. 자정을 넘겨도 계산됩니다. 「보상휴가」는 가산율을 반영한 환산 시간입니다 — 연장 × 1.5 + 야간 × 0.5, 휴일근로는 8시간 이내 × 1.5, 초과분 × 2.0. (취업규칙 제21조제4항)</t>
        </is>
      </c>
    </row>
    <row r="2010">
      <c r="A2010" s="2" t="inlineStr">
        <is>
          <t>· 보상휴가는 1대1이 아닙니다. 23:00까지 근무하면 8시간(하루치)이 쌓입니다. 사용과 잔여는 보상휴가 시트에서 봅니다.</t>
        </is>
      </c>
    </row>
    <row r="2011">
      <c r="A2011" s="2" t="inlineStr">
        <is>
          <t>· 「조퇴」는 사원이 사정이 생겨 먼저 간 날입니다. 회사가 먼저 가라고 한 날은 「단축근무」로 적으세요. 임금은 소정근로시간 전부를 지급하며 연차에서 차감하지 않습니다. 둘을 섞어 적으면 월별집계의 조퇴 건수가 사원의 잘못처럼 보입니다.</t>
        </is>
      </c>
    </row>
  </sheetData>
  <dataValidations count="1">
    <dataValidation sqref="L5:L2004" showDropDown="0" showInputMessage="0" showErrorMessage="0" allowBlank="1" type="list">
      <formula1>=코드표!$C$5:$C$14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3" customWidth="1" min="5" max="5"/>
    <col width="11" customWidth="1" min="6" max="6"/>
    <col width="8" customWidth="1" min="7" max="7"/>
    <col width="8" customWidth="1" min="8" max="8"/>
    <col width="8" customWidth="1" min="9" max="9"/>
    <col width="11" customWidth="1" min="10" max="10"/>
    <col width="11" customWidth="1" min="11" max="11"/>
  </cols>
  <sheetData>
    <row r="1">
      <c r="A1" s="1" t="inlineStr">
        <is>
          <t>월별집계</t>
        </is>
      </c>
    </row>
    <row r="2">
      <c r="A2" s="2" t="inlineStr">
        <is>
          <t>조회할 달의 1일 날짜만 바꾸면 그 달 실적이 직원별로 자동 집계됩니다.</t>
        </is>
      </c>
    </row>
    <row r="3">
      <c r="A3" s="23" t="inlineStr">
        <is>
          <t>조회 월</t>
        </is>
      </c>
      <c r="B3" s="35" t="n">
        <v>46266</v>
      </c>
      <c r="C3" s="2" t="inlineStr">
        <is>
          <t>← 반드시 해당 월 1일 날짜로 넣으세요. (예: 2026-05-01)</t>
        </is>
      </c>
    </row>
    <row r="4" ht="30" customHeight="1">
      <c r="A4" s="11" t="inlineStr">
        <is>
          <t>사번</t>
        </is>
      </c>
      <c r="B4" s="11" t="inlineStr">
        <is>
          <t>성명</t>
        </is>
      </c>
      <c r="C4" s="11" t="inlineStr">
        <is>
          <t>재직상태</t>
        </is>
      </c>
      <c r="D4" s="11" t="inlineStr">
        <is>
          <t>근무일수</t>
        </is>
      </c>
      <c r="E4" s="11" t="inlineStr">
        <is>
          <t>총 근무시간</t>
        </is>
      </c>
      <c r="F4" s="11" t="inlineStr">
        <is>
          <t>연장시간</t>
        </is>
      </c>
      <c r="G4" s="11" t="inlineStr">
        <is>
          <t>지각</t>
        </is>
      </c>
      <c r="H4" s="11" t="inlineStr">
        <is>
          <t>조퇴</t>
        </is>
      </c>
      <c r="I4" s="11" t="inlineStr">
        <is>
          <t>결근</t>
        </is>
      </c>
      <c r="J4" s="11" t="inlineStr">
        <is>
          <t>연차사용</t>
        </is>
      </c>
      <c r="K4" s="11" t="inlineStr">
        <is>
          <t>기타휴가</t>
        </is>
      </c>
    </row>
    <row r="5">
      <c r="A5" s="25">
        <f>IF(직원명부!A5="","",직원명부!A5)</f>
        <v/>
      </c>
      <c r="B5" s="25">
        <f>IF(직원명부!B5="","",직원명부!B5)</f>
        <v/>
      </c>
      <c r="C5" s="25">
        <f>IF(직원명부!F5="","",직원명부!F5)</f>
        <v/>
      </c>
      <c r="D5" s="30">
        <f>IF($A5="","",COUNTIFS(근태기록!$C$5:$C$2004,$A5,근태기록!$A$5:$A$2004,"&gt;="&amp;$B$3,근태기록!$A$5:$A$2004,"&lt;="&amp;EOMONTH($B$3,0),근태기록!$H$5:$H$2004,"&gt;0"))</f>
        <v/>
      </c>
      <c r="E5" s="33">
        <f>IF($A5="","",SUMIFS(근태기록!$H$5:$H$2004,근태기록!$C$5:$C$2004,$A5,근태기록!$A$5:$A$2004,"&gt;="&amp;$B$3,근태기록!$A$5:$A$2004,"&lt;="&amp;EOMONTH($B$3,0)))</f>
        <v/>
      </c>
      <c r="F5" s="33">
        <f>IF($A5="","",SUMIFS(근태기록!$I$5:$I$2004,근태기록!$C$5:$C$2004,$A5,근태기록!$A$5:$A$2004,"&gt;="&amp;$B$3,근태기록!$A$5:$A$2004,"&lt;="&amp;EOMONTH($B$3,0)))</f>
        <v/>
      </c>
      <c r="G5" s="30">
        <f>IF($A5="","",COUNTIFS(근태기록!$C$5:$C$2004,$A5,근태기록!$A$5:$A$2004,"&gt;="&amp;$B$3,근태기록!$A$5:$A$2004,"&lt;="&amp;EOMONTH($B$3,0),근태기록!$L$5:$L$2004,"지각"))</f>
        <v/>
      </c>
      <c r="H5" s="30">
        <f>IF($A5="","",COUNTIFS(근태기록!$C$5:$C$2004,$A5,근태기록!$A$5:$A$2004,"&gt;="&amp;$B$3,근태기록!$A$5:$A$2004,"&lt;="&amp;EOMONTH($B$3,0),근태기록!$L$5:$L$2004,"조퇴"))</f>
        <v/>
      </c>
      <c r="I5" s="30">
        <f>IF($A5="","",COUNTIFS(근태기록!$C$5:$C$2004,$A5,근태기록!$A$5:$A$2004,"&gt;="&amp;$B$3,근태기록!$A$5:$A$2004,"&lt;="&amp;EOMONTH($B$3,0),근태기록!$L$5:$L$2004,"결근"))</f>
        <v/>
      </c>
      <c r="J5" s="27">
        <f>IF($A5="","",SUMIFS(휴가대장!$F$5:$F$504,휴가대장!$B$5:$B$504,$A5,휴가대장!$E$5:$E$504,"연차",휴가대장!$D$5:$D$504,"&gt;="&amp;$B$3,휴가대장!$D$5:$D$504,"&lt;="&amp;EOMONTH($B$3,0)))</f>
        <v/>
      </c>
      <c r="K5" s="27">
        <f>IF($A5="","",SUMIFS(휴가대장!$F$5:$F$504,휴가대장!$B$5:$B$504,$A5,휴가대장!$D$5:$D$504,"&gt;="&amp;$B$3,휴가대장!$D$5:$D$504,"&lt;="&amp;EOMONTH($B$3,0))-SUMIFS(휴가대장!$F$5:$F$504,휴가대장!$B$5:$B$504,$A5,휴가대장!$E$5:$E$504,"연차",휴가대장!$D$5:$D$504,"&gt;="&amp;$B$3,휴가대장!$D$5:$D$504,"&lt;="&amp;EOMONTH($B$3,0)))</f>
        <v/>
      </c>
    </row>
    <row r="6">
      <c r="A6" s="25">
        <f>IF(직원명부!A6="","",직원명부!A6)</f>
        <v/>
      </c>
      <c r="B6" s="25">
        <f>IF(직원명부!B6="","",직원명부!B6)</f>
        <v/>
      </c>
      <c r="C6" s="25">
        <f>IF(직원명부!F6="","",직원명부!F6)</f>
        <v/>
      </c>
      <c r="D6" s="30">
        <f>IF($A6="","",COUNTIFS(근태기록!$C$5:$C$2004,$A6,근태기록!$A$5:$A$2004,"&gt;="&amp;$B$3,근태기록!$A$5:$A$2004,"&lt;="&amp;EOMONTH($B$3,0),근태기록!$H$5:$H$2004,"&gt;0"))</f>
        <v/>
      </c>
      <c r="E6" s="33">
        <f>IF($A6="","",SUMIFS(근태기록!$H$5:$H$2004,근태기록!$C$5:$C$2004,$A6,근태기록!$A$5:$A$2004,"&gt;="&amp;$B$3,근태기록!$A$5:$A$2004,"&lt;="&amp;EOMONTH($B$3,0)))</f>
        <v/>
      </c>
      <c r="F6" s="33">
        <f>IF($A6="","",SUMIFS(근태기록!$I$5:$I$2004,근태기록!$C$5:$C$2004,$A6,근태기록!$A$5:$A$2004,"&gt;="&amp;$B$3,근태기록!$A$5:$A$2004,"&lt;="&amp;EOMONTH($B$3,0)))</f>
        <v/>
      </c>
      <c r="G6" s="30">
        <f>IF($A6="","",COUNTIFS(근태기록!$C$5:$C$2004,$A6,근태기록!$A$5:$A$2004,"&gt;="&amp;$B$3,근태기록!$A$5:$A$2004,"&lt;="&amp;EOMONTH($B$3,0),근태기록!$L$5:$L$2004,"지각"))</f>
        <v/>
      </c>
      <c r="H6" s="30">
        <f>IF($A6="","",COUNTIFS(근태기록!$C$5:$C$2004,$A6,근태기록!$A$5:$A$2004,"&gt;="&amp;$B$3,근태기록!$A$5:$A$2004,"&lt;="&amp;EOMONTH($B$3,0),근태기록!$L$5:$L$2004,"조퇴"))</f>
        <v/>
      </c>
      <c r="I6" s="30">
        <f>IF($A6="","",COUNTIFS(근태기록!$C$5:$C$2004,$A6,근태기록!$A$5:$A$2004,"&gt;="&amp;$B$3,근태기록!$A$5:$A$2004,"&lt;="&amp;EOMONTH($B$3,0),근태기록!$L$5:$L$2004,"결근"))</f>
        <v/>
      </c>
      <c r="J6" s="27">
        <f>IF($A6="","",SUMIFS(휴가대장!$F$5:$F$504,휴가대장!$B$5:$B$504,$A6,휴가대장!$E$5:$E$504,"연차",휴가대장!$D$5:$D$504,"&gt;="&amp;$B$3,휴가대장!$D$5:$D$504,"&lt;="&amp;EOMONTH($B$3,0)))</f>
        <v/>
      </c>
      <c r="K6" s="27">
        <f>IF($A6="","",SUMIFS(휴가대장!$F$5:$F$504,휴가대장!$B$5:$B$504,$A6,휴가대장!$D$5:$D$504,"&gt;="&amp;$B$3,휴가대장!$D$5:$D$504,"&lt;="&amp;EOMONTH($B$3,0))-SUMIFS(휴가대장!$F$5:$F$504,휴가대장!$B$5:$B$504,$A6,휴가대장!$E$5:$E$504,"연차",휴가대장!$D$5:$D$504,"&gt;="&amp;$B$3,휴가대장!$D$5:$D$504,"&lt;="&amp;EOMONTH($B$3,0)))</f>
        <v/>
      </c>
    </row>
    <row r="7">
      <c r="A7" s="25">
        <f>IF(직원명부!A7="","",직원명부!A7)</f>
        <v/>
      </c>
      <c r="B7" s="25">
        <f>IF(직원명부!B7="","",직원명부!B7)</f>
        <v/>
      </c>
      <c r="C7" s="25">
        <f>IF(직원명부!F7="","",직원명부!F7)</f>
        <v/>
      </c>
      <c r="D7" s="30">
        <f>IF($A7="","",COUNTIFS(근태기록!$C$5:$C$2004,$A7,근태기록!$A$5:$A$2004,"&gt;="&amp;$B$3,근태기록!$A$5:$A$2004,"&lt;="&amp;EOMONTH($B$3,0),근태기록!$H$5:$H$2004,"&gt;0"))</f>
        <v/>
      </c>
      <c r="E7" s="33">
        <f>IF($A7="","",SUMIFS(근태기록!$H$5:$H$2004,근태기록!$C$5:$C$2004,$A7,근태기록!$A$5:$A$2004,"&gt;="&amp;$B$3,근태기록!$A$5:$A$2004,"&lt;="&amp;EOMONTH($B$3,0)))</f>
        <v/>
      </c>
      <c r="F7" s="33">
        <f>IF($A7="","",SUMIFS(근태기록!$I$5:$I$2004,근태기록!$C$5:$C$2004,$A7,근태기록!$A$5:$A$2004,"&gt;="&amp;$B$3,근태기록!$A$5:$A$2004,"&lt;="&amp;EOMONTH($B$3,0)))</f>
        <v/>
      </c>
      <c r="G7" s="30">
        <f>IF($A7="","",COUNTIFS(근태기록!$C$5:$C$2004,$A7,근태기록!$A$5:$A$2004,"&gt;="&amp;$B$3,근태기록!$A$5:$A$2004,"&lt;="&amp;EOMONTH($B$3,0),근태기록!$L$5:$L$2004,"지각"))</f>
        <v/>
      </c>
      <c r="H7" s="30">
        <f>IF($A7="","",COUNTIFS(근태기록!$C$5:$C$2004,$A7,근태기록!$A$5:$A$2004,"&gt;="&amp;$B$3,근태기록!$A$5:$A$2004,"&lt;="&amp;EOMONTH($B$3,0),근태기록!$L$5:$L$2004,"조퇴"))</f>
        <v/>
      </c>
      <c r="I7" s="30">
        <f>IF($A7="","",COUNTIFS(근태기록!$C$5:$C$2004,$A7,근태기록!$A$5:$A$2004,"&gt;="&amp;$B$3,근태기록!$A$5:$A$2004,"&lt;="&amp;EOMONTH($B$3,0),근태기록!$L$5:$L$2004,"결근"))</f>
        <v/>
      </c>
      <c r="J7" s="27">
        <f>IF($A7="","",SUMIFS(휴가대장!$F$5:$F$504,휴가대장!$B$5:$B$504,$A7,휴가대장!$E$5:$E$504,"연차",휴가대장!$D$5:$D$504,"&gt;="&amp;$B$3,휴가대장!$D$5:$D$504,"&lt;="&amp;EOMONTH($B$3,0)))</f>
        <v/>
      </c>
      <c r="K7" s="27">
        <f>IF($A7="","",SUMIFS(휴가대장!$F$5:$F$504,휴가대장!$B$5:$B$504,$A7,휴가대장!$D$5:$D$504,"&gt;="&amp;$B$3,휴가대장!$D$5:$D$504,"&lt;="&amp;EOMONTH($B$3,0))-SUMIFS(휴가대장!$F$5:$F$504,휴가대장!$B$5:$B$504,$A7,휴가대장!$E$5:$E$504,"연차",휴가대장!$D$5:$D$504,"&gt;="&amp;$B$3,휴가대장!$D$5:$D$504,"&lt;="&amp;EOMONTH($B$3,0)))</f>
        <v/>
      </c>
    </row>
    <row r="8">
      <c r="A8" s="25">
        <f>IF(직원명부!A8="","",직원명부!A8)</f>
        <v/>
      </c>
      <c r="B8" s="25">
        <f>IF(직원명부!B8="","",직원명부!B8)</f>
        <v/>
      </c>
      <c r="C8" s="25">
        <f>IF(직원명부!F8="","",직원명부!F8)</f>
        <v/>
      </c>
      <c r="D8" s="30">
        <f>IF($A8="","",COUNTIFS(근태기록!$C$5:$C$2004,$A8,근태기록!$A$5:$A$2004,"&gt;="&amp;$B$3,근태기록!$A$5:$A$2004,"&lt;="&amp;EOMONTH($B$3,0),근태기록!$H$5:$H$2004,"&gt;0"))</f>
        <v/>
      </c>
      <c r="E8" s="33">
        <f>IF($A8="","",SUMIFS(근태기록!$H$5:$H$2004,근태기록!$C$5:$C$2004,$A8,근태기록!$A$5:$A$2004,"&gt;="&amp;$B$3,근태기록!$A$5:$A$2004,"&lt;="&amp;EOMONTH($B$3,0)))</f>
        <v/>
      </c>
      <c r="F8" s="33">
        <f>IF($A8="","",SUMIFS(근태기록!$I$5:$I$2004,근태기록!$C$5:$C$2004,$A8,근태기록!$A$5:$A$2004,"&gt;="&amp;$B$3,근태기록!$A$5:$A$2004,"&lt;="&amp;EOMONTH($B$3,0)))</f>
        <v/>
      </c>
      <c r="G8" s="30">
        <f>IF($A8="","",COUNTIFS(근태기록!$C$5:$C$2004,$A8,근태기록!$A$5:$A$2004,"&gt;="&amp;$B$3,근태기록!$A$5:$A$2004,"&lt;="&amp;EOMONTH($B$3,0),근태기록!$L$5:$L$2004,"지각"))</f>
        <v/>
      </c>
      <c r="H8" s="30">
        <f>IF($A8="","",COUNTIFS(근태기록!$C$5:$C$2004,$A8,근태기록!$A$5:$A$2004,"&gt;="&amp;$B$3,근태기록!$A$5:$A$2004,"&lt;="&amp;EOMONTH($B$3,0),근태기록!$L$5:$L$2004,"조퇴"))</f>
        <v/>
      </c>
      <c r="I8" s="30">
        <f>IF($A8="","",COUNTIFS(근태기록!$C$5:$C$2004,$A8,근태기록!$A$5:$A$2004,"&gt;="&amp;$B$3,근태기록!$A$5:$A$2004,"&lt;="&amp;EOMONTH($B$3,0),근태기록!$L$5:$L$2004,"결근"))</f>
        <v/>
      </c>
      <c r="J8" s="27">
        <f>IF($A8="","",SUMIFS(휴가대장!$F$5:$F$504,휴가대장!$B$5:$B$504,$A8,휴가대장!$E$5:$E$504,"연차",휴가대장!$D$5:$D$504,"&gt;="&amp;$B$3,휴가대장!$D$5:$D$504,"&lt;="&amp;EOMONTH($B$3,0)))</f>
        <v/>
      </c>
      <c r="K8" s="27">
        <f>IF($A8="","",SUMIFS(휴가대장!$F$5:$F$504,휴가대장!$B$5:$B$504,$A8,휴가대장!$D$5:$D$504,"&gt;="&amp;$B$3,휴가대장!$D$5:$D$504,"&lt;="&amp;EOMONTH($B$3,0))-SUMIFS(휴가대장!$F$5:$F$504,휴가대장!$B$5:$B$504,$A8,휴가대장!$E$5:$E$504,"연차",휴가대장!$D$5:$D$504,"&gt;="&amp;$B$3,휴가대장!$D$5:$D$504,"&lt;="&amp;EOMONTH($B$3,0)))</f>
        <v/>
      </c>
    </row>
    <row r="9">
      <c r="A9" s="25">
        <f>IF(직원명부!A9="","",직원명부!A9)</f>
        <v/>
      </c>
      <c r="B9" s="25">
        <f>IF(직원명부!B9="","",직원명부!B9)</f>
        <v/>
      </c>
      <c r="C9" s="25">
        <f>IF(직원명부!F9="","",직원명부!F9)</f>
        <v/>
      </c>
      <c r="D9" s="30">
        <f>IF($A9="","",COUNTIFS(근태기록!$C$5:$C$2004,$A9,근태기록!$A$5:$A$2004,"&gt;="&amp;$B$3,근태기록!$A$5:$A$2004,"&lt;="&amp;EOMONTH($B$3,0),근태기록!$H$5:$H$2004,"&gt;0"))</f>
        <v/>
      </c>
      <c r="E9" s="33">
        <f>IF($A9="","",SUMIFS(근태기록!$H$5:$H$2004,근태기록!$C$5:$C$2004,$A9,근태기록!$A$5:$A$2004,"&gt;="&amp;$B$3,근태기록!$A$5:$A$2004,"&lt;="&amp;EOMONTH($B$3,0)))</f>
        <v/>
      </c>
      <c r="F9" s="33">
        <f>IF($A9="","",SUMIFS(근태기록!$I$5:$I$2004,근태기록!$C$5:$C$2004,$A9,근태기록!$A$5:$A$2004,"&gt;="&amp;$B$3,근태기록!$A$5:$A$2004,"&lt;="&amp;EOMONTH($B$3,0)))</f>
        <v/>
      </c>
      <c r="G9" s="30">
        <f>IF($A9="","",COUNTIFS(근태기록!$C$5:$C$2004,$A9,근태기록!$A$5:$A$2004,"&gt;="&amp;$B$3,근태기록!$A$5:$A$2004,"&lt;="&amp;EOMONTH($B$3,0),근태기록!$L$5:$L$2004,"지각"))</f>
        <v/>
      </c>
      <c r="H9" s="30">
        <f>IF($A9="","",COUNTIFS(근태기록!$C$5:$C$2004,$A9,근태기록!$A$5:$A$2004,"&gt;="&amp;$B$3,근태기록!$A$5:$A$2004,"&lt;="&amp;EOMONTH($B$3,0),근태기록!$L$5:$L$2004,"조퇴"))</f>
        <v/>
      </c>
      <c r="I9" s="30">
        <f>IF($A9="","",COUNTIFS(근태기록!$C$5:$C$2004,$A9,근태기록!$A$5:$A$2004,"&gt;="&amp;$B$3,근태기록!$A$5:$A$2004,"&lt;="&amp;EOMONTH($B$3,0),근태기록!$L$5:$L$2004,"결근"))</f>
        <v/>
      </c>
      <c r="J9" s="27">
        <f>IF($A9="","",SUMIFS(휴가대장!$F$5:$F$504,휴가대장!$B$5:$B$504,$A9,휴가대장!$E$5:$E$504,"연차",휴가대장!$D$5:$D$504,"&gt;="&amp;$B$3,휴가대장!$D$5:$D$504,"&lt;="&amp;EOMONTH($B$3,0)))</f>
        <v/>
      </c>
      <c r="K9" s="27">
        <f>IF($A9="","",SUMIFS(휴가대장!$F$5:$F$504,휴가대장!$B$5:$B$504,$A9,휴가대장!$D$5:$D$504,"&gt;="&amp;$B$3,휴가대장!$D$5:$D$504,"&lt;="&amp;EOMONTH($B$3,0))-SUMIFS(휴가대장!$F$5:$F$504,휴가대장!$B$5:$B$504,$A9,휴가대장!$E$5:$E$504,"연차",휴가대장!$D$5:$D$504,"&gt;="&amp;$B$3,휴가대장!$D$5:$D$504,"&lt;="&amp;EOMONTH($B$3,0)))</f>
        <v/>
      </c>
    </row>
    <row r="10">
      <c r="A10" s="25">
        <f>IF(직원명부!A10="","",직원명부!A10)</f>
        <v/>
      </c>
      <c r="B10" s="25">
        <f>IF(직원명부!B10="","",직원명부!B10)</f>
        <v/>
      </c>
      <c r="C10" s="25">
        <f>IF(직원명부!F10="","",직원명부!F10)</f>
        <v/>
      </c>
      <c r="D10" s="30">
        <f>IF($A10="","",COUNTIFS(근태기록!$C$5:$C$2004,$A10,근태기록!$A$5:$A$2004,"&gt;="&amp;$B$3,근태기록!$A$5:$A$2004,"&lt;="&amp;EOMONTH($B$3,0),근태기록!$H$5:$H$2004,"&gt;0"))</f>
        <v/>
      </c>
      <c r="E10" s="33">
        <f>IF($A10="","",SUMIFS(근태기록!$H$5:$H$2004,근태기록!$C$5:$C$2004,$A10,근태기록!$A$5:$A$2004,"&gt;="&amp;$B$3,근태기록!$A$5:$A$2004,"&lt;="&amp;EOMONTH($B$3,0)))</f>
        <v/>
      </c>
      <c r="F10" s="33">
        <f>IF($A10="","",SUMIFS(근태기록!$I$5:$I$2004,근태기록!$C$5:$C$2004,$A10,근태기록!$A$5:$A$2004,"&gt;="&amp;$B$3,근태기록!$A$5:$A$2004,"&lt;="&amp;EOMONTH($B$3,0)))</f>
        <v/>
      </c>
      <c r="G10" s="30">
        <f>IF($A10="","",COUNTIFS(근태기록!$C$5:$C$2004,$A10,근태기록!$A$5:$A$2004,"&gt;="&amp;$B$3,근태기록!$A$5:$A$2004,"&lt;="&amp;EOMONTH($B$3,0),근태기록!$L$5:$L$2004,"지각"))</f>
        <v/>
      </c>
      <c r="H10" s="30">
        <f>IF($A10="","",COUNTIFS(근태기록!$C$5:$C$2004,$A10,근태기록!$A$5:$A$2004,"&gt;="&amp;$B$3,근태기록!$A$5:$A$2004,"&lt;="&amp;EOMONTH($B$3,0),근태기록!$L$5:$L$2004,"조퇴"))</f>
        <v/>
      </c>
      <c r="I10" s="30">
        <f>IF($A10="","",COUNTIFS(근태기록!$C$5:$C$2004,$A10,근태기록!$A$5:$A$2004,"&gt;="&amp;$B$3,근태기록!$A$5:$A$2004,"&lt;="&amp;EOMONTH($B$3,0),근태기록!$L$5:$L$2004,"결근"))</f>
        <v/>
      </c>
      <c r="J10" s="27">
        <f>IF($A10="","",SUMIFS(휴가대장!$F$5:$F$504,휴가대장!$B$5:$B$504,$A10,휴가대장!$E$5:$E$504,"연차",휴가대장!$D$5:$D$504,"&gt;="&amp;$B$3,휴가대장!$D$5:$D$504,"&lt;="&amp;EOMONTH($B$3,0)))</f>
        <v/>
      </c>
      <c r="K10" s="27">
        <f>IF($A10="","",SUMIFS(휴가대장!$F$5:$F$504,휴가대장!$B$5:$B$504,$A10,휴가대장!$D$5:$D$504,"&gt;="&amp;$B$3,휴가대장!$D$5:$D$504,"&lt;="&amp;EOMONTH($B$3,0))-SUMIFS(휴가대장!$F$5:$F$504,휴가대장!$B$5:$B$504,$A10,휴가대장!$E$5:$E$504,"연차",휴가대장!$D$5:$D$504,"&gt;="&amp;$B$3,휴가대장!$D$5:$D$504,"&lt;="&amp;EOMONTH($B$3,0)))</f>
        <v/>
      </c>
    </row>
    <row r="11">
      <c r="A11" s="25">
        <f>IF(직원명부!A11="","",직원명부!A11)</f>
        <v/>
      </c>
      <c r="B11" s="25">
        <f>IF(직원명부!B11="","",직원명부!B11)</f>
        <v/>
      </c>
      <c r="C11" s="25">
        <f>IF(직원명부!F11="","",직원명부!F11)</f>
        <v/>
      </c>
      <c r="D11" s="30">
        <f>IF($A11="","",COUNTIFS(근태기록!$C$5:$C$2004,$A11,근태기록!$A$5:$A$2004,"&gt;="&amp;$B$3,근태기록!$A$5:$A$2004,"&lt;="&amp;EOMONTH($B$3,0),근태기록!$H$5:$H$2004,"&gt;0"))</f>
        <v/>
      </c>
      <c r="E11" s="33">
        <f>IF($A11="","",SUMIFS(근태기록!$H$5:$H$2004,근태기록!$C$5:$C$2004,$A11,근태기록!$A$5:$A$2004,"&gt;="&amp;$B$3,근태기록!$A$5:$A$2004,"&lt;="&amp;EOMONTH($B$3,0)))</f>
        <v/>
      </c>
      <c r="F11" s="33">
        <f>IF($A11="","",SUMIFS(근태기록!$I$5:$I$2004,근태기록!$C$5:$C$2004,$A11,근태기록!$A$5:$A$2004,"&gt;="&amp;$B$3,근태기록!$A$5:$A$2004,"&lt;="&amp;EOMONTH($B$3,0)))</f>
        <v/>
      </c>
      <c r="G11" s="30">
        <f>IF($A11="","",COUNTIFS(근태기록!$C$5:$C$2004,$A11,근태기록!$A$5:$A$2004,"&gt;="&amp;$B$3,근태기록!$A$5:$A$2004,"&lt;="&amp;EOMONTH($B$3,0),근태기록!$L$5:$L$2004,"지각"))</f>
        <v/>
      </c>
      <c r="H11" s="30">
        <f>IF($A11="","",COUNTIFS(근태기록!$C$5:$C$2004,$A11,근태기록!$A$5:$A$2004,"&gt;="&amp;$B$3,근태기록!$A$5:$A$2004,"&lt;="&amp;EOMONTH($B$3,0),근태기록!$L$5:$L$2004,"조퇴"))</f>
        <v/>
      </c>
      <c r="I11" s="30">
        <f>IF($A11="","",COUNTIFS(근태기록!$C$5:$C$2004,$A11,근태기록!$A$5:$A$2004,"&gt;="&amp;$B$3,근태기록!$A$5:$A$2004,"&lt;="&amp;EOMONTH($B$3,0),근태기록!$L$5:$L$2004,"결근"))</f>
        <v/>
      </c>
      <c r="J11" s="27">
        <f>IF($A11="","",SUMIFS(휴가대장!$F$5:$F$504,휴가대장!$B$5:$B$504,$A11,휴가대장!$E$5:$E$504,"연차",휴가대장!$D$5:$D$504,"&gt;="&amp;$B$3,휴가대장!$D$5:$D$504,"&lt;="&amp;EOMONTH($B$3,0)))</f>
        <v/>
      </c>
      <c r="K11" s="27">
        <f>IF($A11="","",SUMIFS(휴가대장!$F$5:$F$504,휴가대장!$B$5:$B$504,$A11,휴가대장!$D$5:$D$504,"&gt;="&amp;$B$3,휴가대장!$D$5:$D$504,"&lt;="&amp;EOMONTH($B$3,0))-SUMIFS(휴가대장!$F$5:$F$504,휴가대장!$B$5:$B$504,$A11,휴가대장!$E$5:$E$504,"연차",휴가대장!$D$5:$D$504,"&gt;="&amp;$B$3,휴가대장!$D$5:$D$504,"&lt;="&amp;EOMONTH($B$3,0)))</f>
        <v/>
      </c>
    </row>
    <row r="12">
      <c r="A12" s="25">
        <f>IF(직원명부!A12="","",직원명부!A12)</f>
        <v/>
      </c>
      <c r="B12" s="25">
        <f>IF(직원명부!B12="","",직원명부!B12)</f>
        <v/>
      </c>
      <c r="C12" s="25">
        <f>IF(직원명부!F12="","",직원명부!F12)</f>
        <v/>
      </c>
      <c r="D12" s="30">
        <f>IF($A12="","",COUNTIFS(근태기록!$C$5:$C$2004,$A12,근태기록!$A$5:$A$2004,"&gt;="&amp;$B$3,근태기록!$A$5:$A$2004,"&lt;="&amp;EOMONTH($B$3,0),근태기록!$H$5:$H$2004,"&gt;0"))</f>
        <v/>
      </c>
      <c r="E12" s="33">
        <f>IF($A12="","",SUMIFS(근태기록!$H$5:$H$2004,근태기록!$C$5:$C$2004,$A12,근태기록!$A$5:$A$2004,"&gt;="&amp;$B$3,근태기록!$A$5:$A$2004,"&lt;="&amp;EOMONTH($B$3,0)))</f>
        <v/>
      </c>
      <c r="F12" s="33">
        <f>IF($A12="","",SUMIFS(근태기록!$I$5:$I$2004,근태기록!$C$5:$C$2004,$A12,근태기록!$A$5:$A$2004,"&gt;="&amp;$B$3,근태기록!$A$5:$A$2004,"&lt;="&amp;EOMONTH($B$3,0)))</f>
        <v/>
      </c>
      <c r="G12" s="30">
        <f>IF($A12="","",COUNTIFS(근태기록!$C$5:$C$2004,$A12,근태기록!$A$5:$A$2004,"&gt;="&amp;$B$3,근태기록!$A$5:$A$2004,"&lt;="&amp;EOMONTH($B$3,0),근태기록!$L$5:$L$2004,"지각"))</f>
        <v/>
      </c>
      <c r="H12" s="30">
        <f>IF($A12="","",COUNTIFS(근태기록!$C$5:$C$2004,$A12,근태기록!$A$5:$A$2004,"&gt;="&amp;$B$3,근태기록!$A$5:$A$2004,"&lt;="&amp;EOMONTH($B$3,0),근태기록!$L$5:$L$2004,"조퇴"))</f>
        <v/>
      </c>
      <c r="I12" s="30">
        <f>IF($A12="","",COUNTIFS(근태기록!$C$5:$C$2004,$A12,근태기록!$A$5:$A$2004,"&gt;="&amp;$B$3,근태기록!$A$5:$A$2004,"&lt;="&amp;EOMONTH($B$3,0),근태기록!$L$5:$L$2004,"결근"))</f>
        <v/>
      </c>
      <c r="J12" s="27">
        <f>IF($A12="","",SUMIFS(휴가대장!$F$5:$F$504,휴가대장!$B$5:$B$504,$A12,휴가대장!$E$5:$E$504,"연차",휴가대장!$D$5:$D$504,"&gt;="&amp;$B$3,휴가대장!$D$5:$D$504,"&lt;="&amp;EOMONTH($B$3,0)))</f>
        <v/>
      </c>
      <c r="K12" s="27">
        <f>IF($A12="","",SUMIFS(휴가대장!$F$5:$F$504,휴가대장!$B$5:$B$504,$A12,휴가대장!$D$5:$D$504,"&gt;="&amp;$B$3,휴가대장!$D$5:$D$504,"&lt;="&amp;EOMONTH($B$3,0))-SUMIFS(휴가대장!$F$5:$F$504,휴가대장!$B$5:$B$504,$A12,휴가대장!$E$5:$E$504,"연차",휴가대장!$D$5:$D$504,"&gt;="&amp;$B$3,휴가대장!$D$5:$D$504,"&lt;="&amp;EOMONTH($B$3,0)))</f>
        <v/>
      </c>
    </row>
    <row r="13">
      <c r="A13" s="25">
        <f>IF(직원명부!A13="","",직원명부!A13)</f>
        <v/>
      </c>
      <c r="B13" s="25">
        <f>IF(직원명부!B13="","",직원명부!B13)</f>
        <v/>
      </c>
      <c r="C13" s="25">
        <f>IF(직원명부!F13="","",직원명부!F13)</f>
        <v/>
      </c>
      <c r="D13" s="30">
        <f>IF($A13="","",COUNTIFS(근태기록!$C$5:$C$2004,$A13,근태기록!$A$5:$A$2004,"&gt;="&amp;$B$3,근태기록!$A$5:$A$2004,"&lt;="&amp;EOMONTH($B$3,0),근태기록!$H$5:$H$2004,"&gt;0"))</f>
        <v/>
      </c>
      <c r="E13" s="33">
        <f>IF($A13="","",SUMIFS(근태기록!$H$5:$H$2004,근태기록!$C$5:$C$2004,$A13,근태기록!$A$5:$A$2004,"&gt;="&amp;$B$3,근태기록!$A$5:$A$2004,"&lt;="&amp;EOMONTH($B$3,0)))</f>
        <v/>
      </c>
      <c r="F13" s="33">
        <f>IF($A13="","",SUMIFS(근태기록!$I$5:$I$2004,근태기록!$C$5:$C$2004,$A13,근태기록!$A$5:$A$2004,"&gt;="&amp;$B$3,근태기록!$A$5:$A$2004,"&lt;="&amp;EOMONTH($B$3,0)))</f>
        <v/>
      </c>
      <c r="G13" s="30">
        <f>IF($A13="","",COUNTIFS(근태기록!$C$5:$C$2004,$A13,근태기록!$A$5:$A$2004,"&gt;="&amp;$B$3,근태기록!$A$5:$A$2004,"&lt;="&amp;EOMONTH($B$3,0),근태기록!$L$5:$L$2004,"지각"))</f>
        <v/>
      </c>
      <c r="H13" s="30">
        <f>IF($A13="","",COUNTIFS(근태기록!$C$5:$C$2004,$A13,근태기록!$A$5:$A$2004,"&gt;="&amp;$B$3,근태기록!$A$5:$A$2004,"&lt;="&amp;EOMONTH($B$3,0),근태기록!$L$5:$L$2004,"조퇴"))</f>
        <v/>
      </c>
      <c r="I13" s="30">
        <f>IF($A13="","",COUNTIFS(근태기록!$C$5:$C$2004,$A13,근태기록!$A$5:$A$2004,"&gt;="&amp;$B$3,근태기록!$A$5:$A$2004,"&lt;="&amp;EOMONTH($B$3,0),근태기록!$L$5:$L$2004,"결근"))</f>
        <v/>
      </c>
      <c r="J13" s="27">
        <f>IF($A13="","",SUMIFS(휴가대장!$F$5:$F$504,휴가대장!$B$5:$B$504,$A13,휴가대장!$E$5:$E$504,"연차",휴가대장!$D$5:$D$504,"&gt;="&amp;$B$3,휴가대장!$D$5:$D$504,"&lt;="&amp;EOMONTH($B$3,0)))</f>
        <v/>
      </c>
      <c r="K13" s="27">
        <f>IF($A13="","",SUMIFS(휴가대장!$F$5:$F$504,휴가대장!$B$5:$B$504,$A13,휴가대장!$D$5:$D$504,"&gt;="&amp;$B$3,휴가대장!$D$5:$D$504,"&lt;="&amp;EOMONTH($B$3,0))-SUMIFS(휴가대장!$F$5:$F$504,휴가대장!$B$5:$B$504,$A13,휴가대장!$E$5:$E$504,"연차",휴가대장!$D$5:$D$504,"&gt;="&amp;$B$3,휴가대장!$D$5:$D$504,"&lt;="&amp;EOMONTH($B$3,0)))</f>
        <v/>
      </c>
    </row>
    <row r="14">
      <c r="A14" s="25">
        <f>IF(직원명부!A14="","",직원명부!A14)</f>
        <v/>
      </c>
      <c r="B14" s="25">
        <f>IF(직원명부!B14="","",직원명부!B14)</f>
        <v/>
      </c>
      <c r="C14" s="25">
        <f>IF(직원명부!F14="","",직원명부!F14)</f>
        <v/>
      </c>
      <c r="D14" s="30">
        <f>IF($A14="","",COUNTIFS(근태기록!$C$5:$C$2004,$A14,근태기록!$A$5:$A$2004,"&gt;="&amp;$B$3,근태기록!$A$5:$A$2004,"&lt;="&amp;EOMONTH($B$3,0),근태기록!$H$5:$H$2004,"&gt;0"))</f>
        <v/>
      </c>
      <c r="E14" s="33">
        <f>IF($A14="","",SUMIFS(근태기록!$H$5:$H$2004,근태기록!$C$5:$C$2004,$A14,근태기록!$A$5:$A$2004,"&gt;="&amp;$B$3,근태기록!$A$5:$A$2004,"&lt;="&amp;EOMONTH($B$3,0)))</f>
        <v/>
      </c>
      <c r="F14" s="33">
        <f>IF($A14="","",SUMIFS(근태기록!$I$5:$I$2004,근태기록!$C$5:$C$2004,$A14,근태기록!$A$5:$A$2004,"&gt;="&amp;$B$3,근태기록!$A$5:$A$2004,"&lt;="&amp;EOMONTH($B$3,0)))</f>
        <v/>
      </c>
      <c r="G14" s="30">
        <f>IF($A14="","",COUNTIFS(근태기록!$C$5:$C$2004,$A14,근태기록!$A$5:$A$2004,"&gt;="&amp;$B$3,근태기록!$A$5:$A$2004,"&lt;="&amp;EOMONTH($B$3,0),근태기록!$L$5:$L$2004,"지각"))</f>
        <v/>
      </c>
      <c r="H14" s="30">
        <f>IF($A14="","",COUNTIFS(근태기록!$C$5:$C$2004,$A14,근태기록!$A$5:$A$2004,"&gt;="&amp;$B$3,근태기록!$A$5:$A$2004,"&lt;="&amp;EOMONTH($B$3,0),근태기록!$L$5:$L$2004,"조퇴"))</f>
        <v/>
      </c>
      <c r="I14" s="30">
        <f>IF($A14="","",COUNTIFS(근태기록!$C$5:$C$2004,$A14,근태기록!$A$5:$A$2004,"&gt;="&amp;$B$3,근태기록!$A$5:$A$2004,"&lt;="&amp;EOMONTH($B$3,0),근태기록!$L$5:$L$2004,"결근"))</f>
        <v/>
      </c>
      <c r="J14" s="27">
        <f>IF($A14="","",SUMIFS(휴가대장!$F$5:$F$504,휴가대장!$B$5:$B$504,$A14,휴가대장!$E$5:$E$504,"연차",휴가대장!$D$5:$D$504,"&gt;="&amp;$B$3,휴가대장!$D$5:$D$504,"&lt;="&amp;EOMONTH($B$3,0)))</f>
        <v/>
      </c>
      <c r="K14" s="27">
        <f>IF($A14="","",SUMIFS(휴가대장!$F$5:$F$504,휴가대장!$B$5:$B$504,$A14,휴가대장!$D$5:$D$504,"&gt;="&amp;$B$3,휴가대장!$D$5:$D$504,"&lt;="&amp;EOMONTH($B$3,0))-SUMIFS(휴가대장!$F$5:$F$504,휴가대장!$B$5:$B$504,$A14,휴가대장!$E$5:$E$504,"연차",휴가대장!$D$5:$D$504,"&gt;="&amp;$B$3,휴가대장!$D$5:$D$504,"&lt;="&amp;EOMONTH($B$3,0)))</f>
        <v/>
      </c>
    </row>
    <row r="15">
      <c r="A15" s="25">
        <f>IF(직원명부!A15="","",직원명부!A15)</f>
        <v/>
      </c>
      <c r="B15" s="25">
        <f>IF(직원명부!B15="","",직원명부!B15)</f>
        <v/>
      </c>
      <c r="C15" s="25">
        <f>IF(직원명부!F15="","",직원명부!F15)</f>
        <v/>
      </c>
      <c r="D15" s="30">
        <f>IF($A15="","",COUNTIFS(근태기록!$C$5:$C$2004,$A15,근태기록!$A$5:$A$2004,"&gt;="&amp;$B$3,근태기록!$A$5:$A$2004,"&lt;="&amp;EOMONTH($B$3,0),근태기록!$H$5:$H$2004,"&gt;0"))</f>
        <v/>
      </c>
      <c r="E15" s="33">
        <f>IF($A15="","",SUMIFS(근태기록!$H$5:$H$2004,근태기록!$C$5:$C$2004,$A15,근태기록!$A$5:$A$2004,"&gt;="&amp;$B$3,근태기록!$A$5:$A$2004,"&lt;="&amp;EOMONTH($B$3,0)))</f>
        <v/>
      </c>
      <c r="F15" s="33">
        <f>IF($A15="","",SUMIFS(근태기록!$I$5:$I$2004,근태기록!$C$5:$C$2004,$A15,근태기록!$A$5:$A$2004,"&gt;="&amp;$B$3,근태기록!$A$5:$A$2004,"&lt;="&amp;EOMONTH($B$3,0)))</f>
        <v/>
      </c>
      <c r="G15" s="30">
        <f>IF($A15="","",COUNTIFS(근태기록!$C$5:$C$2004,$A15,근태기록!$A$5:$A$2004,"&gt;="&amp;$B$3,근태기록!$A$5:$A$2004,"&lt;="&amp;EOMONTH($B$3,0),근태기록!$L$5:$L$2004,"지각"))</f>
        <v/>
      </c>
      <c r="H15" s="30">
        <f>IF($A15="","",COUNTIFS(근태기록!$C$5:$C$2004,$A15,근태기록!$A$5:$A$2004,"&gt;="&amp;$B$3,근태기록!$A$5:$A$2004,"&lt;="&amp;EOMONTH($B$3,0),근태기록!$L$5:$L$2004,"조퇴"))</f>
        <v/>
      </c>
      <c r="I15" s="30">
        <f>IF($A15="","",COUNTIFS(근태기록!$C$5:$C$2004,$A15,근태기록!$A$5:$A$2004,"&gt;="&amp;$B$3,근태기록!$A$5:$A$2004,"&lt;="&amp;EOMONTH($B$3,0),근태기록!$L$5:$L$2004,"결근"))</f>
        <v/>
      </c>
      <c r="J15" s="27">
        <f>IF($A15="","",SUMIFS(휴가대장!$F$5:$F$504,휴가대장!$B$5:$B$504,$A15,휴가대장!$E$5:$E$504,"연차",휴가대장!$D$5:$D$504,"&gt;="&amp;$B$3,휴가대장!$D$5:$D$504,"&lt;="&amp;EOMONTH($B$3,0)))</f>
        <v/>
      </c>
      <c r="K15" s="27">
        <f>IF($A15="","",SUMIFS(휴가대장!$F$5:$F$504,휴가대장!$B$5:$B$504,$A15,휴가대장!$D$5:$D$504,"&gt;="&amp;$B$3,휴가대장!$D$5:$D$504,"&lt;="&amp;EOMONTH($B$3,0))-SUMIFS(휴가대장!$F$5:$F$504,휴가대장!$B$5:$B$504,$A15,휴가대장!$E$5:$E$504,"연차",휴가대장!$D$5:$D$504,"&gt;="&amp;$B$3,휴가대장!$D$5:$D$504,"&lt;="&amp;EOMONTH($B$3,0)))</f>
        <v/>
      </c>
    </row>
    <row r="16">
      <c r="A16" s="25">
        <f>IF(직원명부!A16="","",직원명부!A16)</f>
        <v/>
      </c>
      <c r="B16" s="25">
        <f>IF(직원명부!B16="","",직원명부!B16)</f>
        <v/>
      </c>
      <c r="C16" s="25">
        <f>IF(직원명부!F16="","",직원명부!F16)</f>
        <v/>
      </c>
      <c r="D16" s="30">
        <f>IF($A16="","",COUNTIFS(근태기록!$C$5:$C$2004,$A16,근태기록!$A$5:$A$2004,"&gt;="&amp;$B$3,근태기록!$A$5:$A$2004,"&lt;="&amp;EOMONTH($B$3,0),근태기록!$H$5:$H$2004,"&gt;0"))</f>
        <v/>
      </c>
      <c r="E16" s="33">
        <f>IF($A16="","",SUMIFS(근태기록!$H$5:$H$2004,근태기록!$C$5:$C$2004,$A16,근태기록!$A$5:$A$2004,"&gt;="&amp;$B$3,근태기록!$A$5:$A$2004,"&lt;="&amp;EOMONTH($B$3,0)))</f>
        <v/>
      </c>
      <c r="F16" s="33">
        <f>IF($A16="","",SUMIFS(근태기록!$I$5:$I$2004,근태기록!$C$5:$C$2004,$A16,근태기록!$A$5:$A$2004,"&gt;="&amp;$B$3,근태기록!$A$5:$A$2004,"&lt;="&amp;EOMONTH($B$3,0)))</f>
        <v/>
      </c>
      <c r="G16" s="30">
        <f>IF($A16="","",COUNTIFS(근태기록!$C$5:$C$2004,$A16,근태기록!$A$5:$A$2004,"&gt;="&amp;$B$3,근태기록!$A$5:$A$2004,"&lt;="&amp;EOMONTH($B$3,0),근태기록!$L$5:$L$2004,"지각"))</f>
        <v/>
      </c>
      <c r="H16" s="30">
        <f>IF($A16="","",COUNTIFS(근태기록!$C$5:$C$2004,$A16,근태기록!$A$5:$A$2004,"&gt;="&amp;$B$3,근태기록!$A$5:$A$2004,"&lt;="&amp;EOMONTH($B$3,0),근태기록!$L$5:$L$2004,"조퇴"))</f>
        <v/>
      </c>
      <c r="I16" s="30">
        <f>IF($A16="","",COUNTIFS(근태기록!$C$5:$C$2004,$A16,근태기록!$A$5:$A$2004,"&gt;="&amp;$B$3,근태기록!$A$5:$A$2004,"&lt;="&amp;EOMONTH($B$3,0),근태기록!$L$5:$L$2004,"결근"))</f>
        <v/>
      </c>
      <c r="J16" s="27">
        <f>IF($A16="","",SUMIFS(휴가대장!$F$5:$F$504,휴가대장!$B$5:$B$504,$A16,휴가대장!$E$5:$E$504,"연차",휴가대장!$D$5:$D$504,"&gt;="&amp;$B$3,휴가대장!$D$5:$D$504,"&lt;="&amp;EOMONTH($B$3,0)))</f>
        <v/>
      </c>
      <c r="K16" s="27">
        <f>IF($A16="","",SUMIFS(휴가대장!$F$5:$F$504,휴가대장!$B$5:$B$504,$A16,휴가대장!$D$5:$D$504,"&gt;="&amp;$B$3,휴가대장!$D$5:$D$504,"&lt;="&amp;EOMONTH($B$3,0))-SUMIFS(휴가대장!$F$5:$F$504,휴가대장!$B$5:$B$504,$A16,휴가대장!$E$5:$E$504,"연차",휴가대장!$D$5:$D$504,"&gt;="&amp;$B$3,휴가대장!$D$5:$D$504,"&lt;="&amp;EOMONTH($B$3,0)))</f>
        <v/>
      </c>
    </row>
    <row r="17">
      <c r="A17" s="25">
        <f>IF(직원명부!A17="","",직원명부!A17)</f>
        <v/>
      </c>
      <c r="B17" s="25">
        <f>IF(직원명부!B17="","",직원명부!B17)</f>
        <v/>
      </c>
      <c r="C17" s="25">
        <f>IF(직원명부!F17="","",직원명부!F17)</f>
        <v/>
      </c>
      <c r="D17" s="30">
        <f>IF($A17="","",COUNTIFS(근태기록!$C$5:$C$2004,$A17,근태기록!$A$5:$A$2004,"&gt;="&amp;$B$3,근태기록!$A$5:$A$2004,"&lt;="&amp;EOMONTH($B$3,0),근태기록!$H$5:$H$2004,"&gt;0"))</f>
        <v/>
      </c>
      <c r="E17" s="33">
        <f>IF($A17="","",SUMIFS(근태기록!$H$5:$H$2004,근태기록!$C$5:$C$2004,$A17,근태기록!$A$5:$A$2004,"&gt;="&amp;$B$3,근태기록!$A$5:$A$2004,"&lt;="&amp;EOMONTH($B$3,0)))</f>
        <v/>
      </c>
      <c r="F17" s="33">
        <f>IF($A17="","",SUMIFS(근태기록!$I$5:$I$2004,근태기록!$C$5:$C$2004,$A17,근태기록!$A$5:$A$2004,"&gt;="&amp;$B$3,근태기록!$A$5:$A$2004,"&lt;="&amp;EOMONTH($B$3,0)))</f>
        <v/>
      </c>
      <c r="G17" s="30">
        <f>IF($A17="","",COUNTIFS(근태기록!$C$5:$C$2004,$A17,근태기록!$A$5:$A$2004,"&gt;="&amp;$B$3,근태기록!$A$5:$A$2004,"&lt;="&amp;EOMONTH($B$3,0),근태기록!$L$5:$L$2004,"지각"))</f>
        <v/>
      </c>
      <c r="H17" s="30">
        <f>IF($A17="","",COUNTIFS(근태기록!$C$5:$C$2004,$A17,근태기록!$A$5:$A$2004,"&gt;="&amp;$B$3,근태기록!$A$5:$A$2004,"&lt;="&amp;EOMONTH($B$3,0),근태기록!$L$5:$L$2004,"조퇴"))</f>
        <v/>
      </c>
      <c r="I17" s="30">
        <f>IF($A17="","",COUNTIFS(근태기록!$C$5:$C$2004,$A17,근태기록!$A$5:$A$2004,"&gt;="&amp;$B$3,근태기록!$A$5:$A$2004,"&lt;="&amp;EOMONTH($B$3,0),근태기록!$L$5:$L$2004,"결근"))</f>
        <v/>
      </c>
      <c r="J17" s="27">
        <f>IF($A17="","",SUMIFS(휴가대장!$F$5:$F$504,휴가대장!$B$5:$B$504,$A17,휴가대장!$E$5:$E$504,"연차",휴가대장!$D$5:$D$504,"&gt;="&amp;$B$3,휴가대장!$D$5:$D$504,"&lt;="&amp;EOMONTH($B$3,0)))</f>
        <v/>
      </c>
      <c r="K17" s="27">
        <f>IF($A17="","",SUMIFS(휴가대장!$F$5:$F$504,휴가대장!$B$5:$B$504,$A17,휴가대장!$D$5:$D$504,"&gt;="&amp;$B$3,휴가대장!$D$5:$D$504,"&lt;="&amp;EOMONTH($B$3,0))-SUMIFS(휴가대장!$F$5:$F$504,휴가대장!$B$5:$B$504,$A17,휴가대장!$E$5:$E$504,"연차",휴가대장!$D$5:$D$504,"&gt;="&amp;$B$3,휴가대장!$D$5:$D$504,"&lt;="&amp;EOMONTH($B$3,0)))</f>
        <v/>
      </c>
    </row>
    <row r="18">
      <c r="A18" s="25">
        <f>IF(직원명부!A18="","",직원명부!A18)</f>
        <v/>
      </c>
      <c r="B18" s="25">
        <f>IF(직원명부!B18="","",직원명부!B18)</f>
        <v/>
      </c>
      <c r="C18" s="25">
        <f>IF(직원명부!F18="","",직원명부!F18)</f>
        <v/>
      </c>
      <c r="D18" s="30">
        <f>IF($A18="","",COUNTIFS(근태기록!$C$5:$C$2004,$A18,근태기록!$A$5:$A$2004,"&gt;="&amp;$B$3,근태기록!$A$5:$A$2004,"&lt;="&amp;EOMONTH($B$3,0),근태기록!$H$5:$H$2004,"&gt;0"))</f>
        <v/>
      </c>
      <c r="E18" s="33">
        <f>IF($A18="","",SUMIFS(근태기록!$H$5:$H$2004,근태기록!$C$5:$C$2004,$A18,근태기록!$A$5:$A$2004,"&gt;="&amp;$B$3,근태기록!$A$5:$A$2004,"&lt;="&amp;EOMONTH($B$3,0)))</f>
        <v/>
      </c>
      <c r="F18" s="33">
        <f>IF($A18="","",SUMIFS(근태기록!$I$5:$I$2004,근태기록!$C$5:$C$2004,$A18,근태기록!$A$5:$A$2004,"&gt;="&amp;$B$3,근태기록!$A$5:$A$2004,"&lt;="&amp;EOMONTH($B$3,0)))</f>
        <v/>
      </c>
      <c r="G18" s="30">
        <f>IF($A18="","",COUNTIFS(근태기록!$C$5:$C$2004,$A18,근태기록!$A$5:$A$2004,"&gt;="&amp;$B$3,근태기록!$A$5:$A$2004,"&lt;="&amp;EOMONTH($B$3,0),근태기록!$L$5:$L$2004,"지각"))</f>
        <v/>
      </c>
      <c r="H18" s="30">
        <f>IF($A18="","",COUNTIFS(근태기록!$C$5:$C$2004,$A18,근태기록!$A$5:$A$2004,"&gt;="&amp;$B$3,근태기록!$A$5:$A$2004,"&lt;="&amp;EOMONTH($B$3,0),근태기록!$L$5:$L$2004,"조퇴"))</f>
        <v/>
      </c>
      <c r="I18" s="30">
        <f>IF($A18="","",COUNTIFS(근태기록!$C$5:$C$2004,$A18,근태기록!$A$5:$A$2004,"&gt;="&amp;$B$3,근태기록!$A$5:$A$2004,"&lt;="&amp;EOMONTH($B$3,0),근태기록!$L$5:$L$2004,"결근"))</f>
        <v/>
      </c>
      <c r="J18" s="27">
        <f>IF($A18="","",SUMIFS(휴가대장!$F$5:$F$504,휴가대장!$B$5:$B$504,$A18,휴가대장!$E$5:$E$504,"연차",휴가대장!$D$5:$D$504,"&gt;="&amp;$B$3,휴가대장!$D$5:$D$504,"&lt;="&amp;EOMONTH($B$3,0)))</f>
        <v/>
      </c>
      <c r="K18" s="27">
        <f>IF($A18="","",SUMIFS(휴가대장!$F$5:$F$504,휴가대장!$B$5:$B$504,$A18,휴가대장!$D$5:$D$504,"&gt;="&amp;$B$3,휴가대장!$D$5:$D$504,"&lt;="&amp;EOMONTH($B$3,0))-SUMIFS(휴가대장!$F$5:$F$504,휴가대장!$B$5:$B$504,$A18,휴가대장!$E$5:$E$504,"연차",휴가대장!$D$5:$D$504,"&gt;="&amp;$B$3,휴가대장!$D$5:$D$504,"&lt;="&amp;EOMONTH($B$3,0)))</f>
        <v/>
      </c>
    </row>
    <row r="19">
      <c r="A19" s="25">
        <f>IF(직원명부!A19="","",직원명부!A19)</f>
        <v/>
      </c>
      <c r="B19" s="25">
        <f>IF(직원명부!B19="","",직원명부!B19)</f>
        <v/>
      </c>
      <c r="C19" s="25">
        <f>IF(직원명부!F19="","",직원명부!F19)</f>
        <v/>
      </c>
      <c r="D19" s="30">
        <f>IF($A19="","",COUNTIFS(근태기록!$C$5:$C$2004,$A19,근태기록!$A$5:$A$2004,"&gt;="&amp;$B$3,근태기록!$A$5:$A$2004,"&lt;="&amp;EOMONTH($B$3,0),근태기록!$H$5:$H$2004,"&gt;0"))</f>
        <v/>
      </c>
      <c r="E19" s="33">
        <f>IF($A19="","",SUMIFS(근태기록!$H$5:$H$2004,근태기록!$C$5:$C$2004,$A19,근태기록!$A$5:$A$2004,"&gt;="&amp;$B$3,근태기록!$A$5:$A$2004,"&lt;="&amp;EOMONTH($B$3,0)))</f>
        <v/>
      </c>
      <c r="F19" s="33">
        <f>IF($A19="","",SUMIFS(근태기록!$I$5:$I$2004,근태기록!$C$5:$C$2004,$A19,근태기록!$A$5:$A$2004,"&gt;="&amp;$B$3,근태기록!$A$5:$A$2004,"&lt;="&amp;EOMONTH($B$3,0)))</f>
        <v/>
      </c>
      <c r="G19" s="30">
        <f>IF($A19="","",COUNTIFS(근태기록!$C$5:$C$2004,$A19,근태기록!$A$5:$A$2004,"&gt;="&amp;$B$3,근태기록!$A$5:$A$2004,"&lt;="&amp;EOMONTH($B$3,0),근태기록!$L$5:$L$2004,"지각"))</f>
        <v/>
      </c>
      <c r="H19" s="30">
        <f>IF($A19="","",COUNTIFS(근태기록!$C$5:$C$2004,$A19,근태기록!$A$5:$A$2004,"&gt;="&amp;$B$3,근태기록!$A$5:$A$2004,"&lt;="&amp;EOMONTH($B$3,0),근태기록!$L$5:$L$2004,"조퇴"))</f>
        <v/>
      </c>
      <c r="I19" s="30">
        <f>IF($A19="","",COUNTIFS(근태기록!$C$5:$C$2004,$A19,근태기록!$A$5:$A$2004,"&gt;="&amp;$B$3,근태기록!$A$5:$A$2004,"&lt;="&amp;EOMONTH($B$3,0),근태기록!$L$5:$L$2004,"결근"))</f>
        <v/>
      </c>
      <c r="J19" s="27">
        <f>IF($A19="","",SUMIFS(휴가대장!$F$5:$F$504,휴가대장!$B$5:$B$504,$A19,휴가대장!$E$5:$E$504,"연차",휴가대장!$D$5:$D$504,"&gt;="&amp;$B$3,휴가대장!$D$5:$D$504,"&lt;="&amp;EOMONTH($B$3,0)))</f>
        <v/>
      </c>
      <c r="K19" s="27">
        <f>IF($A19="","",SUMIFS(휴가대장!$F$5:$F$504,휴가대장!$B$5:$B$504,$A19,휴가대장!$D$5:$D$504,"&gt;="&amp;$B$3,휴가대장!$D$5:$D$504,"&lt;="&amp;EOMONTH($B$3,0))-SUMIFS(휴가대장!$F$5:$F$504,휴가대장!$B$5:$B$504,$A19,휴가대장!$E$5:$E$504,"연차",휴가대장!$D$5:$D$504,"&gt;="&amp;$B$3,휴가대장!$D$5:$D$504,"&lt;="&amp;EOMONTH($B$3,0)))</f>
        <v/>
      </c>
    </row>
    <row r="20">
      <c r="A20" s="25">
        <f>IF(직원명부!A20="","",직원명부!A20)</f>
        <v/>
      </c>
      <c r="B20" s="25">
        <f>IF(직원명부!B20="","",직원명부!B20)</f>
        <v/>
      </c>
      <c r="C20" s="25">
        <f>IF(직원명부!F20="","",직원명부!F20)</f>
        <v/>
      </c>
      <c r="D20" s="30">
        <f>IF($A20="","",COUNTIFS(근태기록!$C$5:$C$2004,$A20,근태기록!$A$5:$A$2004,"&gt;="&amp;$B$3,근태기록!$A$5:$A$2004,"&lt;="&amp;EOMONTH($B$3,0),근태기록!$H$5:$H$2004,"&gt;0"))</f>
        <v/>
      </c>
      <c r="E20" s="33">
        <f>IF($A20="","",SUMIFS(근태기록!$H$5:$H$2004,근태기록!$C$5:$C$2004,$A20,근태기록!$A$5:$A$2004,"&gt;="&amp;$B$3,근태기록!$A$5:$A$2004,"&lt;="&amp;EOMONTH($B$3,0)))</f>
        <v/>
      </c>
      <c r="F20" s="33">
        <f>IF($A20="","",SUMIFS(근태기록!$I$5:$I$2004,근태기록!$C$5:$C$2004,$A20,근태기록!$A$5:$A$2004,"&gt;="&amp;$B$3,근태기록!$A$5:$A$2004,"&lt;="&amp;EOMONTH($B$3,0)))</f>
        <v/>
      </c>
      <c r="G20" s="30">
        <f>IF($A20="","",COUNTIFS(근태기록!$C$5:$C$2004,$A20,근태기록!$A$5:$A$2004,"&gt;="&amp;$B$3,근태기록!$A$5:$A$2004,"&lt;="&amp;EOMONTH($B$3,0),근태기록!$L$5:$L$2004,"지각"))</f>
        <v/>
      </c>
      <c r="H20" s="30">
        <f>IF($A20="","",COUNTIFS(근태기록!$C$5:$C$2004,$A20,근태기록!$A$5:$A$2004,"&gt;="&amp;$B$3,근태기록!$A$5:$A$2004,"&lt;="&amp;EOMONTH($B$3,0),근태기록!$L$5:$L$2004,"조퇴"))</f>
        <v/>
      </c>
      <c r="I20" s="30">
        <f>IF($A20="","",COUNTIFS(근태기록!$C$5:$C$2004,$A20,근태기록!$A$5:$A$2004,"&gt;="&amp;$B$3,근태기록!$A$5:$A$2004,"&lt;="&amp;EOMONTH($B$3,0),근태기록!$L$5:$L$2004,"결근"))</f>
        <v/>
      </c>
      <c r="J20" s="27">
        <f>IF($A20="","",SUMIFS(휴가대장!$F$5:$F$504,휴가대장!$B$5:$B$504,$A20,휴가대장!$E$5:$E$504,"연차",휴가대장!$D$5:$D$504,"&gt;="&amp;$B$3,휴가대장!$D$5:$D$504,"&lt;="&amp;EOMONTH($B$3,0)))</f>
        <v/>
      </c>
      <c r="K20" s="27">
        <f>IF($A20="","",SUMIFS(휴가대장!$F$5:$F$504,휴가대장!$B$5:$B$504,$A20,휴가대장!$D$5:$D$504,"&gt;="&amp;$B$3,휴가대장!$D$5:$D$504,"&lt;="&amp;EOMONTH($B$3,0))-SUMIFS(휴가대장!$F$5:$F$504,휴가대장!$B$5:$B$504,$A20,휴가대장!$E$5:$E$504,"연차",휴가대장!$D$5:$D$504,"&gt;="&amp;$B$3,휴가대장!$D$5:$D$504,"&lt;="&amp;EOMONTH($B$3,0)))</f>
        <v/>
      </c>
    </row>
    <row r="21">
      <c r="A21" s="25">
        <f>IF(직원명부!A21="","",직원명부!A21)</f>
        <v/>
      </c>
      <c r="B21" s="25">
        <f>IF(직원명부!B21="","",직원명부!B21)</f>
        <v/>
      </c>
      <c r="C21" s="25">
        <f>IF(직원명부!F21="","",직원명부!F21)</f>
        <v/>
      </c>
      <c r="D21" s="30">
        <f>IF($A21="","",COUNTIFS(근태기록!$C$5:$C$2004,$A21,근태기록!$A$5:$A$2004,"&gt;="&amp;$B$3,근태기록!$A$5:$A$2004,"&lt;="&amp;EOMONTH($B$3,0),근태기록!$H$5:$H$2004,"&gt;0"))</f>
        <v/>
      </c>
      <c r="E21" s="33">
        <f>IF($A21="","",SUMIFS(근태기록!$H$5:$H$2004,근태기록!$C$5:$C$2004,$A21,근태기록!$A$5:$A$2004,"&gt;="&amp;$B$3,근태기록!$A$5:$A$2004,"&lt;="&amp;EOMONTH($B$3,0)))</f>
        <v/>
      </c>
      <c r="F21" s="33">
        <f>IF($A21="","",SUMIFS(근태기록!$I$5:$I$2004,근태기록!$C$5:$C$2004,$A21,근태기록!$A$5:$A$2004,"&gt;="&amp;$B$3,근태기록!$A$5:$A$2004,"&lt;="&amp;EOMONTH($B$3,0)))</f>
        <v/>
      </c>
      <c r="G21" s="30">
        <f>IF($A21="","",COUNTIFS(근태기록!$C$5:$C$2004,$A21,근태기록!$A$5:$A$2004,"&gt;="&amp;$B$3,근태기록!$A$5:$A$2004,"&lt;="&amp;EOMONTH($B$3,0),근태기록!$L$5:$L$2004,"지각"))</f>
        <v/>
      </c>
      <c r="H21" s="30">
        <f>IF($A21="","",COUNTIFS(근태기록!$C$5:$C$2004,$A21,근태기록!$A$5:$A$2004,"&gt;="&amp;$B$3,근태기록!$A$5:$A$2004,"&lt;="&amp;EOMONTH($B$3,0),근태기록!$L$5:$L$2004,"조퇴"))</f>
        <v/>
      </c>
      <c r="I21" s="30">
        <f>IF($A21="","",COUNTIFS(근태기록!$C$5:$C$2004,$A21,근태기록!$A$5:$A$2004,"&gt;="&amp;$B$3,근태기록!$A$5:$A$2004,"&lt;="&amp;EOMONTH($B$3,0),근태기록!$L$5:$L$2004,"결근"))</f>
        <v/>
      </c>
      <c r="J21" s="27">
        <f>IF($A21="","",SUMIFS(휴가대장!$F$5:$F$504,휴가대장!$B$5:$B$504,$A21,휴가대장!$E$5:$E$504,"연차",휴가대장!$D$5:$D$504,"&gt;="&amp;$B$3,휴가대장!$D$5:$D$504,"&lt;="&amp;EOMONTH($B$3,0)))</f>
        <v/>
      </c>
      <c r="K21" s="27">
        <f>IF($A21="","",SUMIFS(휴가대장!$F$5:$F$504,휴가대장!$B$5:$B$504,$A21,휴가대장!$D$5:$D$504,"&gt;="&amp;$B$3,휴가대장!$D$5:$D$504,"&lt;="&amp;EOMONTH($B$3,0))-SUMIFS(휴가대장!$F$5:$F$504,휴가대장!$B$5:$B$504,$A21,휴가대장!$E$5:$E$504,"연차",휴가대장!$D$5:$D$504,"&gt;="&amp;$B$3,휴가대장!$D$5:$D$504,"&lt;="&amp;EOMONTH($B$3,0)))</f>
        <v/>
      </c>
    </row>
    <row r="22">
      <c r="A22" s="25">
        <f>IF(직원명부!A22="","",직원명부!A22)</f>
        <v/>
      </c>
      <c r="B22" s="25">
        <f>IF(직원명부!B22="","",직원명부!B22)</f>
        <v/>
      </c>
      <c r="C22" s="25">
        <f>IF(직원명부!F22="","",직원명부!F22)</f>
        <v/>
      </c>
      <c r="D22" s="30">
        <f>IF($A22="","",COUNTIFS(근태기록!$C$5:$C$2004,$A22,근태기록!$A$5:$A$2004,"&gt;="&amp;$B$3,근태기록!$A$5:$A$2004,"&lt;="&amp;EOMONTH($B$3,0),근태기록!$H$5:$H$2004,"&gt;0"))</f>
        <v/>
      </c>
      <c r="E22" s="33">
        <f>IF($A22="","",SUMIFS(근태기록!$H$5:$H$2004,근태기록!$C$5:$C$2004,$A22,근태기록!$A$5:$A$2004,"&gt;="&amp;$B$3,근태기록!$A$5:$A$2004,"&lt;="&amp;EOMONTH($B$3,0)))</f>
        <v/>
      </c>
      <c r="F22" s="33">
        <f>IF($A22="","",SUMIFS(근태기록!$I$5:$I$2004,근태기록!$C$5:$C$2004,$A22,근태기록!$A$5:$A$2004,"&gt;="&amp;$B$3,근태기록!$A$5:$A$2004,"&lt;="&amp;EOMONTH($B$3,0)))</f>
        <v/>
      </c>
      <c r="G22" s="30">
        <f>IF($A22="","",COUNTIFS(근태기록!$C$5:$C$2004,$A22,근태기록!$A$5:$A$2004,"&gt;="&amp;$B$3,근태기록!$A$5:$A$2004,"&lt;="&amp;EOMONTH($B$3,0),근태기록!$L$5:$L$2004,"지각"))</f>
        <v/>
      </c>
      <c r="H22" s="30">
        <f>IF($A22="","",COUNTIFS(근태기록!$C$5:$C$2004,$A22,근태기록!$A$5:$A$2004,"&gt;="&amp;$B$3,근태기록!$A$5:$A$2004,"&lt;="&amp;EOMONTH($B$3,0),근태기록!$L$5:$L$2004,"조퇴"))</f>
        <v/>
      </c>
      <c r="I22" s="30">
        <f>IF($A22="","",COUNTIFS(근태기록!$C$5:$C$2004,$A22,근태기록!$A$5:$A$2004,"&gt;="&amp;$B$3,근태기록!$A$5:$A$2004,"&lt;="&amp;EOMONTH($B$3,0),근태기록!$L$5:$L$2004,"결근"))</f>
        <v/>
      </c>
      <c r="J22" s="27">
        <f>IF($A22="","",SUMIFS(휴가대장!$F$5:$F$504,휴가대장!$B$5:$B$504,$A22,휴가대장!$E$5:$E$504,"연차",휴가대장!$D$5:$D$504,"&gt;="&amp;$B$3,휴가대장!$D$5:$D$504,"&lt;="&amp;EOMONTH($B$3,0)))</f>
        <v/>
      </c>
      <c r="K22" s="27">
        <f>IF($A22="","",SUMIFS(휴가대장!$F$5:$F$504,휴가대장!$B$5:$B$504,$A22,휴가대장!$D$5:$D$504,"&gt;="&amp;$B$3,휴가대장!$D$5:$D$504,"&lt;="&amp;EOMONTH($B$3,0))-SUMIFS(휴가대장!$F$5:$F$504,휴가대장!$B$5:$B$504,$A22,휴가대장!$E$5:$E$504,"연차",휴가대장!$D$5:$D$504,"&gt;="&amp;$B$3,휴가대장!$D$5:$D$504,"&lt;="&amp;EOMONTH($B$3,0)))</f>
        <v/>
      </c>
    </row>
    <row r="23">
      <c r="A23" s="25">
        <f>IF(직원명부!A23="","",직원명부!A23)</f>
        <v/>
      </c>
      <c r="B23" s="25">
        <f>IF(직원명부!B23="","",직원명부!B23)</f>
        <v/>
      </c>
      <c r="C23" s="25">
        <f>IF(직원명부!F23="","",직원명부!F23)</f>
        <v/>
      </c>
      <c r="D23" s="30">
        <f>IF($A23="","",COUNTIFS(근태기록!$C$5:$C$2004,$A23,근태기록!$A$5:$A$2004,"&gt;="&amp;$B$3,근태기록!$A$5:$A$2004,"&lt;="&amp;EOMONTH($B$3,0),근태기록!$H$5:$H$2004,"&gt;0"))</f>
        <v/>
      </c>
      <c r="E23" s="33">
        <f>IF($A23="","",SUMIFS(근태기록!$H$5:$H$2004,근태기록!$C$5:$C$2004,$A23,근태기록!$A$5:$A$2004,"&gt;="&amp;$B$3,근태기록!$A$5:$A$2004,"&lt;="&amp;EOMONTH($B$3,0)))</f>
        <v/>
      </c>
      <c r="F23" s="33">
        <f>IF($A23="","",SUMIFS(근태기록!$I$5:$I$2004,근태기록!$C$5:$C$2004,$A23,근태기록!$A$5:$A$2004,"&gt;="&amp;$B$3,근태기록!$A$5:$A$2004,"&lt;="&amp;EOMONTH($B$3,0)))</f>
        <v/>
      </c>
      <c r="G23" s="30">
        <f>IF($A23="","",COUNTIFS(근태기록!$C$5:$C$2004,$A23,근태기록!$A$5:$A$2004,"&gt;="&amp;$B$3,근태기록!$A$5:$A$2004,"&lt;="&amp;EOMONTH($B$3,0),근태기록!$L$5:$L$2004,"지각"))</f>
        <v/>
      </c>
      <c r="H23" s="30">
        <f>IF($A23="","",COUNTIFS(근태기록!$C$5:$C$2004,$A23,근태기록!$A$5:$A$2004,"&gt;="&amp;$B$3,근태기록!$A$5:$A$2004,"&lt;="&amp;EOMONTH($B$3,0),근태기록!$L$5:$L$2004,"조퇴"))</f>
        <v/>
      </c>
      <c r="I23" s="30">
        <f>IF($A23="","",COUNTIFS(근태기록!$C$5:$C$2004,$A23,근태기록!$A$5:$A$2004,"&gt;="&amp;$B$3,근태기록!$A$5:$A$2004,"&lt;="&amp;EOMONTH($B$3,0),근태기록!$L$5:$L$2004,"결근"))</f>
        <v/>
      </c>
      <c r="J23" s="27">
        <f>IF($A23="","",SUMIFS(휴가대장!$F$5:$F$504,휴가대장!$B$5:$B$504,$A23,휴가대장!$E$5:$E$504,"연차",휴가대장!$D$5:$D$504,"&gt;="&amp;$B$3,휴가대장!$D$5:$D$504,"&lt;="&amp;EOMONTH($B$3,0)))</f>
        <v/>
      </c>
      <c r="K23" s="27">
        <f>IF($A23="","",SUMIFS(휴가대장!$F$5:$F$504,휴가대장!$B$5:$B$504,$A23,휴가대장!$D$5:$D$504,"&gt;="&amp;$B$3,휴가대장!$D$5:$D$504,"&lt;="&amp;EOMONTH($B$3,0))-SUMIFS(휴가대장!$F$5:$F$504,휴가대장!$B$5:$B$504,$A23,휴가대장!$E$5:$E$504,"연차",휴가대장!$D$5:$D$504,"&gt;="&amp;$B$3,휴가대장!$D$5:$D$504,"&lt;="&amp;EOMONTH($B$3,0)))</f>
        <v/>
      </c>
    </row>
    <row r="24">
      <c r="A24" s="25">
        <f>IF(직원명부!A24="","",직원명부!A24)</f>
        <v/>
      </c>
      <c r="B24" s="25">
        <f>IF(직원명부!B24="","",직원명부!B24)</f>
        <v/>
      </c>
      <c r="C24" s="25">
        <f>IF(직원명부!F24="","",직원명부!F24)</f>
        <v/>
      </c>
      <c r="D24" s="30">
        <f>IF($A24="","",COUNTIFS(근태기록!$C$5:$C$2004,$A24,근태기록!$A$5:$A$2004,"&gt;="&amp;$B$3,근태기록!$A$5:$A$2004,"&lt;="&amp;EOMONTH($B$3,0),근태기록!$H$5:$H$2004,"&gt;0"))</f>
        <v/>
      </c>
      <c r="E24" s="33">
        <f>IF($A24="","",SUMIFS(근태기록!$H$5:$H$2004,근태기록!$C$5:$C$2004,$A24,근태기록!$A$5:$A$2004,"&gt;="&amp;$B$3,근태기록!$A$5:$A$2004,"&lt;="&amp;EOMONTH($B$3,0)))</f>
        <v/>
      </c>
      <c r="F24" s="33">
        <f>IF($A24="","",SUMIFS(근태기록!$I$5:$I$2004,근태기록!$C$5:$C$2004,$A24,근태기록!$A$5:$A$2004,"&gt;="&amp;$B$3,근태기록!$A$5:$A$2004,"&lt;="&amp;EOMONTH($B$3,0)))</f>
        <v/>
      </c>
      <c r="G24" s="30">
        <f>IF($A24="","",COUNTIFS(근태기록!$C$5:$C$2004,$A24,근태기록!$A$5:$A$2004,"&gt;="&amp;$B$3,근태기록!$A$5:$A$2004,"&lt;="&amp;EOMONTH($B$3,0),근태기록!$L$5:$L$2004,"지각"))</f>
        <v/>
      </c>
      <c r="H24" s="30">
        <f>IF($A24="","",COUNTIFS(근태기록!$C$5:$C$2004,$A24,근태기록!$A$5:$A$2004,"&gt;="&amp;$B$3,근태기록!$A$5:$A$2004,"&lt;="&amp;EOMONTH($B$3,0),근태기록!$L$5:$L$2004,"조퇴"))</f>
        <v/>
      </c>
      <c r="I24" s="30">
        <f>IF($A24="","",COUNTIFS(근태기록!$C$5:$C$2004,$A24,근태기록!$A$5:$A$2004,"&gt;="&amp;$B$3,근태기록!$A$5:$A$2004,"&lt;="&amp;EOMONTH($B$3,0),근태기록!$L$5:$L$2004,"결근"))</f>
        <v/>
      </c>
      <c r="J24" s="27">
        <f>IF($A24="","",SUMIFS(휴가대장!$F$5:$F$504,휴가대장!$B$5:$B$504,$A24,휴가대장!$E$5:$E$504,"연차",휴가대장!$D$5:$D$504,"&gt;="&amp;$B$3,휴가대장!$D$5:$D$504,"&lt;="&amp;EOMONTH($B$3,0)))</f>
        <v/>
      </c>
      <c r="K24" s="27">
        <f>IF($A24="","",SUMIFS(휴가대장!$F$5:$F$504,휴가대장!$B$5:$B$504,$A24,휴가대장!$D$5:$D$504,"&gt;="&amp;$B$3,휴가대장!$D$5:$D$504,"&lt;="&amp;EOMONTH($B$3,0))-SUMIFS(휴가대장!$F$5:$F$504,휴가대장!$B$5:$B$504,$A24,휴가대장!$E$5:$E$504,"연차",휴가대장!$D$5:$D$504,"&gt;="&amp;$B$3,휴가대장!$D$5:$D$504,"&lt;="&amp;EOMONTH($B$3,0)))</f>
        <v/>
      </c>
    </row>
    <row r="26">
      <c r="A26" s="2" t="inlineStr">
        <is>
          <t>· 「근무일수」는 근태기록에 출근·퇴근이 모두 적혀 근무시간이 0보다 큰 날의 수입니다.</t>
        </is>
      </c>
    </row>
    <row r="27">
      <c r="A27" s="2" t="inlineStr">
        <is>
          <t>· 「기타휴가」는 연차를 뺀 나머지(경조·병가·공가·출산·육아 등) 전부의 합계입니다.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2" customWidth="1" min="3" max="3"/>
    <col width="11" customWidth="1" min="4" max="4"/>
    <col width="15" customWidth="1" min="5" max="5"/>
    <col width="30" customWidth="1" min="6" max="6"/>
  </cols>
  <sheetData>
    <row r="1">
      <c r="A1" s="1" t="inlineStr">
        <is>
          <t>프로젝트집계</t>
        </is>
      </c>
    </row>
    <row r="2">
      <c r="A2" s="2" t="inlineStr">
        <is>
          <t>근태기록의 「프로젝트」 칸을 모아 투입시간을 집계합니다. 다음 견적의 근거가 됩니다.</t>
        </is>
      </c>
    </row>
    <row r="3">
      <c r="A3" s="23" t="inlineStr">
        <is>
          <t>조회 기간</t>
        </is>
      </c>
      <c r="B3" s="36" t="n">
        <v>46023</v>
      </c>
      <c r="C3" s="36" t="n">
        <v>46387</v>
      </c>
      <c r="D3" s="2" t="inlineStr">
        <is>
          <t>← 시작일과 종료일. 이 기간에 기록된 근무시간만 집계합니다.</t>
        </is>
      </c>
    </row>
    <row r="4" ht="30" customHeight="1">
      <c r="A4" s="10" t="inlineStr">
        <is>
          <t>프로젝트</t>
        </is>
      </c>
      <c r="B4" s="11" t="inlineStr">
        <is>
          <t>총 근무시간</t>
        </is>
      </c>
      <c r="C4" s="11" t="inlineStr">
        <is>
          <t>연장시간</t>
        </is>
      </c>
      <c r="D4" s="11" t="inlineStr">
        <is>
          <t>근무일수</t>
        </is>
      </c>
      <c r="E4" s="11" t="inlineStr">
        <is>
          <t>인건비 환산</t>
        </is>
      </c>
      <c r="F4" s="10" t="inlineStr">
        <is>
          <t>비고</t>
        </is>
      </c>
    </row>
    <row r="5">
      <c r="A5" s="22" t="n"/>
      <c r="B5" s="33">
        <f>IF($A5="","",SUMIFS(근태기록!$H$5:$H$2004,근태기록!$M$5:$M$2004,$A5,근태기록!$A$5:$A$2004,"&gt;="&amp;$B$3,근태기록!$A$5:$A$2004,"&lt;="&amp;$C$3))</f>
        <v/>
      </c>
      <c r="C5" s="33">
        <f>IF($A5="","",SUMIFS(근태기록!$I$5:$I$2004,근태기록!$M$5:$M$2004,$A5,근태기록!$A$5:$A$2004,"&gt;="&amp;$B$3,근태기록!$A$5:$A$2004,"&lt;="&amp;$C$3))</f>
        <v/>
      </c>
      <c r="D5" s="30">
        <f>IF($A5="","",COUNTIFS(근태기록!$M$5:$M$2004,$A5,근태기록!$A$5:$A$2004,"&gt;="&amp;$B$3,근태기록!$A$5:$A$2004,"&lt;="&amp;$C$3,근태기록!$H$5:$H$2004,"&gt;0"))</f>
        <v/>
      </c>
      <c r="E5" s="15">
        <f>IF(OR($A5="",$B$36=""),"",ROUND(B5*$B$36,0))</f>
        <v/>
      </c>
      <c r="F5" s="22" t="n"/>
    </row>
    <row r="6">
      <c r="A6" s="22" t="n"/>
      <c r="B6" s="33">
        <f>IF($A6="","",SUMIFS(근태기록!$H$5:$H$2004,근태기록!$M$5:$M$2004,$A6,근태기록!$A$5:$A$2004,"&gt;="&amp;$B$3,근태기록!$A$5:$A$2004,"&lt;="&amp;$C$3))</f>
        <v/>
      </c>
      <c r="C6" s="33">
        <f>IF($A6="","",SUMIFS(근태기록!$I$5:$I$2004,근태기록!$M$5:$M$2004,$A6,근태기록!$A$5:$A$2004,"&gt;="&amp;$B$3,근태기록!$A$5:$A$2004,"&lt;="&amp;$C$3))</f>
        <v/>
      </c>
      <c r="D6" s="30">
        <f>IF($A6="","",COUNTIFS(근태기록!$M$5:$M$2004,$A6,근태기록!$A$5:$A$2004,"&gt;="&amp;$B$3,근태기록!$A$5:$A$2004,"&lt;="&amp;$C$3,근태기록!$H$5:$H$2004,"&gt;0"))</f>
        <v/>
      </c>
      <c r="E6" s="15">
        <f>IF(OR($A6="",$B$36=""),"",ROUND(B6*$B$36,0))</f>
        <v/>
      </c>
      <c r="F6" s="22" t="n"/>
    </row>
    <row r="7">
      <c r="A7" s="22" t="n"/>
      <c r="B7" s="33">
        <f>IF($A7="","",SUMIFS(근태기록!$H$5:$H$2004,근태기록!$M$5:$M$2004,$A7,근태기록!$A$5:$A$2004,"&gt;="&amp;$B$3,근태기록!$A$5:$A$2004,"&lt;="&amp;$C$3))</f>
        <v/>
      </c>
      <c r="C7" s="33">
        <f>IF($A7="","",SUMIFS(근태기록!$I$5:$I$2004,근태기록!$M$5:$M$2004,$A7,근태기록!$A$5:$A$2004,"&gt;="&amp;$B$3,근태기록!$A$5:$A$2004,"&lt;="&amp;$C$3))</f>
        <v/>
      </c>
      <c r="D7" s="30">
        <f>IF($A7="","",COUNTIFS(근태기록!$M$5:$M$2004,$A7,근태기록!$A$5:$A$2004,"&gt;="&amp;$B$3,근태기록!$A$5:$A$2004,"&lt;="&amp;$C$3,근태기록!$H$5:$H$2004,"&gt;0"))</f>
        <v/>
      </c>
      <c r="E7" s="15">
        <f>IF(OR($A7="",$B$36=""),"",ROUND(B7*$B$36,0))</f>
        <v/>
      </c>
      <c r="F7" s="22" t="n"/>
    </row>
    <row r="8">
      <c r="A8" s="22" t="n"/>
      <c r="B8" s="33">
        <f>IF($A8="","",SUMIFS(근태기록!$H$5:$H$2004,근태기록!$M$5:$M$2004,$A8,근태기록!$A$5:$A$2004,"&gt;="&amp;$B$3,근태기록!$A$5:$A$2004,"&lt;="&amp;$C$3))</f>
        <v/>
      </c>
      <c r="C8" s="33">
        <f>IF($A8="","",SUMIFS(근태기록!$I$5:$I$2004,근태기록!$M$5:$M$2004,$A8,근태기록!$A$5:$A$2004,"&gt;="&amp;$B$3,근태기록!$A$5:$A$2004,"&lt;="&amp;$C$3))</f>
        <v/>
      </c>
      <c r="D8" s="30">
        <f>IF($A8="","",COUNTIFS(근태기록!$M$5:$M$2004,$A8,근태기록!$A$5:$A$2004,"&gt;="&amp;$B$3,근태기록!$A$5:$A$2004,"&lt;="&amp;$C$3,근태기록!$H$5:$H$2004,"&gt;0"))</f>
        <v/>
      </c>
      <c r="E8" s="15">
        <f>IF(OR($A8="",$B$36=""),"",ROUND(B8*$B$36,0))</f>
        <v/>
      </c>
      <c r="F8" s="22" t="n"/>
    </row>
    <row r="9">
      <c r="A9" s="22" t="n"/>
      <c r="B9" s="33">
        <f>IF($A9="","",SUMIFS(근태기록!$H$5:$H$2004,근태기록!$M$5:$M$2004,$A9,근태기록!$A$5:$A$2004,"&gt;="&amp;$B$3,근태기록!$A$5:$A$2004,"&lt;="&amp;$C$3))</f>
        <v/>
      </c>
      <c r="C9" s="33">
        <f>IF($A9="","",SUMIFS(근태기록!$I$5:$I$2004,근태기록!$M$5:$M$2004,$A9,근태기록!$A$5:$A$2004,"&gt;="&amp;$B$3,근태기록!$A$5:$A$2004,"&lt;="&amp;$C$3))</f>
        <v/>
      </c>
      <c r="D9" s="30">
        <f>IF($A9="","",COUNTIFS(근태기록!$M$5:$M$2004,$A9,근태기록!$A$5:$A$2004,"&gt;="&amp;$B$3,근태기록!$A$5:$A$2004,"&lt;="&amp;$C$3,근태기록!$H$5:$H$2004,"&gt;0"))</f>
        <v/>
      </c>
      <c r="E9" s="15">
        <f>IF(OR($A9="",$B$36=""),"",ROUND(B9*$B$36,0))</f>
        <v/>
      </c>
      <c r="F9" s="22" t="n"/>
    </row>
    <row r="10">
      <c r="A10" s="22" t="n"/>
      <c r="B10" s="33">
        <f>IF($A10="","",SUMIFS(근태기록!$H$5:$H$2004,근태기록!$M$5:$M$2004,$A10,근태기록!$A$5:$A$2004,"&gt;="&amp;$B$3,근태기록!$A$5:$A$2004,"&lt;="&amp;$C$3))</f>
        <v/>
      </c>
      <c r="C10" s="33">
        <f>IF($A10="","",SUMIFS(근태기록!$I$5:$I$2004,근태기록!$M$5:$M$2004,$A10,근태기록!$A$5:$A$2004,"&gt;="&amp;$B$3,근태기록!$A$5:$A$2004,"&lt;="&amp;$C$3))</f>
        <v/>
      </c>
      <c r="D10" s="30">
        <f>IF($A10="","",COUNTIFS(근태기록!$M$5:$M$2004,$A10,근태기록!$A$5:$A$2004,"&gt;="&amp;$B$3,근태기록!$A$5:$A$2004,"&lt;="&amp;$C$3,근태기록!$H$5:$H$2004,"&gt;0"))</f>
        <v/>
      </c>
      <c r="E10" s="15">
        <f>IF(OR($A10="",$B$36=""),"",ROUND(B10*$B$36,0))</f>
        <v/>
      </c>
      <c r="F10" s="22" t="n"/>
    </row>
    <row r="11">
      <c r="A11" s="22" t="n"/>
      <c r="B11" s="33">
        <f>IF($A11="","",SUMIFS(근태기록!$H$5:$H$2004,근태기록!$M$5:$M$2004,$A11,근태기록!$A$5:$A$2004,"&gt;="&amp;$B$3,근태기록!$A$5:$A$2004,"&lt;="&amp;$C$3))</f>
        <v/>
      </c>
      <c r="C11" s="33">
        <f>IF($A11="","",SUMIFS(근태기록!$I$5:$I$2004,근태기록!$M$5:$M$2004,$A11,근태기록!$A$5:$A$2004,"&gt;="&amp;$B$3,근태기록!$A$5:$A$2004,"&lt;="&amp;$C$3))</f>
        <v/>
      </c>
      <c r="D11" s="30">
        <f>IF($A11="","",COUNTIFS(근태기록!$M$5:$M$2004,$A11,근태기록!$A$5:$A$2004,"&gt;="&amp;$B$3,근태기록!$A$5:$A$2004,"&lt;="&amp;$C$3,근태기록!$H$5:$H$2004,"&gt;0"))</f>
        <v/>
      </c>
      <c r="E11" s="15">
        <f>IF(OR($A11="",$B$36=""),"",ROUND(B11*$B$36,0))</f>
        <v/>
      </c>
      <c r="F11" s="22" t="n"/>
    </row>
    <row r="12">
      <c r="A12" s="22" t="n"/>
      <c r="B12" s="33">
        <f>IF($A12="","",SUMIFS(근태기록!$H$5:$H$2004,근태기록!$M$5:$M$2004,$A12,근태기록!$A$5:$A$2004,"&gt;="&amp;$B$3,근태기록!$A$5:$A$2004,"&lt;="&amp;$C$3))</f>
        <v/>
      </c>
      <c r="C12" s="33">
        <f>IF($A12="","",SUMIFS(근태기록!$I$5:$I$2004,근태기록!$M$5:$M$2004,$A12,근태기록!$A$5:$A$2004,"&gt;="&amp;$B$3,근태기록!$A$5:$A$2004,"&lt;="&amp;$C$3))</f>
        <v/>
      </c>
      <c r="D12" s="30">
        <f>IF($A12="","",COUNTIFS(근태기록!$M$5:$M$2004,$A12,근태기록!$A$5:$A$2004,"&gt;="&amp;$B$3,근태기록!$A$5:$A$2004,"&lt;="&amp;$C$3,근태기록!$H$5:$H$2004,"&gt;0"))</f>
        <v/>
      </c>
      <c r="E12" s="15">
        <f>IF(OR($A12="",$B$36=""),"",ROUND(B12*$B$36,0))</f>
        <v/>
      </c>
      <c r="F12" s="22" t="n"/>
    </row>
    <row r="13">
      <c r="A13" s="22" t="n"/>
      <c r="B13" s="33">
        <f>IF($A13="","",SUMIFS(근태기록!$H$5:$H$2004,근태기록!$M$5:$M$2004,$A13,근태기록!$A$5:$A$2004,"&gt;="&amp;$B$3,근태기록!$A$5:$A$2004,"&lt;="&amp;$C$3))</f>
        <v/>
      </c>
      <c r="C13" s="33">
        <f>IF($A13="","",SUMIFS(근태기록!$I$5:$I$2004,근태기록!$M$5:$M$2004,$A13,근태기록!$A$5:$A$2004,"&gt;="&amp;$B$3,근태기록!$A$5:$A$2004,"&lt;="&amp;$C$3))</f>
        <v/>
      </c>
      <c r="D13" s="30">
        <f>IF($A13="","",COUNTIFS(근태기록!$M$5:$M$2004,$A13,근태기록!$A$5:$A$2004,"&gt;="&amp;$B$3,근태기록!$A$5:$A$2004,"&lt;="&amp;$C$3,근태기록!$H$5:$H$2004,"&gt;0"))</f>
        <v/>
      </c>
      <c r="E13" s="15">
        <f>IF(OR($A13="",$B$36=""),"",ROUND(B13*$B$36,0))</f>
        <v/>
      </c>
      <c r="F13" s="22" t="n"/>
    </row>
    <row r="14">
      <c r="A14" s="22" t="n"/>
      <c r="B14" s="33">
        <f>IF($A14="","",SUMIFS(근태기록!$H$5:$H$2004,근태기록!$M$5:$M$2004,$A14,근태기록!$A$5:$A$2004,"&gt;="&amp;$B$3,근태기록!$A$5:$A$2004,"&lt;="&amp;$C$3))</f>
        <v/>
      </c>
      <c r="C14" s="33">
        <f>IF($A14="","",SUMIFS(근태기록!$I$5:$I$2004,근태기록!$M$5:$M$2004,$A14,근태기록!$A$5:$A$2004,"&gt;="&amp;$B$3,근태기록!$A$5:$A$2004,"&lt;="&amp;$C$3))</f>
        <v/>
      </c>
      <c r="D14" s="30">
        <f>IF($A14="","",COUNTIFS(근태기록!$M$5:$M$2004,$A14,근태기록!$A$5:$A$2004,"&gt;="&amp;$B$3,근태기록!$A$5:$A$2004,"&lt;="&amp;$C$3,근태기록!$H$5:$H$2004,"&gt;0"))</f>
        <v/>
      </c>
      <c r="E14" s="15">
        <f>IF(OR($A14="",$B$36=""),"",ROUND(B14*$B$36,0))</f>
        <v/>
      </c>
      <c r="F14" s="22" t="n"/>
    </row>
    <row r="15">
      <c r="A15" s="22" t="n"/>
      <c r="B15" s="33">
        <f>IF($A15="","",SUMIFS(근태기록!$H$5:$H$2004,근태기록!$M$5:$M$2004,$A15,근태기록!$A$5:$A$2004,"&gt;="&amp;$B$3,근태기록!$A$5:$A$2004,"&lt;="&amp;$C$3))</f>
        <v/>
      </c>
      <c r="C15" s="33">
        <f>IF($A15="","",SUMIFS(근태기록!$I$5:$I$2004,근태기록!$M$5:$M$2004,$A15,근태기록!$A$5:$A$2004,"&gt;="&amp;$B$3,근태기록!$A$5:$A$2004,"&lt;="&amp;$C$3))</f>
        <v/>
      </c>
      <c r="D15" s="30">
        <f>IF($A15="","",COUNTIFS(근태기록!$M$5:$M$2004,$A15,근태기록!$A$5:$A$2004,"&gt;="&amp;$B$3,근태기록!$A$5:$A$2004,"&lt;="&amp;$C$3,근태기록!$H$5:$H$2004,"&gt;0"))</f>
        <v/>
      </c>
      <c r="E15" s="15">
        <f>IF(OR($A15="",$B$36=""),"",ROUND(B15*$B$36,0))</f>
        <v/>
      </c>
      <c r="F15" s="22" t="n"/>
    </row>
    <row r="16">
      <c r="A16" s="22" t="n"/>
      <c r="B16" s="33">
        <f>IF($A16="","",SUMIFS(근태기록!$H$5:$H$2004,근태기록!$M$5:$M$2004,$A16,근태기록!$A$5:$A$2004,"&gt;="&amp;$B$3,근태기록!$A$5:$A$2004,"&lt;="&amp;$C$3))</f>
        <v/>
      </c>
      <c r="C16" s="33">
        <f>IF($A16="","",SUMIFS(근태기록!$I$5:$I$2004,근태기록!$M$5:$M$2004,$A16,근태기록!$A$5:$A$2004,"&gt;="&amp;$B$3,근태기록!$A$5:$A$2004,"&lt;="&amp;$C$3))</f>
        <v/>
      </c>
      <c r="D16" s="30">
        <f>IF($A16="","",COUNTIFS(근태기록!$M$5:$M$2004,$A16,근태기록!$A$5:$A$2004,"&gt;="&amp;$B$3,근태기록!$A$5:$A$2004,"&lt;="&amp;$C$3,근태기록!$H$5:$H$2004,"&gt;0"))</f>
        <v/>
      </c>
      <c r="E16" s="15">
        <f>IF(OR($A16="",$B$36=""),"",ROUND(B16*$B$36,0))</f>
        <v/>
      </c>
      <c r="F16" s="22" t="n"/>
    </row>
    <row r="17">
      <c r="A17" s="22" t="n"/>
      <c r="B17" s="33">
        <f>IF($A17="","",SUMIFS(근태기록!$H$5:$H$2004,근태기록!$M$5:$M$2004,$A17,근태기록!$A$5:$A$2004,"&gt;="&amp;$B$3,근태기록!$A$5:$A$2004,"&lt;="&amp;$C$3))</f>
        <v/>
      </c>
      <c r="C17" s="33">
        <f>IF($A17="","",SUMIFS(근태기록!$I$5:$I$2004,근태기록!$M$5:$M$2004,$A17,근태기록!$A$5:$A$2004,"&gt;="&amp;$B$3,근태기록!$A$5:$A$2004,"&lt;="&amp;$C$3))</f>
        <v/>
      </c>
      <c r="D17" s="30">
        <f>IF($A17="","",COUNTIFS(근태기록!$M$5:$M$2004,$A17,근태기록!$A$5:$A$2004,"&gt;="&amp;$B$3,근태기록!$A$5:$A$2004,"&lt;="&amp;$C$3,근태기록!$H$5:$H$2004,"&gt;0"))</f>
        <v/>
      </c>
      <c r="E17" s="15">
        <f>IF(OR($A17="",$B$36=""),"",ROUND(B17*$B$36,0))</f>
        <v/>
      </c>
      <c r="F17" s="22" t="n"/>
    </row>
    <row r="18">
      <c r="A18" s="22" t="n"/>
      <c r="B18" s="33">
        <f>IF($A18="","",SUMIFS(근태기록!$H$5:$H$2004,근태기록!$M$5:$M$2004,$A18,근태기록!$A$5:$A$2004,"&gt;="&amp;$B$3,근태기록!$A$5:$A$2004,"&lt;="&amp;$C$3))</f>
        <v/>
      </c>
      <c r="C18" s="33">
        <f>IF($A18="","",SUMIFS(근태기록!$I$5:$I$2004,근태기록!$M$5:$M$2004,$A18,근태기록!$A$5:$A$2004,"&gt;="&amp;$B$3,근태기록!$A$5:$A$2004,"&lt;="&amp;$C$3))</f>
        <v/>
      </c>
      <c r="D18" s="30">
        <f>IF($A18="","",COUNTIFS(근태기록!$M$5:$M$2004,$A18,근태기록!$A$5:$A$2004,"&gt;="&amp;$B$3,근태기록!$A$5:$A$2004,"&lt;="&amp;$C$3,근태기록!$H$5:$H$2004,"&gt;0"))</f>
        <v/>
      </c>
      <c r="E18" s="15">
        <f>IF(OR($A18="",$B$36=""),"",ROUND(B18*$B$36,0))</f>
        <v/>
      </c>
      <c r="F18" s="22" t="n"/>
    </row>
    <row r="19">
      <c r="A19" s="22" t="n"/>
      <c r="B19" s="33">
        <f>IF($A19="","",SUMIFS(근태기록!$H$5:$H$2004,근태기록!$M$5:$M$2004,$A19,근태기록!$A$5:$A$2004,"&gt;="&amp;$B$3,근태기록!$A$5:$A$2004,"&lt;="&amp;$C$3))</f>
        <v/>
      </c>
      <c r="C19" s="33">
        <f>IF($A19="","",SUMIFS(근태기록!$I$5:$I$2004,근태기록!$M$5:$M$2004,$A19,근태기록!$A$5:$A$2004,"&gt;="&amp;$B$3,근태기록!$A$5:$A$2004,"&lt;="&amp;$C$3))</f>
        <v/>
      </c>
      <c r="D19" s="30">
        <f>IF($A19="","",COUNTIFS(근태기록!$M$5:$M$2004,$A19,근태기록!$A$5:$A$2004,"&gt;="&amp;$B$3,근태기록!$A$5:$A$2004,"&lt;="&amp;$C$3,근태기록!$H$5:$H$2004,"&gt;0"))</f>
        <v/>
      </c>
      <c r="E19" s="15">
        <f>IF(OR($A19="",$B$36=""),"",ROUND(B19*$B$36,0))</f>
        <v/>
      </c>
      <c r="F19" s="22" t="n"/>
    </row>
    <row r="20">
      <c r="A20" s="22" t="n"/>
      <c r="B20" s="33">
        <f>IF($A20="","",SUMIFS(근태기록!$H$5:$H$2004,근태기록!$M$5:$M$2004,$A20,근태기록!$A$5:$A$2004,"&gt;="&amp;$B$3,근태기록!$A$5:$A$2004,"&lt;="&amp;$C$3))</f>
        <v/>
      </c>
      <c r="C20" s="33">
        <f>IF($A20="","",SUMIFS(근태기록!$I$5:$I$2004,근태기록!$M$5:$M$2004,$A20,근태기록!$A$5:$A$2004,"&gt;="&amp;$B$3,근태기록!$A$5:$A$2004,"&lt;="&amp;$C$3))</f>
        <v/>
      </c>
      <c r="D20" s="30">
        <f>IF($A20="","",COUNTIFS(근태기록!$M$5:$M$2004,$A20,근태기록!$A$5:$A$2004,"&gt;="&amp;$B$3,근태기록!$A$5:$A$2004,"&lt;="&amp;$C$3,근태기록!$H$5:$H$2004,"&gt;0"))</f>
        <v/>
      </c>
      <c r="E20" s="15">
        <f>IF(OR($A20="",$B$36=""),"",ROUND(B20*$B$36,0))</f>
        <v/>
      </c>
      <c r="F20" s="22" t="n"/>
    </row>
    <row r="21">
      <c r="A21" s="22" t="n"/>
      <c r="B21" s="33">
        <f>IF($A21="","",SUMIFS(근태기록!$H$5:$H$2004,근태기록!$M$5:$M$2004,$A21,근태기록!$A$5:$A$2004,"&gt;="&amp;$B$3,근태기록!$A$5:$A$2004,"&lt;="&amp;$C$3))</f>
        <v/>
      </c>
      <c r="C21" s="33">
        <f>IF($A21="","",SUMIFS(근태기록!$I$5:$I$2004,근태기록!$M$5:$M$2004,$A21,근태기록!$A$5:$A$2004,"&gt;="&amp;$B$3,근태기록!$A$5:$A$2004,"&lt;="&amp;$C$3))</f>
        <v/>
      </c>
      <c r="D21" s="30">
        <f>IF($A21="","",COUNTIFS(근태기록!$M$5:$M$2004,$A21,근태기록!$A$5:$A$2004,"&gt;="&amp;$B$3,근태기록!$A$5:$A$2004,"&lt;="&amp;$C$3,근태기록!$H$5:$H$2004,"&gt;0"))</f>
        <v/>
      </c>
      <c r="E21" s="15">
        <f>IF(OR($A21="",$B$36=""),"",ROUND(B21*$B$36,0))</f>
        <v/>
      </c>
      <c r="F21" s="22" t="n"/>
    </row>
    <row r="22">
      <c r="A22" s="22" t="n"/>
      <c r="B22" s="33">
        <f>IF($A22="","",SUMIFS(근태기록!$H$5:$H$2004,근태기록!$M$5:$M$2004,$A22,근태기록!$A$5:$A$2004,"&gt;="&amp;$B$3,근태기록!$A$5:$A$2004,"&lt;="&amp;$C$3))</f>
        <v/>
      </c>
      <c r="C22" s="33">
        <f>IF($A22="","",SUMIFS(근태기록!$I$5:$I$2004,근태기록!$M$5:$M$2004,$A22,근태기록!$A$5:$A$2004,"&gt;="&amp;$B$3,근태기록!$A$5:$A$2004,"&lt;="&amp;$C$3))</f>
        <v/>
      </c>
      <c r="D22" s="30">
        <f>IF($A22="","",COUNTIFS(근태기록!$M$5:$M$2004,$A22,근태기록!$A$5:$A$2004,"&gt;="&amp;$B$3,근태기록!$A$5:$A$2004,"&lt;="&amp;$C$3,근태기록!$H$5:$H$2004,"&gt;0"))</f>
        <v/>
      </c>
      <c r="E22" s="15">
        <f>IF(OR($A22="",$B$36=""),"",ROUND(B22*$B$36,0))</f>
        <v/>
      </c>
      <c r="F22" s="22" t="n"/>
    </row>
    <row r="23">
      <c r="A23" s="22" t="n"/>
      <c r="B23" s="33">
        <f>IF($A23="","",SUMIFS(근태기록!$H$5:$H$2004,근태기록!$M$5:$M$2004,$A23,근태기록!$A$5:$A$2004,"&gt;="&amp;$B$3,근태기록!$A$5:$A$2004,"&lt;="&amp;$C$3))</f>
        <v/>
      </c>
      <c r="C23" s="33">
        <f>IF($A23="","",SUMIFS(근태기록!$I$5:$I$2004,근태기록!$M$5:$M$2004,$A23,근태기록!$A$5:$A$2004,"&gt;="&amp;$B$3,근태기록!$A$5:$A$2004,"&lt;="&amp;$C$3))</f>
        <v/>
      </c>
      <c r="D23" s="30">
        <f>IF($A23="","",COUNTIFS(근태기록!$M$5:$M$2004,$A23,근태기록!$A$5:$A$2004,"&gt;="&amp;$B$3,근태기록!$A$5:$A$2004,"&lt;="&amp;$C$3,근태기록!$H$5:$H$2004,"&gt;0"))</f>
        <v/>
      </c>
      <c r="E23" s="15">
        <f>IF(OR($A23="",$B$36=""),"",ROUND(B23*$B$36,0))</f>
        <v/>
      </c>
      <c r="F23" s="22" t="n"/>
    </row>
    <row r="24">
      <c r="A24" s="22" t="n"/>
      <c r="B24" s="33">
        <f>IF($A24="","",SUMIFS(근태기록!$H$5:$H$2004,근태기록!$M$5:$M$2004,$A24,근태기록!$A$5:$A$2004,"&gt;="&amp;$B$3,근태기록!$A$5:$A$2004,"&lt;="&amp;$C$3))</f>
        <v/>
      </c>
      <c r="C24" s="33">
        <f>IF($A24="","",SUMIFS(근태기록!$I$5:$I$2004,근태기록!$M$5:$M$2004,$A24,근태기록!$A$5:$A$2004,"&gt;="&amp;$B$3,근태기록!$A$5:$A$2004,"&lt;="&amp;$C$3))</f>
        <v/>
      </c>
      <c r="D24" s="30">
        <f>IF($A24="","",COUNTIFS(근태기록!$M$5:$M$2004,$A24,근태기록!$A$5:$A$2004,"&gt;="&amp;$B$3,근태기록!$A$5:$A$2004,"&lt;="&amp;$C$3,근태기록!$H$5:$H$2004,"&gt;0"))</f>
        <v/>
      </c>
      <c r="E24" s="15">
        <f>IF(OR($A24="",$B$36=""),"",ROUND(B24*$B$36,0))</f>
        <v/>
      </c>
      <c r="F24" s="22" t="n"/>
    </row>
    <row r="25">
      <c r="A25" s="22" t="n"/>
      <c r="B25" s="33">
        <f>IF($A25="","",SUMIFS(근태기록!$H$5:$H$2004,근태기록!$M$5:$M$2004,$A25,근태기록!$A$5:$A$2004,"&gt;="&amp;$B$3,근태기록!$A$5:$A$2004,"&lt;="&amp;$C$3))</f>
        <v/>
      </c>
      <c r="C25" s="33">
        <f>IF($A25="","",SUMIFS(근태기록!$I$5:$I$2004,근태기록!$M$5:$M$2004,$A25,근태기록!$A$5:$A$2004,"&gt;="&amp;$B$3,근태기록!$A$5:$A$2004,"&lt;="&amp;$C$3))</f>
        <v/>
      </c>
      <c r="D25" s="30">
        <f>IF($A25="","",COUNTIFS(근태기록!$M$5:$M$2004,$A25,근태기록!$A$5:$A$2004,"&gt;="&amp;$B$3,근태기록!$A$5:$A$2004,"&lt;="&amp;$C$3,근태기록!$H$5:$H$2004,"&gt;0"))</f>
        <v/>
      </c>
      <c r="E25" s="15">
        <f>IF(OR($A25="",$B$36=""),"",ROUND(B25*$B$36,0))</f>
        <v/>
      </c>
      <c r="F25" s="22" t="n"/>
    </row>
    <row r="26">
      <c r="A26" s="22" t="n"/>
      <c r="B26" s="33">
        <f>IF($A26="","",SUMIFS(근태기록!$H$5:$H$2004,근태기록!$M$5:$M$2004,$A26,근태기록!$A$5:$A$2004,"&gt;="&amp;$B$3,근태기록!$A$5:$A$2004,"&lt;="&amp;$C$3))</f>
        <v/>
      </c>
      <c r="C26" s="33">
        <f>IF($A26="","",SUMIFS(근태기록!$I$5:$I$2004,근태기록!$M$5:$M$2004,$A26,근태기록!$A$5:$A$2004,"&gt;="&amp;$B$3,근태기록!$A$5:$A$2004,"&lt;="&amp;$C$3))</f>
        <v/>
      </c>
      <c r="D26" s="30">
        <f>IF($A26="","",COUNTIFS(근태기록!$M$5:$M$2004,$A26,근태기록!$A$5:$A$2004,"&gt;="&amp;$B$3,근태기록!$A$5:$A$2004,"&lt;="&amp;$C$3,근태기록!$H$5:$H$2004,"&gt;0"))</f>
        <v/>
      </c>
      <c r="E26" s="15">
        <f>IF(OR($A26="",$B$36=""),"",ROUND(B26*$B$36,0))</f>
        <v/>
      </c>
      <c r="F26" s="22" t="n"/>
    </row>
    <row r="27">
      <c r="A27" s="22" t="n"/>
      <c r="B27" s="33">
        <f>IF($A27="","",SUMIFS(근태기록!$H$5:$H$2004,근태기록!$M$5:$M$2004,$A27,근태기록!$A$5:$A$2004,"&gt;="&amp;$B$3,근태기록!$A$5:$A$2004,"&lt;="&amp;$C$3))</f>
        <v/>
      </c>
      <c r="C27" s="33">
        <f>IF($A27="","",SUMIFS(근태기록!$I$5:$I$2004,근태기록!$M$5:$M$2004,$A27,근태기록!$A$5:$A$2004,"&gt;="&amp;$B$3,근태기록!$A$5:$A$2004,"&lt;="&amp;$C$3))</f>
        <v/>
      </c>
      <c r="D27" s="30">
        <f>IF($A27="","",COUNTIFS(근태기록!$M$5:$M$2004,$A27,근태기록!$A$5:$A$2004,"&gt;="&amp;$B$3,근태기록!$A$5:$A$2004,"&lt;="&amp;$C$3,근태기록!$H$5:$H$2004,"&gt;0"))</f>
        <v/>
      </c>
      <c r="E27" s="15">
        <f>IF(OR($A27="",$B$36=""),"",ROUND(B27*$B$36,0))</f>
        <v/>
      </c>
      <c r="F27" s="22" t="n"/>
    </row>
    <row r="28">
      <c r="A28" s="22" t="n"/>
      <c r="B28" s="33">
        <f>IF($A28="","",SUMIFS(근태기록!$H$5:$H$2004,근태기록!$M$5:$M$2004,$A28,근태기록!$A$5:$A$2004,"&gt;="&amp;$B$3,근태기록!$A$5:$A$2004,"&lt;="&amp;$C$3))</f>
        <v/>
      </c>
      <c r="C28" s="33">
        <f>IF($A28="","",SUMIFS(근태기록!$I$5:$I$2004,근태기록!$M$5:$M$2004,$A28,근태기록!$A$5:$A$2004,"&gt;="&amp;$B$3,근태기록!$A$5:$A$2004,"&lt;="&amp;$C$3))</f>
        <v/>
      </c>
      <c r="D28" s="30">
        <f>IF($A28="","",COUNTIFS(근태기록!$M$5:$M$2004,$A28,근태기록!$A$5:$A$2004,"&gt;="&amp;$B$3,근태기록!$A$5:$A$2004,"&lt;="&amp;$C$3,근태기록!$H$5:$H$2004,"&gt;0"))</f>
        <v/>
      </c>
      <c r="E28" s="15">
        <f>IF(OR($A28="",$B$36=""),"",ROUND(B28*$B$36,0))</f>
        <v/>
      </c>
      <c r="F28" s="22" t="n"/>
    </row>
    <row r="29">
      <c r="A29" s="22" t="n"/>
      <c r="B29" s="33">
        <f>IF($A29="","",SUMIFS(근태기록!$H$5:$H$2004,근태기록!$M$5:$M$2004,$A29,근태기록!$A$5:$A$2004,"&gt;="&amp;$B$3,근태기록!$A$5:$A$2004,"&lt;="&amp;$C$3))</f>
        <v/>
      </c>
      <c r="C29" s="33">
        <f>IF($A29="","",SUMIFS(근태기록!$I$5:$I$2004,근태기록!$M$5:$M$2004,$A29,근태기록!$A$5:$A$2004,"&gt;="&amp;$B$3,근태기록!$A$5:$A$2004,"&lt;="&amp;$C$3))</f>
        <v/>
      </c>
      <c r="D29" s="30">
        <f>IF($A29="","",COUNTIFS(근태기록!$M$5:$M$2004,$A29,근태기록!$A$5:$A$2004,"&gt;="&amp;$B$3,근태기록!$A$5:$A$2004,"&lt;="&amp;$C$3,근태기록!$H$5:$H$2004,"&gt;0"))</f>
        <v/>
      </c>
      <c r="E29" s="15">
        <f>IF(OR($A29="",$B$36=""),"",ROUND(B29*$B$36,0))</f>
        <v/>
      </c>
      <c r="F29" s="22" t="n"/>
    </row>
    <row r="30">
      <c r="A30" s="22" t="n"/>
      <c r="B30" s="33">
        <f>IF($A30="","",SUMIFS(근태기록!$H$5:$H$2004,근태기록!$M$5:$M$2004,$A30,근태기록!$A$5:$A$2004,"&gt;="&amp;$B$3,근태기록!$A$5:$A$2004,"&lt;="&amp;$C$3))</f>
        <v/>
      </c>
      <c r="C30" s="33">
        <f>IF($A30="","",SUMIFS(근태기록!$I$5:$I$2004,근태기록!$M$5:$M$2004,$A30,근태기록!$A$5:$A$2004,"&gt;="&amp;$B$3,근태기록!$A$5:$A$2004,"&lt;="&amp;$C$3))</f>
        <v/>
      </c>
      <c r="D30" s="30">
        <f>IF($A30="","",COUNTIFS(근태기록!$M$5:$M$2004,$A30,근태기록!$A$5:$A$2004,"&gt;="&amp;$B$3,근태기록!$A$5:$A$2004,"&lt;="&amp;$C$3,근태기록!$H$5:$H$2004,"&gt;0"))</f>
        <v/>
      </c>
      <c r="E30" s="15">
        <f>IF(OR($A30="",$B$36=""),"",ROUND(B30*$B$36,0))</f>
        <v/>
      </c>
      <c r="F30" s="22" t="n"/>
    </row>
    <row r="31">
      <c r="A31" s="22" t="n"/>
      <c r="B31" s="33">
        <f>IF($A31="","",SUMIFS(근태기록!$H$5:$H$2004,근태기록!$M$5:$M$2004,$A31,근태기록!$A$5:$A$2004,"&gt;="&amp;$B$3,근태기록!$A$5:$A$2004,"&lt;="&amp;$C$3))</f>
        <v/>
      </c>
      <c r="C31" s="33">
        <f>IF($A31="","",SUMIFS(근태기록!$I$5:$I$2004,근태기록!$M$5:$M$2004,$A31,근태기록!$A$5:$A$2004,"&gt;="&amp;$B$3,근태기록!$A$5:$A$2004,"&lt;="&amp;$C$3))</f>
        <v/>
      </c>
      <c r="D31" s="30">
        <f>IF($A31="","",COUNTIFS(근태기록!$M$5:$M$2004,$A31,근태기록!$A$5:$A$2004,"&gt;="&amp;$B$3,근태기록!$A$5:$A$2004,"&lt;="&amp;$C$3,근태기록!$H$5:$H$2004,"&gt;0"))</f>
        <v/>
      </c>
      <c r="E31" s="15">
        <f>IF(OR($A31="",$B$36=""),"",ROUND(B31*$B$36,0))</f>
        <v/>
      </c>
      <c r="F31" s="22" t="n"/>
    </row>
    <row r="32">
      <c r="A32" s="22" t="n"/>
      <c r="B32" s="33">
        <f>IF($A32="","",SUMIFS(근태기록!$H$5:$H$2004,근태기록!$M$5:$M$2004,$A32,근태기록!$A$5:$A$2004,"&gt;="&amp;$B$3,근태기록!$A$5:$A$2004,"&lt;="&amp;$C$3))</f>
        <v/>
      </c>
      <c r="C32" s="33">
        <f>IF($A32="","",SUMIFS(근태기록!$I$5:$I$2004,근태기록!$M$5:$M$2004,$A32,근태기록!$A$5:$A$2004,"&gt;="&amp;$B$3,근태기록!$A$5:$A$2004,"&lt;="&amp;$C$3))</f>
        <v/>
      </c>
      <c r="D32" s="30">
        <f>IF($A32="","",COUNTIFS(근태기록!$M$5:$M$2004,$A32,근태기록!$A$5:$A$2004,"&gt;="&amp;$B$3,근태기록!$A$5:$A$2004,"&lt;="&amp;$C$3,근태기록!$H$5:$H$2004,"&gt;0"))</f>
        <v/>
      </c>
      <c r="E32" s="15">
        <f>IF(OR($A32="",$B$36=""),"",ROUND(B32*$B$36,0))</f>
        <v/>
      </c>
      <c r="F32" s="22" t="n"/>
    </row>
    <row r="33">
      <c r="A33" s="22" t="n"/>
      <c r="B33" s="33">
        <f>IF($A33="","",SUMIFS(근태기록!$H$5:$H$2004,근태기록!$M$5:$M$2004,$A33,근태기록!$A$5:$A$2004,"&gt;="&amp;$B$3,근태기록!$A$5:$A$2004,"&lt;="&amp;$C$3))</f>
        <v/>
      </c>
      <c r="C33" s="33">
        <f>IF($A33="","",SUMIFS(근태기록!$I$5:$I$2004,근태기록!$M$5:$M$2004,$A33,근태기록!$A$5:$A$2004,"&gt;="&amp;$B$3,근태기록!$A$5:$A$2004,"&lt;="&amp;$C$3))</f>
        <v/>
      </c>
      <c r="D33" s="30">
        <f>IF($A33="","",COUNTIFS(근태기록!$M$5:$M$2004,$A33,근태기록!$A$5:$A$2004,"&gt;="&amp;$B$3,근태기록!$A$5:$A$2004,"&lt;="&amp;$C$3,근태기록!$H$5:$H$2004,"&gt;0"))</f>
        <v/>
      </c>
      <c r="E33" s="15">
        <f>IF(OR($A33="",$B$36=""),"",ROUND(B33*$B$36,0))</f>
        <v/>
      </c>
      <c r="F33" s="22" t="n"/>
    </row>
    <row r="34">
      <c r="A34" s="22" t="n"/>
      <c r="B34" s="33">
        <f>IF($A34="","",SUMIFS(근태기록!$H$5:$H$2004,근태기록!$M$5:$M$2004,$A34,근태기록!$A$5:$A$2004,"&gt;="&amp;$B$3,근태기록!$A$5:$A$2004,"&lt;="&amp;$C$3))</f>
        <v/>
      </c>
      <c r="C34" s="33">
        <f>IF($A34="","",SUMIFS(근태기록!$I$5:$I$2004,근태기록!$M$5:$M$2004,$A34,근태기록!$A$5:$A$2004,"&gt;="&amp;$B$3,근태기록!$A$5:$A$2004,"&lt;="&amp;$C$3))</f>
        <v/>
      </c>
      <c r="D34" s="30">
        <f>IF($A34="","",COUNTIFS(근태기록!$M$5:$M$2004,$A34,근태기록!$A$5:$A$2004,"&gt;="&amp;$B$3,근태기록!$A$5:$A$2004,"&lt;="&amp;$C$3,근태기록!$H$5:$H$2004,"&gt;0"))</f>
        <v/>
      </c>
      <c r="E34" s="15">
        <f>IF(OR($A34="",$B$36=""),"",ROUND(B34*$B$36,0))</f>
        <v/>
      </c>
      <c r="F34" s="22" t="n"/>
    </row>
    <row r="36">
      <c r="A36" s="23" t="inlineStr">
        <is>
          <t>시간당 단가 (원)</t>
        </is>
      </c>
      <c r="B36" s="37">
        <f>IFERROR(ROUND(직원명부!I5/209,0),"")</f>
        <v/>
      </c>
      <c r="C36" s="2" t="inlineStr">
        <is>
          <t>← 직원명부 첫 사원의 월 지급액 ÷ 209시간. 인원이 여럿이면 평균 단가를 직접 넣으세요.</t>
        </is>
      </c>
    </row>
    <row r="38">
      <c r="A38" s="2" t="inlineStr">
        <is>
          <t>· 프로젝트명은 근태기록의 「프로젝트」 칸에 적은 것과 글자가 정확히 같아야 집계됩니다.</t>
        </is>
      </c>
    </row>
    <row r="39">
      <c r="A39" s="2" t="inlineStr">
        <is>
          <t>· 「인건비 환산」은 원가 감각을 잡기 위한 값입니다. 4대보험 회사부담분과 간접비가 빠져 있어 실제 원가는 이보다 높습니다. 견적에 그대로 쓰지 마세요.</t>
        </is>
      </c>
    </row>
    <row r="40">
      <c r="A40" s="2" t="inlineStr">
        <is>
          <t>· 프로젝트가 끝나면 총 근무시간을 견적서와 대조해 두세요. 다음 견적의 근거가 됩니다.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3" customWidth="1" min="4" max="4"/>
    <col width="12" customWidth="1" min="5" max="5"/>
    <col width="26" customWidth="1" min="6" max="6"/>
    <col width="4" customWidth="1" min="7" max="7"/>
  </cols>
  <sheetData>
    <row r="1">
      <c r="A1" s="1" t="inlineStr">
        <is>
          <t>보상휴가</t>
        </is>
      </c>
    </row>
    <row r="2">
      <c r="A2" s="2" t="inlineStr">
        <is>
          <t>연장·야간·휴일근로 수당을 갈음하는 휴가입니다. 1대1이 아니라 가산율을 반영해 환산합니다.</t>
        </is>
      </c>
    </row>
    <row r="3">
      <c r="A3" s="23" t="inlineStr">
        <is>
          <t>조회 기간</t>
        </is>
      </c>
      <c r="B3" s="36" t="n">
        <v>46296</v>
      </c>
      <c r="C3" s="36" t="n">
        <v>46387</v>
      </c>
      <c r="D3" s="2" t="inlineStr">
        <is>
          <t>← 이 기간에 발생하고 사용한 보상휴가만 집계합니다.</t>
        </is>
      </c>
    </row>
    <row r="4" ht="30" customHeight="1">
      <c r="A4" s="11" t="inlineStr">
        <is>
          <t>사번</t>
        </is>
      </c>
      <c r="B4" s="11" t="inlineStr">
        <is>
          <t>성명</t>
        </is>
      </c>
      <c r="C4" s="11" t="inlineStr">
        <is>
          <t>발생 시간</t>
        </is>
      </c>
      <c r="D4" s="11" t="inlineStr">
        <is>
          <t>사용 시간</t>
        </is>
      </c>
      <c r="E4" s="11" t="inlineStr">
        <is>
          <t>잔여 시간</t>
        </is>
      </c>
      <c r="F4" s="11" t="inlineStr">
        <is>
          <t>잔여 일수</t>
        </is>
      </c>
      <c r="G4" s="10" t="inlineStr">
        <is>
          <t>비고</t>
        </is>
      </c>
    </row>
    <row r="5">
      <c r="A5" s="25">
        <f>IF(직원명부!A5="","",직원명부!A5)</f>
        <v/>
      </c>
      <c r="B5" s="25">
        <f>IF(직원명부!B5="","",직원명부!B5)</f>
        <v/>
      </c>
      <c r="C5" s="33">
        <f>IF($A5="","",SUMIFS(근태기록!$K$5:$K$2004,근태기록!$C$5:$C$2004,$A5,근태기록!$A$5:$A$2004,"&gt;="&amp;$B$3,근태기록!$A$5:$A$2004,"&lt;="&amp;$C$3))</f>
        <v/>
      </c>
      <c r="D5" s="33">
        <f>IF($A5="","",SUMIFS($D$19:$D$118,$B$19:$B$118,$A5,$A$19:$A$118,"&gt;="&amp;$B$3,$A$19:$A$118,"&lt;="&amp;$C$3))</f>
        <v/>
      </c>
      <c r="E5" s="38">
        <f>IF($A5="","",C5-D5)</f>
        <v/>
      </c>
      <c r="F5" s="33">
        <f>IF($A5="","",ROUND(E5/8,2))</f>
        <v/>
      </c>
      <c r="G5" s="22" t="n"/>
    </row>
    <row r="6">
      <c r="A6" s="25">
        <f>IF(직원명부!A6="","",직원명부!A6)</f>
        <v/>
      </c>
      <c r="B6" s="25">
        <f>IF(직원명부!B6="","",직원명부!B6)</f>
        <v/>
      </c>
      <c r="C6" s="33">
        <f>IF($A6="","",SUMIFS(근태기록!$K$5:$K$2004,근태기록!$C$5:$C$2004,$A6,근태기록!$A$5:$A$2004,"&gt;="&amp;$B$3,근태기록!$A$5:$A$2004,"&lt;="&amp;$C$3))</f>
        <v/>
      </c>
      <c r="D6" s="33">
        <f>IF($A6="","",SUMIFS($D$19:$D$118,$B$19:$B$118,$A6,$A$19:$A$118,"&gt;="&amp;$B$3,$A$19:$A$118,"&lt;="&amp;$C$3))</f>
        <v/>
      </c>
      <c r="E6" s="38">
        <f>IF($A6="","",C6-D6)</f>
        <v/>
      </c>
      <c r="F6" s="33">
        <f>IF($A6="","",ROUND(E6/8,2))</f>
        <v/>
      </c>
      <c r="G6" s="22" t="n"/>
    </row>
    <row r="7">
      <c r="A7" s="25">
        <f>IF(직원명부!A7="","",직원명부!A7)</f>
        <v/>
      </c>
      <c r="B7" s="25">
        <f>IF(직원명부!B7="","",직원명부!B7)</f>
        <v/>
      </c>
      <c r="C7" s="33">
        <f>IF($A7="","",SUMIFS(근태기록!$K$5:$K$2004,근태기록!$C$5:$C$2004,$A7,근태기록!$A$5:$A$2004,"&gt;="&amp;$B$3,근태기록!$A$5:$A$2004,"&lt;="&amp;$C$3))</f>
        <v/>
      </c>
      <c r="D7" s="33">
        <f>IF($A7="","",SUMIFS($D$19:$D$118,$B$19:$B$118,$A7,$A$19:$A$118,"&gt;="&amp;$B$3,$A$19:$A$118,"&lt;="&amp;$C$3))</f>
        <v/>
      </c>
      <c r="E7" s="38">
        <f>IF($A7="","",C7-D7)</f>
        <v/>
      </c>
      <c r="F7" s="33">
        <f>IF($A7="","",ROUND(E7/8,2))</f>
        <v/>
      </c>
      <c r="G7" s="22" t="n"/>
    </row>
    <row r="8">
      <c r="A8" s="25">
        <f>IF(직원명부!A8="","",직원명부!A8)</f>
        <v/>
      </c>
      <c r="B8" s="25">
        <f>IF(직원명부!B8="","",직원명부!B8)</f>
        <v/>
      </c>
      <c r="C8" s="33">
        <f>IF($A8="","",SUMIFS(근태기록!$K$5:$K$2004,근태기록!$C$5:$C$2004,$A8,근태기록!$A$5:$A$2004,"&gt;="&amp;$B$3,근태기록!$A$5:$A$2004,"&lt;="&amp;$C$3))</f>
        <v/>
      </c>
      <c r="D8" s="33">
        <f>IF($A8="","",SUMIFS($D$19:$D$118,$B$19:$B$118,$A8,$A$19:$A$118,"&gt;="&amp;$B$3,$A$19:$A$118,"&lt;="&amp;$C$3))</f>
        <v/>
      </c>
      <c r="E8" s="38">
        <f>IF($A8="","",C8-D8)</f>
        <v/>
      </c>
      <c r="F8" s="33">
        <f>IF($A8="","",ROUND(E8/8,2))</f>
        <v/>
      </c>
      <c r="G8" s="22" t="n"/>
    </row>
    <row r="9">
      <c r="A9" s="25">
        <f>IF(직원명부!A9="","",직원명부!A9)</f>
        <v/>
      </c>
      <c r="B9" s="25">
        <f>IF(직원명부!B9="","",직원명부!B9)</f>
        <v/>
      </c>
      <c r="C9" s="33">
        <f>IF($A9="","",SUMIFS(근태기록!$K$5:$K$2004,근태기록!$C$5:$C$2004,$A9,근태기록!$A$5:$A$2004,"&gt;="&amp;$B$3,근태기록!$A$5:$A$2004,"&lt;="&amp;$C$3))</f>
        <v/>
      </c>
      <c r="D9" s="33">
        <f>IF($A9="","",SUMIFS($D$19:$D$118,$B$19:$B$118,$A9,$A$19:$A$118,"&gt;="&amp;$B$3,$A$19:$A$118,"&lt;="&amp;$C$3))</f>
        <v/>
      </c>
      <c r="E9" s="38">
        <f>IF($A9="","",C9-D9)</f>
        <v/>
      </c>
      <c r="F9" s="33">
        <f>IF($A9="","",ROUND(E9/8,2))</f>
        <v/>
      </c>
      <c r="G9" s="22" t="n"/>
    </row>
    <row r="10">
      <c r="A10" s="25">
        <f>IF(직원명부!A10="","",직원명부!A10)</f>
        <v/>
      </c>
      <c r="B10" s="25">
        <f>IF(직원명부!B10="","",직원명부!B10)</f>
        <v/>
      </c>
      <c r="C10" s="33">
        <f>IF($A10="","",SUMIFS(근태기록!$K$5:$K$2004,근태기록!$C$5:$C$2004,$A10,근태기록!$A$5:$A$2004,"&gt;="&amp;$B$3,근태기록!$A$5:$A$2004,"&lt;="&amp;$C$3))</f>
        <v/>
      </c>
      <c r="D10" s="33">
        <f>IF($A10="","",SUMIFS($D$19:$D$118,$B$19:$B$118,$A10,$A$19:$A$118,"&gt;="&amp;$B$3,$A$19:$A$118,"&lt;="&amp;$C$3))</f>
        <v/>
      </c>
      <c r="E10" s="38">
        <f>IF($A10="","",C10-D10)</f>
        <v/>
      </c>
      <c r="F10" s="33">
        <f>IF($A10="","",ROUND(E10/8,2))</f>
        <v/>
      </c>
      <c r="G10" s="22" t="n"/>
    </row>
    <row r="11">
      <c r="A11" s="25">
        <f>IF(직원명부!A11="","",직원명부!A11)</f>
        <v/>
      </c>
      <c r="B11" s="25">
        <f>IF(직원명부!B11="","",직원명부!B11)</f>
        <v/>
      </c>
      <c r="C11" s="33">
        <f>IF($A11="","",SUMIFS(근태기록!$K$5:$K$2004,근태기록!$C$5:$C$2004,$A11,근태기록!$A$5:$A$2004,"&gt;="&amp;$B$3,근태기록!$A$5:$A$2004,"&lt;="&amp;$C$3))</f>
        <v/>
      </c>
      <c r="D11" s="33">
        <f>IF($A11="","",SUMIFS($D$19:$D$118,$B$19:$B$118,$A11,$A$19:$A$118,"&gt;="&amp;$B$3,$A$19:$A$118,"&lt;="&amp;$C$3))</f>
        <v/>
      </c>
      <c r="E11" s="38">
        <f>IF($A11="","",C11-D11)</f>
        <v/>
      </c>
      <c r="F11" s="33">
        <f>IF($A11="","",ROUND(E11/8,2))</f>
        <v/>
      </c>
      <c r="G11" s="22" t="n"/>
    </row>
    <row r="12">
      <c r="A12" s="25">
        <f>IF(직원명부!A12="","",직원명부!A12)</f>
        <v/>
      </c>
      <c r="B12" s="25">
        <f>IF(직원명부!B12="","",직원명부!B12)</f>
        <v/>
      </c>
      <c r="C12" s="33">
        <f>IF($A12="","",SUMIFS(근태기록!$K$5:$K$2004,근태기록!$C$5:$C$2004,$A12,근태기록!$A$5:$A$2004,"&gt;="&amp;$B$3,근태기록!$A$5:$A$2004,"&lt;="&amp;$C$3))</f>
        <v/>
      </c>
      <c r="D12" s="33">
        <f>IF($A12="","",SUMIFS($D$19:$D$118,$B$19:$B$118,$A12,$A$19:$A$118,"&gt;="&amp;$B$3,$A$19:$A$118,"&lt;="&amp;$C$3))</f>
        <v/>
      </c>
      <c r="E12" s="38">
        <f>IF($A12="","",C12-D12)</f>
        <v/>
      </c>
      <c r="F12" s="33">
        <f>IF($A12="","",ROUND(E12/8,2))</f>
        <v/>
      </c>
      <c r="G12" s="22" t="n"/>
    </row>
    <row r="13">
      <c r="A13" s="25">
        <f>IF(직원명부!A13="","",직원명부!A13)</f>
        <v/>
      </c>
      <c r="B13" s="25">
        <f>IF(직원명부!B13="","",직원명부!B13)</f>
        <v/>
      </c>
      <c r="C13" s="33">
        <f>IF($A13="","",SUMIFS(근태기록!$K$5:$K$2004,근태기록!$C$5:$C$2004,$A13,근태기록!$A$5:$A$2004,"&gt;="&amp;$B$3,근태기록!$A$5:$A$2004,"&lt;="&amp;$C$3))</f>
        <v/>
      </c>
      <c r="D13" s="33">
        <f>IF($A13="","",SUMIFS($D$19:$D$118,$B$19:$B$118,$A13,$A$19:$A$118,"&gt;="&amp;$B$3,$A$19:$A$118,"&lt;="&amp;$C$3))</f>
        <v/>
      </c>
      <c r="E13" s="38">
        <f>IF($A13="","",C13-D13)</f>
        <v/>
      </c>
      <c r="F13" s="33">
        <f>IF($A13="","",ROUND(E13/8,2))</f>
        <v/>
      </c>
      <c r="G13" s="22" t="n"/>
    </row>
    <row r="14">
      <c r="A14" s="25">
        <f>IF(직원명부!A14="","",직원명부!A14)</f>
        <v/>
      </c>
      <c r="B14" s="25">
        <f>IF(직원명부!B14="","",직원명부!B14)</f>
        <v/>
      </c>
      <c r="C14" s="33">
        <f>IF($A14="","",SUMIFS(근태기록!$K$5:$K$2004,근태기록!$C$5:$C$2004,$A14,근태기록!$A$5:$A$2004,"&gt;="&amp;$B$3,근태기록!$A$5:$A$2004,"&lt;="&amp;$C$3))</f>
        <v/>
      </c>
      <c r="D14" s="33">
        <f>IF($A14="","",SUMIFS($D$19:$D$118,$B$19:$B$118,$A14,$A$19:$A$118,"&gt;="&amp;$B$3,$A$19:$A$118,"&lt;="&amp;$C$3))</f>
        <v/>
      </c>
      <c r="E14" s="38">
        <f>IF($A14="","",C14-D14)</f>
        <v/>
      </c>
      <c r="F14" s="33">
        <f>IF($A14="","",ROUND(E14/8,2))</f>
        <v/>
      </c>
      <c r="G14" s="22" t="n"/>
    </row>
    <row r="17">
      <c r="A17" s="39" t="inlineStr">
        <is>
          <t>사용 기록</t>
        </is>
      </c>
      <c r="C17" s="2" t="inlineStr">
        <is>
          <t>보상휴가를 쓸 때마다 한 줄씩 적습니다. 1시간 단위로 사용할 수 있습니다.</t>
        </is>
      </c>
    </row>
    <row r="18" ht="30" customHeight="1">
      <c r="A18" s="10" t="inlineStr">
        <is>
          <t>사용일자</t>
        </is>
      </c>
      <c r="B18" s="10" t="inlineStr">
        <is>
          <t>사번</t>
        </is>
      </c>
      <c r="C18" s="11" t="inlineStr">
        <is>
          <t>성명</t>
        </is>
      </c>
      <c r="D18" s="10" t="inlineStr">
        <is>
          <t>사용 시간</t>
        </is>
      </c>
      <c r="E18" s="10" t="inlineStr">
        <is>
          <t>승인자</t>
        </is>
      </c>
      <c r="F18" s="10" t="inlineStr">
        <is>
          <t>비고</t>
        </is>
      </c>
      <c r="G18" s="10" t="inlineStr"/>
    </row>
    <row r="19">
      <c r="A19" s="19" t="n"/>
      <c r="B19" s="18" t="n"/>
      <c r="C19" s="25">
        <f>IFERROR(IF(B19="","",INDEX(직원명부!$B$5:$B$24,MATCH(B19,직원명부!$A$5:$A$24,0))),"사번 확인")</f>
        <v/>
      </c>
      <c r="D19" s="28" t="n"/>
      <c r="E19" s="18" t="n"/>
      <c r="F19" s="22" t="n"/>
    </row>
    <row r="20">
      <c r="A20" s="19" t="n"/>
      <c r="B20" s="18" t="n"/>
      <c r="C20" s="25">
        <f>IFERROR(IF(B20="","",INDEX(직원명부!$B$5:$B$24,MATCH(B20,직원명부!$A$5:$A$24,0))),"사번 확인")</f>
        <v/>
      </c>
      <c r="D20" s="28" t="n"/>
      <c r="E20" s="18" t="n"/>
      <c r="F20" s="22" t="n"/>
    </row>
    <row r="21">
      <c r="A21" s="19" t="n"/>
      <c r="B21" s="18" t="n"/>
      <c r="C21" s="25">
        <f>IFERROR(IF(B21="","",INDEX(직원명부!$B$5:$B$24,MATCH(B21,직원명부!$A$5:$A$24,0))),"사번 확인")</f>
        <v/>
      </c>
      <c r="D21" s="28" t="n"/>
      <c r="E21" s="18" t="n"/>
      <c r="F21" s="22" t="n"/>
    </row>
    <row r="22">
      <c r="A22" s="19" t="n"/>
      <c r="B22" s="18" t="n"/>
      <c r="C22" s="25">
        <f>IFERROR(IF(B22="","",INDEX(직원명부!$B$5:$B$24,MATCH(B22,직원명부!$A$5:$A$24,0))),"사번 확인")</f>
        <v/>
      </c>
      <c r="D22" s="28" t="n"/>
      <c r="E22" s="18" t="n"/>
      <c r="F22" s="22" t="n"/>
    </row>
    <row r="23">
      <c r="A23" s="19" t="n"/>
      <c r="B23" s="18" t="n"/>
      <c r="C23" s="25">
        <f>IFERROR(IF(B23="","",INDEX(직원명부!$B$5:$B$24,MATCH(B23,직원명부!$A$5:$A$24,0))),"사번 확인")</f>
        <v/>
      </c>
      <c r="D23" s="28" t="n"/>
      <c r="E23" s="18" t="n"/>
      <c r="F23" s="22" t="n"/>
    </row>
    <row r="24">
      <c r="A24" s="19" t="n"/>
      <c r="B24" s="18" t="n"/>
      <c r="C24" s="25">
        <f>IFERROR(IF(B24="","",INDEX(직원명부!$B$5:$B$24,MATCH(B24,직원명부!$A$5:$A$24,0))),"사번 확인")</f>
        <v/>
      </c>
      <c r="D24" s="28" t="n"/>
      <c r="E24" s="18" t="n"/>
      <c r="F24" s="22" t="n"/>
    </row>
    <row r="25">
      <c r="A25" s="19" t="n"/>
      <c r="B25" s="18" t="n"/>
      <c r="C25" s="25">
        <f>IFERROR(IF(B25="","",INDEX(직원명부!$B$5:$B$24,MATCH(B25,직원명부!$A$5:$A$24,0))),"사번 확인")</f>
        <v/>
      </c>
      <c r="D25" s="28" t="n"/>
      <c r="E25" s="18" t="n"/>
      <c r="F25" s="22" t="n"/>
    </row>
    <row r="26">
      <c r="A26" s="19" t="n"/>
      <c r="B26" s="18" t="n"/>
      <c r="C26" s="25">
        <f>IFERROR(IF(B26="","",INDEX(직원명부!$B$5:$B$24,MATCH(B26,직원명부!$A$5:$A$24,0))),"사번 확인")</f>
        <v/>
      </c>
      <c r="D26" s="28" t="n"/>
      <c r="E26" s="18" t="n"/>
      <c r="F26" s="22" t="n"/>
    </row>
    <row r="27">
      <c r="A27" s="19" t="n"/>
      <c r="B27" s="18" t="n"/>
      <c r="C27" s="25">
        <f>IFERROR(IF(B27="","",INDEX(직원명부!$B$5:$B$24,MATCH(B27,직원명부!$A$5:$A$24,0))),"사번 확인")</f>
        <v/>
      </c>
      <c r="D27" s="28" t="n"/>
      <c r="E27" s="18" t="n"/>
      <c r="F27" s="22" t="n"/>
    </row>
    <row r="28">
      <c r="A28" s="19" t="n"/>
      <c r="B28" s="18" t="n"/>
      <c r="C28" s="25">
        <f>IFERROR(IF(B28="","",INDEX(직원명부!$B$5:$B$24,MATCH(B28,직원명부!$A$5:$A$24,0))),"사번 확인")</f>
        <v/>
      </c>
      <c r="D28" s="28" t="n"/>
      <c r="E28" s="18" t="n"/>
      <c r="F28" s="22" t="n"/>
    </row>
    <row r="29">
      <c r="A29" s="19" t="n"/>
      <c r="B29" s="18" t="n"/>
      <c r="C29" s="25">
        <f>IFERROR(IF(B29="","",INDEX(직원명부!$B$5:$B$24,MATCH(B29,직원명부!$A$5:$A$24,0))),"사번 확인")</f>
        <v/>
      </c>
      <c r="D29" s="28" t="n"/>
      <c r="E29" s="18" t="n"/>
      <c r="F29" s="22" t="n"/>
    </row>
    <row r="30">
      <c r="A30" s="19" t="n"/>
      <c r="B30" s="18" t="n"/>
      <c r="C30" s="25">
        <f>IFERROR(IF(B30="","",INDEX(직원명부!$B$5:$B$24,MATCH(B30,직원명부!$A$5:$A$24,0))),"사번 확인")</f>
        <v/>
      </c>
      <c r="D30" s="28" t="n"/>
      <c r="E30" s="18" t="n"/>
      <c r="F30" s="22" t="n"/>
    </row>
    <row r="31">
      <c r="A31" s="19" t="n"/>
      <c r="B31" s="18" t="n"/>
      <c r="C31" s="25">
        <f>IFERROR(IF(B31="","",INDEX(직원명부!$B$5:$B$24,MATCH(B31,직원명부!$A$5:$A$24,0))),"사번 확인")</f>
        <v/>
      </c>
      <c r="D31" s="28" t="n"/>
      <c r="E31" s="18" t="n"/>
      <c r="F31" s="22" t="n"/>
    </row>
    <row r="32">
      <c r="A32" s="19" t="n"/>
      <c r="B32" s="18" t="n"/>
      <c r="C32" s="25">
        <f>IFERROR(IF(B32="","",INDEX(직원명부!$B$5:$B$24,MATCH(B32,직원명부!$A$5:$A$24,0))),"사번 확인")</f>
        <v/>
      </c>
      <c r="D32" s="28" t="n"/>
      <c r="E32" s="18" t="n"/>
      <c r="F32" s="22" t="n"/>
    </row>
    <row r="33">
      <c r="A33" s="19" t="n"/>
      <c r="B33" s="18" t="n"/>
      <c r="C33" s="25">
        <f>IFERROR(IF(B33="","",INDEX(직원명부!$B$5:$B$24,MATCH(B33,직원명부!$A$5:$A$24,0))),"사번 확인")</f>
        <v/>
      </c>
      <c r="D33" s="28" t="n"/>
      <c r="E33" s="18" t="n"/>
      <c r="F33" s="22" t="n"/>
    </row>
    <row r="34">
      <c r="A34" s="19" t="n"/>
      <c r="B34" s="18" t="n"/>
      <c r="C34" s="25">
        <f>IFERROR(IF(B34="","",INDEX(직원명부!$B$5:$B$24,MATCH(B34,직원명부!$A$5:$A$24,0))),"사번 확인")</f>
        <v/>
      </c>
      <c r="D34" s="28" t="n"/>
      <c r="E34" s="18" t="n"/>
      <c r="F34" s="22" t="n"/>
    </row>
    <row r="35">
      <c r="A35" s="19" t="n"/>
      <c r="B35" s="18" t="n"/>
      <c r="C35" s="25">
        <f>IFERROR(IF(B35="","",INDEX(직원명부!$B$5:$B$24,MATCH(B35,직원명부!$A$5:$A$24,0))),"사번 확인")</f>
        <v/>
      </c>
      <c r="D35" s="28" t="n"/>
      <c r="E35" s="18" t="n"/>
      <c r="F35" s="22" t="n"/>
    </row>
    <row r="36">
      <c r="A36" s="19" t="n"/>
      <c r="B36" s="18" t="n"/>
      <c r="C36" s="25">
        <f>IFERROR(IF(B36="","",INDEX(직원명부!$B$5:$B$24,MATCH(B36,직원명부!$A$5:$A$24,0))),"사번 확인")</f>
        <v/>
      </c>
      <c r="D36" s="28" t="n"/>
      <c r="E36" s="18" t="n"/>
      <c r="F36" s="22" t="n"/>
    </row>
    <row r="37">
      <c r="A37" s="19" t="n"/>
      <c r="B37" s="18" t="n"/>
      <c r="C37" s="25">
        <f>IFERROR(IF(B37="","",INDEX(직원명부!$B$5:$B$24,MATCH(B37,직원명부!$A$5:$A$24,0))),"사번 확인")</f>
        <v/>
      </c>
      <c r="D37" s="28" t="n"/>
      <c r="E37" s="18" t="n"/>
      <c r="F37" s="22" t="n"/>
    </row>
    <row r="38">
      <c r="A38" s="19" t="n"/>
      <c r="B38" s="18" t="n"/>
      <c r="C38" s="25">
        <f>IFERROR(IF(B38="","",INDEX(직원명부!$B$5:$B$24,MATCH(B38,직원명부!$A$5:$A$24,0))),"사번 확인")</f>
        <v/>
      </c>
      <c r="D38" s="28" t="n"/>
      <c r="E38" s="18" t="n"/>
      <c r="F38" s="22" t="n"/>
    </row>
    <row r="39">
      <c r="A39" s="19" t="n"/>
      <c r="B39" s="18" t="n"/>
      <c r="C39" s="25">
        <f>IFERROR(IF(B39="","",INDEX(직원명부!$B$5:$B$24,MATCH(B39,직원명부!$A$5:$A$24,0))),"사번 확인")</f>
        <v/>
      </c>
      <c r="D39" s="28" t="n"/>
      <c r="E39" s="18" t="n"/>
      <c r="F39" s="22" t="n"/>
    </row>
    <row r="40">
      <c r="A40" s="19" t="n"/>
      <c r="B40" s="18" t="n"/>
      <c r="C40" s="25">
        <f>IFERROR(IF(B40="","",INDEX(직원명부!$B$5:$B$24,MATCH(B40,직원명부!$A$5:$A$24,0))),"사번 확인")</f>
        <v/>
      </c>
      <c r="D40" s="28" t="n"/>
      <c r="E40" s="18" t="n"/>
      <c r="F40" s="22" t="n"/>
    </row>
    <row r="41">
      <c r="A41" s="19" t="n"/>
      <c r="B41" s="18" t="n"/>
      <c r="C41" s="25">
        <f>IFERROR(IF(B41="","",INDEX(직원명부!$B$5:$B$24,MATCH(B41,직원명부!$A$5:$A$24,0))),"사번 확인")</f>
        <v/>
      </c>
      <c r="D41" s="28" t="n"/>
      <c r="E41" s="18" t="n"/>
      <c r="F41" s="22" t="n"/>
    </row>
    <row r="42">
      <c r="A42" s="19" t="n"/>
      <c r="B42" s="18" t="n"/>
      <c r="C42" s="25">
        <f>IFERROR(IF(B42="","",INDEX(직원명부!$B$5:$B$24,MATCH(B42,직원명부!$A$5:$A$24,0))),"사번 확인")</f>
        <v/>
      </c>
      <c r="D42" s="28" t="n"/>
      <c r="E42" s="18" t="n"/>
      <c r="F42" s="22" t="n"/>
    </row>
    <row r="43">
      <c r="A43" s="19" t="n"/>
      <c r="B43" s="18" t="n"/>
      <c r="C43" s="25">
        <f>IFERROR(IF(B43="","",INDEX(직원명부!$B$5:$B$24,MATCH(B43,직원명부!$A$5:$A$24,0))),"사번 확인")</f>
        <v/>
      </c>
      <c r="D43" s="28" t="n"/>
      <c r="E43" s="18" t="n"/>
      <c r="F43" s="22" t="n"/>
    </row>
    <row r="44">
      <c r="A44" s="19" t="n"/>
      <c r="B44" s="18" t="n"/>
      <c r="C44" s="25">
        <f>IFERROR(IF(B44="","",INDEX(직원명부!$B$5:$B$24,MATCH(B44,직원명부!$A$5:$A$24,0))),"사번 확인")</f>
        <v/>
      </c>
      <c r="D44" s="28" t="n"/>
      <c r="E44" s="18" t="n"/>
      <c r="F44" s="22" t="n"/>
    </row>
    <row r="45">
      <c r="A45" s="19" t="n"/>
      <c r="B45" s="18" t="n"/>
      <c r="C45" s="25">
        <f>IFERROR(IF(B45="","",INDEX(직원명부!$B$5:$B$24,MATCH(B45,직원명부!$A$5:$A$24,0))),"사번 확인")</f>
        <v/>
      </c>
      <c r="D45" s="28" t="n"/>
      <c r="E45" s="18" t="n"/>
      <c r="F45" s="22" t="n"/>
    </row>
    <row r="46">
      <c r="A46" s="19" t="n"/>
      <c r="B46" s="18" t="n"/>
      <c r="C46" s="25">
        <f>IFERROR(IF(B46="","",INDEX(직원명부!$B$5:$B$24,MATCH(B46,직원명부!$A$5:$A$24,0))),"사번 확인")</f>
        <v/>
      </c>
      <c r="D46" s="28" t="n"/>
      <c r="E46" s="18" t="n"/>
      <c r="F46" s="22" t="n"/>
    </row>
    <row r="47">
      <c r="A47" s="19" t="n"/>
      <c r="B47" s="18" t="n"/>
      <c r="C47" s="25">
        <f>IFERROR(IF(B47="","",INDEX(직원명부!$B$5:$B$24,MATCH(B47,직원명부!$A$5:$A$24,0))),"사번 확인")</f>
        <v/>
      </c>
      <c r="D47" s="28" t="n"/>
      <c r="E47" s="18" t="n"/>
      <c r="F47" s="22" t="n"/>
    </row>
    <row r="48">
      <c r="A48" s="19" t="n"/>
      <c r="B48" s="18" t="n"/>
      <c r="C48" s="25">
        <f>IFERROR(IF(B48="","",INDEX(직원명부!$B$5:$B$24,MATCH(B48,직원명부!$A$5:$A$24,0))),"사번 확인")</f>
        <v/>
      </c>
      <c r="D48" s="28" t="n"/>
      <c r="E48" s="18" t="n"/>
      <c r="F48" s="22" t="n"/>
    </row>
    <row r="49">
      <c r="A49" s="19" t="n"/>
      <c r="B49" s="18" t="n"/>
      <c r="C49" s="25">
        <f>IFERROR(IF(B49="","",INDEX(직원명부!$B$5:$B$24,MATCH(B49,직원명부!$A$5:$A$24,0))),"사번 확인")</f>
        <v/>
      </c>
      <c r="D49" s="28" t="n"/>
      <c r="E49" s="18" t="n"/>
      <c r="F49" s="22" t="n"/>
    </row>
    <row r="50">
      <c r="A50" s="19" t="n"/>
      <c r="B50" s="18" t="n"/>
      <c r="C50" s="25">
        <f>IFERROR(IF(B50="","",INDEX(직원명부!$B$5:$B$24,MATCH(B50,직원명부!$A$5:$A$24,0))),"사번 확인")</f>
        <v/>
      </c>
      <c r="D50" s="28" t="n"/>
      <c r="E50" s="18" t="n"/>
      <c r="F50" s="22" t="n"/>
    </row>
    <row r="51">
      <c r="A51" s="19" t="n"/>
      <c r="B51" s="18" t="n"/>
      <c r="C51" s="25">
        <f>IFERROR(IF(B51="","",INDEX(직원명부!$B$5:$B$24,MATCH(B51,직원명부!$A$5:$A$24,0))),"사번 확인")</f>
        <v/>
      </c>
      <c r="D51" s="28" t="n"/>
      <c r="E51" s="18" t="n"/>
      <c r="F51" s="22" t="n"/>
    </row>
    <row r="52">
      <c r="A52" s="19" t="n"/>
      <c r="B52" s="18" t="n"/>
      <c r="C52" s="25">
        <f>IFERROR(IF(B52="","",INDEX(직원명부!$B$5:$B$24,MATCH(B52,직원명부!$A$5:$A$24,0))),"사번 확인")</f>
        <v/>
      </c>
      <c r="D52" s="28" t="n"/>
      <c r="E52" s="18" t="n"/>
      <c r="F52" s="22" t="n"/>
    </row>
    <row r="53">
      <c r="A53" s="19" t="n"/>
      <c r="B53" s="18" t="n"/>
      <c r="C53" s="25">
        <f>IFERROR(IF(B53="","",INDEX(직원명부!$B$5:$B$24,MATCH(B53,직원명부!$A$5:$A$24,0))),"사번 확인")</f>
        <v/>
      </c>
      <c r="D53" s="28" t="n"/>
      <c r="E53" s="18" t="n"/>
      <c r="F53" s="22" t="n"/>
    </row>
    <row r="54">
      <c r="A54" s="19" t="n"/>
      <c r="B54" s="18" t="n"/>
      <c r="C54" s="25">
        <f>IFERROR(IF(B54="","",INDEX(직원명부!$B$5:$B$24,MATCH(B54,직원명부!$A$5:$A$24,0))),"사번 확인")</f>
        <v/>
      </c>
      <c r="D54" s="28" t="n"/>
      <c r="E54" s="18" t="n"/>
      <c r="F54" s="22" t="n"/>
    </row>
    <row r="55">
      <c r="A55" s="19" t="n"/>
      <c r="B55" s="18" t="n"/>
      <c r="C55" s="25">
        <f>IFERROR(IF(B55="","",INDEX(직원명부!$B$5:$B$24,MATCH(B55,직원명부!$A$5:$A$24,0))),"사번 확인")</f>
        <v/>
      </c>
      <c r="D55" s="28" t="n"/>
      <c r="E55" s="18" t="n"/>
      <c r="F55" s="22" t="n"/>
    </row>
    <row r="56">
      <c r="A56" s="19" t="n"/>
      <c r="B56" s="18" t="n"/>
      <c r="C56" s="25">
        <f>IFERROR(IF(B56="","",INDEX(직원명부!$B$5:$B$24,MATCH(B56,직원명부!$A$5:$A$24,0))),"사번 확인")</f>
        <v/>
      </c>
      <c r="D56" s="28" t="n"/>
      <c r="E56" s="18" t="n"/>
      <c r="F56" s="22" t="n"/>
    </row>
    <row r="57">
      <c r="A57" s="19" t="n"/>
      <c r="B57" s="18" t="n"/>
      <c r="C57" s="25">
        <f>IFERROR(IF(B57="","",INDEX(직원명부!$B$5:$B$24,MATCH(B57,직원명부!$A$5:$A$24,0))),"사번 확인")</f>
        <v/>
      </c>
      <c r="D57" s="28" t="n"/>
      <c r="E57" s="18" t="n"/>
      <c r="F57" s="22" t="n"/>
    </row>
    <row r="58">
      <c r="A58" s="19" t="n"/>
      <c r="B58" s="18" t="n"/>
      <c r="C58" s="25">
        <f>IFERROR(IF(B58="","",INDEX(직원명부!$B$5:$B$24,MATCH(B58,직원명부!$A$5:$A$24,0))),"사번 확인")</f>
        <v/>
      </c>
      <c r="D58" s="28" t="n"/>
      <c r="E58" s="18" t="n"/>
      <c r="F58" s="22" t="n"/>
    </row>
    <row r="59">
      <c r="A59" s="19" t="n"/>
      <c r="B59" s="18" t="n"/>
      <c r="C59" s="25">
        <f>IFERROR(IF(B59="","",INDEX(직원명부!$B$5:$B$24,MATCH(B59,직원명부!$A$5:$A$24,0))),"사번 확인")</f>
        <v/>
      </c>
      <c r="D59" s="28" t="n"/>
      <c r="E59" s="18" t="n"/>
      <c r="F59" s="22" t="n"/>
    </row>
    <row r="60">
      <c r="A60" s="19" t="n"/>
      <c r="B60" s="18" t="n"/>
      <c r="C60" s="25">
        <f>IFERROR(IF(B60="","",INDEX(직원명부!$B$5:$B$24,MATCH(B60,직원명부!$A$5:$A$24,0))),"사번 확인")</f>
        <v/>
      </c>
      <c r="D60" s="28" t="n"/>
      <c r="E60" s="18" t="n"/>
      <c r="F60" s="22" t="n"/>
    </row>
    <row r="61">
      <c r="A61" s="19" t="n"/>
      <c r="B61" s="18" t="n"/>
      <c r="C61" s="25">
        <f>IFERROR(IF(B61="","",INDEX(직원명부!$B$5:$B$24,MATCH(B61,직원명부!$A$5:$A$24,0))),"사번 확인")</f>
        <v/>
      </c>
      <c r="D61" s="28" t="n"/>
      <c r="E61" s="18" t="n"/>
      <c r="F61" s="22" t="n"/>
    </row>
    <row r="62">
      <c r="A62" s="19" t="n"/>
      <c r="B62" s="18" t="n"/>
      <c r="C62" s="25">
        <f>IFERROR(IF(B62="","",INDEX(직원명부!$B$5:$B$24,MATCH(B62,직원명부!$A$5:$A$24,0))),"사번 확인")</f>
        <v/>
      </c>
      <c r="D62" s="28" t="n"/>
      <c r="E62" s="18" t="n"/>
      <c r="F62" s="22" t="n"/>
    </row>
    <row r="63">
      <c r="A63" s="19" t="n"/>
      <c r="B63" s="18" t="n"/>
      <c r="C63" s="25">
        <f>IFERROR(IF(B63="","",INDEX(직원명부!$B$5:$B$24,MATCH(B63,직원명부!$A$5:$A$24,0))),"사번 확인")</f>
        <v/>
      </c>
      <c r="D63" s="28" t="n"/>
      <c r="E63" s="18" t="n"/>
      <c r="F63" s="22" t="n"/>
    </row>
    <row r="64">
      <c r="A64" s="19" t="n"/>
      <c r="B64" s="18" t="n"/>
      <c r="C64" s="25">
        <f>IFERROR(IF(B64="","",INDEX(직원명부!$B$5:$B$24,MATCH(B64,직원명부!$A$5:$A$24,0))),"사번 확인")</f>
        <v/>
      </c>
      <c r="D64" s="28" t="n"/>
      <c r="E64" s="18" t="n"/>
      <c r="F64" s="22" t="n"/>
    </row>
    <row r="65">
      <c r="A65" s="19" t="n"/>
      <c r="B65" s="18" t="n"/>
      <c r="C65" s="25">
        <f>IFERROR(IF(B65="","",INDEX(직원명부!$B$5:$B$24,MATCH(B65,직원명부!$A$5:$A$24,0))),"사번 확인")</f>
        <v/>
      </c>
      <c r="D65" s="28" t="n"/>
      <c r="E65" s="18" t="n"/>
      <c r="F65" s="22" t="n"/>
    </row>
    <row r="66">
      <c r="A66" s="19" t="n"/>
      <c r="B66" s="18" t="n"/>
      <c r="C66" s="25">
        <f>IFERROR(IF(B66="","",INDEX(직원명부!$B$5:$B$24,MATCH(B66,직원명부!$A$5:$A$24,0))),"사번 확인")</f>
        <v/>
      </c>
      <c r="D66" s="28" t="n"/>
      <c r="E66" s="18" t="n"/>
      <c r="F66" s="22" t="n"/>
    </row>
    <row r="67">
      <c r="A67" s="19" t="n"/>
      <c r="B67" s="18" t="n"/>
      <c r="C67" s="25">
        <f>IFERROR(IF(B67="","",INDEX(직원명부!$B$5:$B$24,MATCH(B67,직원명부!$A$5:$A$24,0))),"사번 확인")</f>
        <v/>
      </c>
      <c r="D67" s="28" t="n"/>
      <c r="E67" s="18" t="n"/>
      <c r="F67" s="22" t="n"/>
    </row>
    <row r="68">
      <c r="A68" s="19" t="n"/>
      <c r="B68" s="18" t="n"/>
      <c r="C68" s="25">
        <f>IFERROR(IF(B68="","",INDEX(직원명부!$B$5:$B$24,MATCH(B68,직원명부!$A$5:$A$24,0))),"사번 확인")</f>
        <v/>
      </c>
      <c r="D68" s="28" t="n"/>
      <c r="E68" s="18" t="n"/>
      <c r="F68" s="22" t="n"/>
    </row>
    <row r="69">
      <c r="A69" s="19" t="n"/>
      <c r="B69" s="18" t="n"/>
      <c r="C69" s="25">
        <f>IFERROR(IF(B69="","",INDEX(직원명부!$B$5:$B$24,MATCH(B69,직원명부!$A$5:$A$24,0))),"사번 확인")</f>
        <v/>
      </c>
      <c r="D69" s="28" t="n"/>
      <c r="E69" s="18" t="n"/>
      <c r="F69" s="22" t="n"/>
    </row>
    <row r="70">
      <c r="A70" s="19" t="n"/>
      <c r="B70" s="18" t="n"/>
      <c r="C70" s="25">
        <f>IFERROR(IF(B70="","",INDEX(직원명부!$B$5:$B$24,MATCH(B70,직원명부!$A$5:$A$24,0))),"사번 확인")</f>
        <v/>
      </c>
      <c r="D70" s="28" t="n"/>
      <c r="E70" s="18" t="n"/>
      <c r="F70" s="22" t="n"/>
    </row>
    <row r="71">
      <c r="A71" s="19" t="n"/>
      <c r="B71" s="18" t="n"/>
      <c r="C71" s="25">
        <f>IFERROR(IF(B71="","",INDEX(직원명부!$B$5:$B$24,MATCH(B71,직원명부!$A$5:$A$24,0))),"사번 확인")</f>
        <v/>
      </c>
      <c r="D71" s="28" t="n"/>
      <c r="E71" s="18" t="n"/>
      <c r="F71" s="22" t="n"/>
    </row>
    <row r="72">
      <c r="A72" s="19" t="n"/>
      <c r="B72" s="18" t="n"/>
      <c r="C72" s="25">
        <f>IFERROR(IF(B72="","",INDEX(직원명부!$B$5:$B$24,MATCH(B72,직원명부!$A$5:$A$24,0))),"사번 확인")</f>
        <v/>
      </c>
      <c r="D72" s="28" t="n"/>
      <c r="E72" s="18" t="n"/>
      <c r="F72" s="22" t="n"/>
    </row>
    <row r="73">
      <c r="A73" s="19" t="n"/>
      <c r="B73" s="18" t="n"/>
      <c r="C73" s="25">
        <f>IFERROR(IF(B73="","",INDEX(직원명부!$B$5:$B$24,MATCH(B73,직원명부!$A$5:$A$24,0))),"사번 확인")</f>
        <v/>
      </c>
      <c r="D73" s="28" t="n"/>
      <c r="E73" s="18" t="n"/>
      <c r="F73" s="22" t="n"/>
    </row>
    <row r="74">
      <c r="A74" s="19" t="n"/>
      <c r="B74" s="18" t="n"/>
      <c r="C74" s="25">
        <f>IFERROR(IF(B74="","",INDEX(직원명부!$B$5:$B$24,MATCH(B74,직원명부!$A$5:$A$24,0))),"사번 확인")</f>
        <v/>
      </c>
      <c r="D74" s="28" t="n"/>
      <c r="E74" s="18" t="n"/>
      <c r="F74" s="22" t="n"/>
    </row>
    <row r="75">
      <c r="A75" s="19" t="n"/>
      <c r="B75" s="18" t="n"/>
      <c r="C75" s="25">
        <f>IFERROR(IF(B75="","",INDEX(직원명부!$B$5:$B$24,MATCH(B75,직원명부!$A$5:$A$24,0))),"사번 확인")</f>
        <v/>
      </c>
      <c r="D75" s="28" t="n"/>
      <c r="E75" s="18" t="n"/>
      <c r="F75" s="22" t="n"/>
    </row>
    <row r="76">
      <c r="A76" s="19" t="n"/>
      <c r="B76" s="18" t="n"/>
      <c r="C76" s="25">
        <f>IFERROR(IF(B76="","",INDEX(직원명부!$B$5:$B$24,MATCH(B76,직원명부!$A$5:$A$24,0))),"사번 확인")</f>
        <v/>
      </c>
      <c r="D76" s="28" t="n"/>
      <c r="E76" s="18" t="n"/>
      <c r="F76" s="22" t="n"/>
    </row>
    <row r="77">
      <c r="A77" s="19" t="n"/>
      <c r="B77" s="18" t="n"/>
      <c r="C77" s="25">
        <f>IFERROR(IF(B77="","",INDEX(직원명부!$B$5:$B$24,MATCH(B77,직원명부!$A$5:$A$24,0))),"사번 확인")</f>
        <v/>
      </c>
      <c r="D77" s="28" t="n"/>
      <c r="E77" s="18" t="n"/>
      <c r="F77" s="22" t="n"/>
    </row>
    <row r="78">
      <c r="A78" s="19" t="n"/>
      <c r="B78" s="18" t="n"/>
      <c r="C78" s="25">
        <f>IFERROR(IF(B78="","",INDEX(직원명부!$B$5:$B$24,MATCH(B78,직원명부!$A$5:$A$24,0))),"사번 확인")</f>
        <v/>
      </c>
      <c r="D78" s="28" t="n"/>
      <c r="E78" s="18" t="n"/>
      <c r="F78" s="22" t="n"/>
    </row>
    <row r="79">
      <c r="A79" s="19" t="n"/>
      <c r="B79" s="18" t="n"/>
      <c r="C79" s="25">
        <f>IFERROR(IF(B79="","",INDEX(직원명부!$B$5:$B$24,MATCH(B79,직원명부!$A$5:$A$24,0))),"사번 확인")</f>
        <v/>
      </c>
      <c r="D79" s="28" t="n"/>
      <c r="E79" s="18" t="n"/>
      <c r="F79" s="22" t="n"/>
    </row>
    <row r="80">
      <c r="A80" s="19" t="n"/>
      <c r="B80" s="18" t="n"/>
      <c r="C80" s="25">
        <f>IFERROR(IF(B80="","",INDEX(직원명부!$B$5:$B$24,MATCH(B80,직원명부!$A$5:$A$24,0))),"사번 확인")</f>
        <v/>
      </c>
      <c r="D80" s="28" t="n"/>
      <c r="E80" s="18" t="n"/>
      <c r="F80" s="22" t="n"/>
    </row>
    <row r="81">
      <c r="A81" s="19" t="n"/>
      <c r="B81" s="18" t="n"/>
      <c r="C81" s="25">
        <f>IFERROR(IF(B81="","",INDEX(직원명부!$B$5:$B$24,MATCH(B81,직원명부!$A$5:$A$24,0))),"사번 확인")</f>
        <v/>
      </c>
      <c r="D81" s="28" t="n"/>
      <c r="E81" s="18" t="n"/>
      <c r="F81" s="22" t="n"/>
    </row>
    <row r="82">
      <c r="A82" s="19" t="n"/>
      <c r="B82" s="18" t="n"/>
      <c r="C82" s="25">
        <f>IFERROR(IF(B82="","",INDEX(직원명부!$B$5:$B$24,MATCH(B82,직원명부!$A$5:$A$24,0))),"사번 확인")</f>
        <v/>
      </c>
      <c r="D82" s="28" t="n"/>
      <c r="E82" s="18" t="n"/>
      <c r="F82" s="22" t="n"/>
    </row>
    <row r="83">
      <c r="A83" s="19" t="n"/>
      <c r="B83" s="18" t="n"/>
      <c r="C83" s="25">
        <f>IFERROR(IF(B83="","",INDEX(직원명부!$B$5:$B$24,MATCH(B83,직원명부!$A$5:$A$24,0))),"사번 확인")</f>
        <v/>
      </c>
      <c r="D83" s="28" t="n"/>
      <c r="E83" s="18" t="n"/>
      <c r="F83" s="22" t="n"/>
    </row>
    <row r="84">
      <c r="A84" s="19" t="n"/>
      <c r="B84" s="18" t="n"/>
      <c r="C84" s="25">
        <f>IFERROR(IF(B84="","",INDEX(직원명부!$B$5:$B$24,MATCH(B84,직원명부!$A$5:$A$24,0))),"사번 확인")</f>
        <v/>
      </c>
      <c r="D84" s="28" t="n"/>
      <c r="E84" s="18" t="n"/>
      <c r="F84" s="22" t="n"/>
    </row>
    <row r="85">
      <c r="A85" s="19" t="n"/>
      <c r="B85" s="18" t="n"/>
      <c r="C85" s="25">
        <f>IFERROR(IF(B85="","",INDEX(직원명부!$B$5:$B$24,MATCH(B85,직원명부!$A$5:$A$24,0))),"사번 확인")</f>
        <v/>
      </c>
      <c r="D85" s="28" t="n"/>
      <c r="E85" s="18" t="n"/>
      <c r="F85" s="22" t="n"/>
    </row>
    <row r="86">
      <c r="A86" s="19" t="n"/>
      <c r="B86" s="18" t="n"/>
      <c r="C86" s="25">
        <f>IFERROR(IF(B86="","",INDEX(직원명부!$B$5:$B$24,MATCH(B86,직원명부!$A$5:$A$24,0))),"사번 확인")</f>
        <v/>
      </c>
      <c r="D86" s="28" t="n"/>
      <c r="E86" s="18" t="n"/>
      <c r="F86" s="22" t="n"/>
    </row>
    <row r="87">
      <c r="A87" s="19" t="n"/>
      <c r="B87" s="18" t="n"/>
      <c r="C87" s="25">
        <f>IFERROR(IF(B87="","",INDEX(직원명부!$B$5:$B$24,MATCH(B87,직원명부!$A$5:$A$24,0))),"사번 확인")</f>
        <v/>
      </c>
      <c r="D87" s="28" t="n"/>
      <c r="E87" s="18" t="n"/>
      <c r="F87" s="22" t="n"/>
    </row>
    <row r="88">
      <c r="A88" s="19" t="n"/>
      <c r="B88" s="18" t="n"/>
      <c r="C88" s="25">
        <f>IFERROR(IF(B88="","",INDEX(직원명부!$B$5:$B$24,MATCH(B88,직원명부!$A$5:$A$24,0))),"사번 확인")</f>
        <v/>
      </c>
      <c r="D88" s="28" t="n"/>
      <c r="E88" s="18" t="n"/>
      <c r="F88" s="22" t="n"/>
    </row>
    <row r="89">
      <c r="A89" s="19" t="n"/>
      <c r="B89" s="18" t="n"/>
      <c r="C89" s="25">
        <f>IFERROR(IF(B89="","",INDEX(직원명부!$B$5:$B$24,MATCH(B89,직원명부!$A$5:$A$24,0))),"사번 확인")</f>
        <v/>
      </c>
      <c r="D89" s="28" t="n"/>
      <c r="E89" s="18" t="n"/>
      <c r="F89" s="22" t="n"/>
    </row>
    <row r="90">
      <c r="A90" s="19" t="n"/>
      <c r="B90" s="18" t="n"/>
      <c r="C90" s="25">
        <f>IFERROR(IF(B90="","",INDEX(직원명부!$B$5:$B$24,MATCH(B90,직원명부!$A$5:$A$24,0))),"사번 확인")</f>
        <v/>
      </c>
      <c r="D90" s="28" t="n"/>
      <c r="E90" s="18" t="n"/>
      <c r="F90" s="22" t="n"/>
    </row>
    <row r="91">
      <c r="A91" s="19" t="n"/>
      <c r="B91" s="18" t="n"/>
      <c r="C91" s="25">
        <f>IFERROR(IF(B91="","",INDEX(직원명부!$B$5:$B$24,MATCH(B91,직원명부!$A$5:$A$24,0))),"사번 확인")</f>
        <v/>
      </c>
      <c r="D91" s="28" t="n"/>
      <c r="E91" s="18" t="n"/>
      <c r="F91" s="22" t="n"/>
    </row>
    <row r="92">
      <c r="A92" s="19" t="n"/>
      <c r="B92" s="18" t="n"/>
      <c r="C92" s="25">
        <f>IFERROR(IF(B92="","",INDEX(직원명부!$B$5:$B$24,MATCH(B92,직원명부!$A$5:$A$24,0))),"사번 확인")</f>
        <v/>
      </c>
      <c r="D92" s="28" t="n"/>
      <c r="E92" s="18" t="n"/>
      <c r="F92" s="22" t="n"/>
    </row>
    <row r="93">
      <c r="A93" s="19" t="n"/>
      <c r="B93" s="18" t="n"/>
      <c r="C93" s="25">
        <f>IFERROR(IF(B93="","",INDEX(직원명부!$B$5:$B$24,MATCH(B93,직원명부!$A$5:$A$24,0))),"사번 확인")</f>
        <v/>
      </c>
      <c r="D93" s="28" t="n"/>
      <c r="E93" s="18" t="n"/>
      <c r="F93" s="22" t="n"/>
    </row>
    <row r="94">
      <c r="A94" s="19" t="n"/>
      <c r="B94" s="18" t="n"/>
      <c r="C94" s="25">
        <f>IFERROR(IF(B94="","",INDEX(직원명부!$B$5:$B$24,MATCH(B94,직원명부!$A$5:$A$24,0))),"사번 확인")</f>
        <v/>
      </c>
      <c r="D94" s="28" t="n"/>
      <c r="E94" s="18" t="n"/>
      <c r="F94" s="22" t="n"/>
    </row>
    <row r="95">
      <c r="A95" s="19" t="n"/>
      <c r="B95" s="18" t="n"/>
      <c r="C95" s="25">
        <f>IFERROR(IF(B95="","",INDEX(직원명부!$B$5:$B$24,MATCH(B95,직원명부!$A$5:$A$24,0))),"사번 확인")</f>
        <v/>
      </c>
      <c r="D95" s="28" t="n"/>
      <c r="E95" s="18" t="n"/>
      <c r="F95" s="22" t="n"/>
    </row>
    <row r="96">
      <c r="A96" s="19" t="n"/>
      <c r="B96" s="18" t="n"/>
      <c r="C96" s="25">
        <f>IFERROR(IF(B96="","",INDEX(직원명부!$B$5:$B$24,MATCH(B96,직원명부!$A$5:$A$24,0))),"사번 확인")</f>
        <v/>
      </c>
      <c r="D96" s="28" t="n"/>
      <c r="E96" s="18" t="n"/>
      <c r="F96" s="22" t="n"/>
    </row>
    <row r="97">
      <c r="A97" s="19" t="n"/>
      <c r="B97" s="18" t="n"/>
      <c r="C97" s="25">
        <f>IFERROR(IF(B97="","",INDEX(직원명부!$B$5:$B$24,MATCH(B97,직원명부!$A$5:$A$24,0))),"사번 확인")</f>
        <v/>
      </c>
      <c r="D97" s="28" t="n"/>
      <c r="E97" s="18" t="n"/>
      <c r="F97" s="22" t="n"/>
    </row>
    <row r="98">
      <c r="A98" s="19" t="n"/>
      <c r="B98" s="18" t="n"/>
      <c r="C98" s="25">
        <f>IFERROR(IF(B98="","",INDEX(직원명부!$B$5:$B$24,MATCH(B98,직원명부!$A$5:$A$24,0))),"사번 확인")</f>
        <v/>
      </c>
      <c r="D98" s="28" t="n"/>
      <c r="E98" s="18" t="n"/>
      <c r="F98" s="22" t="n"/>
    </row>
    <row r="99">
      <c r="A99" s="19" t="n"/>
      <c r="B99" s="18" t="n"/>
      <c r="C99" s="25">
        <f>IFERROR(IF(B99="","",INDEX(직원명부!$B$5:$B$24,MATCH(B99,직원명부!$A$5:$A$24,0))),"사번 확인")</f>
        <v/>
      </c>
      <c r="D99" s="28" t="n"/>
      <c r="E99" s="18" t="n"/>
      <c r="F99" s="22" t="n"/>
    </row>
    <row r="100">
      <c r="A100" s="19" t="n"/>
      <c r="B100" s="18" t="n"/>
      <c r="C100" s="25">
        <f>IFERROR(IF(B100="","",INDEX(직원명부!$B$5:$B$24,MATCH(B100,직원명부!$A$5:$A$24,0))),"사번 확인")</f>
        <v/>
      </c>
      <c r="D100" s="28" t="n"/>
      <c r="E100" s="18" t="n"/>
      <c r="F100" s="22" t="n"/>
    </row>
    <row r="101">
      <c r="A101" s="19" t="n"/>
      <c r="B101" s="18" t="n"/>
      <c r="C101" s="25">
        <f>IFERROR(IF(B101="","",INDEX(직원명부!$B$5:$B$24,MATCH(B101,직원명부!$A$5:$A$24,0))),"사번 확인")</f>
        <v/>
      </c>
      <c r="D101" s="28" t="n"/>
      <c r="E101" s="18" t="n"/>
      <c r="F101" s="22" t="n"/>
    </row>
    <row r="102">
      <c r="A102" s="19" t="n"/>
      <c r="B102" s="18" t="n"/>
      <c r="C102" s="25">
        <f>IFERROR(IF(B102="","",INDEX(직원명부!$B$5:$B$24,MATCH(B102,직원명부!$A$5:$A$24,0))),"사번 확인")</f>
        <v/>
      </c>
      <c r="D102" s="28" t="n"/>
      <c r="E102" s="18" t="n"/>
      <c r="F102" s="22" t="n"/>
    </row>
    <row r="103">
      <c r="A103" s="19" t="n"/>
      <c r="B103" s="18" t="n"/>
      <c r="C103" s="25">
        <f>IFERROR(IF(B103="","",INDEX(직원명부!$B$5:$B$24,MATCH(B103,직원명부!$A$5:$A$24,0))),"사번 확인")</f>
        <v/>
      </c>
      <c r="D103" s="28" t="n"/>
      <c r="E103" s="18" t="n"/>
      <c r="F103" s="22" t="n"/>
    </row>
    <row r="104">
      <c r="A104" s="19" t="n"/>
      <c r="B104" s="18" t="n"/>
      <c r="C104" s="25">
        <f>IFERROR(IF(B104="","",INDEX(직원명부!$B$5:$B$24,MATCH(B104,직원명부!$A$5:$A$24,0))),"사번 확인")</f>
        <v/>
      </c>
      <c r="D104" s="28" t="n"/>
      <c r="E104" s="18" t="n"/>
      <c r="F104" s="22" t="n"/>
    </row>
    <row r="105">
      <c r="A105" s="19" t="n"/>
      <c r="B105" s="18" t="n"/>
      <c r="C105" s="25">
        <f>IFERROR(IF(B105="","",INDEX(직원명부!$B$5:$B$24,MATCH(B105,직원명부!$A$5:$A$24,0))),"사번 확인")</f>
        <v/>
      </c>
      <c r="D105" s="28" t="n"/>
      <c r="E105" s="18" t="n"/>
      <c r="F105" s="22" t="n"/>
    </row>
    <row r="106">
      <c r="A106" s="19" t="n"/>
      <c r="B106" s="18" t="n"/>
      <c r="C106" s="25">
        <f>IFERROR(IF(B106="","",INDEX(직원명부!$B$5:$B$24,MATCH(B106,직원명부!$A$5:$A$24,0))),"사번 확인")</f>
        <v/>
      </c>
      <c r="D106" s="28" t="n"/>
      <c r="E106" s="18" t="n"/>
      <c r="F106" s="22" t="n"/>
    </row>
    <row r="107">
      <c r="A107" s="19" t="n"/>
      <c r="B107" s="18" t="n"/>
      <c r="C107" s="25">
        <f>IFERROR(IF(B107="","",INDEX(직원명부!$B$5:$B$24,MATCH(B107,직원명부!$A$5:$A$24,0))),"사번 확인")</f>
        <v/>
      </c>
      <c r="D107" s="28" t="n"/>
      <c r="E107" s="18" t="n"/>
      <c r="F107" s="22" t="n"/>
    </row>
    <row r="108">
      <c r="A108" s="19" t="n"/>
      <c r="B108" s="18" t="n"/>
      <c r="C108" s="25">
        <f>IFERROR(IF(B108="","",INDEX(직원명부!$B$5:$B$24,MATCH(B108,직원명부!$A$5:$A$24,0))),"사번 확인")</f>
        <v/>
      </c>
      <c r="D108" s="28" t="n"/>
      <c r="E108" s="18" t="n"/>
      <c r="F108" s="22" t="n"/>
    </row>
    <row r="109">
      <c r="A109" s="19" t="n"/>
      <c r="B109" s="18" t="n"/>
      <c r="C109" s="25">
        <f>IFERROR(IF(B109="","",INDEX(직원명부!$B$5:$B$24,MATCH(B109,직원명부!$A$5:$A$24,0))),"사번 확인")</f>
        <v/>
      </c>
      <c r="D109" s="28" t="n"/>
      <c r="E109" s="18" t="n"/>
      <c r="F109" s="22" t="n"/>
    </row>
    <row r="110">
      <c r="A110" s="19" t="n"/>
      <c r="B110" s="18" t="n"/>
      <c r="C110" s="25">
        <f>IFERROR(IF(B110="","",INDEX(직원명부!$B$5:$B$24,MATCH(B110,직원명부!$A$5:$A$24,0))),"사번 확인")</f>
        <v/>
      </c>
      <c r="D110" s="28" t="n"/>
      <c r="E110" s="18" t="n"/>
      <c r="F110" s="22" t="n"/>
    </row>
    <row r="111">
      <c r="A111" s="19" t="n"/>
      <c r="B111" s="18" t="n"/>
      <c r="C111" s="25">
        <f>IFERROR(IF(B111="","",INDEX(직원명부!$B$5:$B$24,MATCH(B111,직원명부!$A$5:$A$24,0))),"사번 확인")</f>
        <v/>
      </c>
      <c r="D111" s="28" t="n"/>
      <c r="E111" s="18" t="n"/>
      <c r="F111" s="22" t="n"/>
    </row>
    <row r="112">
      <c r="A112" s="19" t="n"/>
      <c r="B112" s="18" t="n"/>
      <c r="C112" s="25">
        <f>IFERROR(IF(B112="","",INDEX(직원명부!$B$5:$B$24,MATCH(B112,직원명부!$A$5:$A$24,0))),"사번 확인")</f>
        <v/>
      </c>
      <c r="D112" s="28" t="n"/>
      <c r="E112" s="18" t="n"/>
      <c r="F112" s="22" t="n"/>
    </row>
    <row r="113">
      <c r="A113" s="19" t="n"/>
      <c r="B113" s="18" t="n"/>
      <c r="C113" s="25">
        <f>IFERROR(IF(B113="","",INDEX(직원명부!$B$5:$B$24,MATCH(B113,직원명부!$A$5:$A$24,0))),"사번 확인")</f>
        <v/>
      </c>
      <c r="D113" s="28" t="n"/>
      <c r="E113" s="18" t="n"/>
      <c r="F113" s="22" t="n"/>
    </row>
    <row r="114">
      <c r="A114" s="19" t="n"/>
      <c r="B114" s="18" t="n"/>
      <c r="C114" s="25">
        <f>IFERROR(IF(B114="","",INDEX(직원명부!$B$5:$B$24,MATCH(B114,직원명부!$A$5:$A$24,0))),"사번 확인")</f>
        <v/>
      </c>
      <c r="D114" s="28" t="n"/>
      <c r="E114" s="18" t="n"/>
      <c r="F114" s="22" t="n"/>
    </row>
    <row r="115">
      <c r="A115" s="19" t="n"/>
      <c r="B115" s="18" t="n"/>
      <c r="C115" s="25">
        <f>IFERROR(IF(B115="","",INDEX(직원명부!$B$5:$B$24,MATCH(B115,직원명부!$A$5:$A$24,0))),"사번 확인")</f>
        <v/>
      </c>
      <c r="D115" s="28" t="n"/>
      <c r="E115" s="18" t="n"/>
      <c r="F115" s="22" t="n"/>
    </row>
    <row r="116">
      <c r="A116" s="19" t="n"/>
      <c r="B116" s="18" t="n"/>
      <c r="C116" s="25">
        <f>IFERROR(IF(B116="","",INDEX(직원명부!$B$5:$B$24,MATCH(B116,직원명부!$A$5:$A$24,0))),"사번 확인")</f>
        <v/>
      </c>
      <c r="D116" s="28" t="n"/>
      <c r="E116" s="18" t="n"/>
      <c r="F116" s="22" t="n"/>
    </row>
    <row r="117">
      <c r="A117" s="19" t="n"/>
      <c r="B117" s="18" t="n"/>
      <c r="C117" s="25">
        <f>IFERROR(IF(B117="","",INDEX(직원명부!$B$5:$B$24,MATCH(B117,직원명부!$A$5:$A$24,0))),"사번 확인")</f>
        <v/>
      </c>
      <c r="D117" s="28" t="n"/>
      <c r="E117" s="18" t="n"/>
      <c r="F117" s="22" t="n"/>
    </row>
    <row r="118">
      <c r="A118" s="19" t="n"/>
      <c r="B118" s="18" t="n"/>
      <c r="C118" s="25">
        <f>IFERROR(IF(B118="","",INDEX(직원명부!$B$5:$B$24,MATCH(B118,직원명부!$A$5:$A$24,0))),"사번 확인")</f>
        <v/>
      </c>
      <c r="D118" s="28" t="n"/>
      <c r="E118" s="18" t="n"/>
      <c r="F118" s="22" t="n"/>
    </row>
    <row r="120">
      <c r="A120" s="2" t="inlineStr">
        <is>
          <t>· 발생 시간은 근태기록의 「보상휴가」 열을 모은 값입니다. 연장 × 1.5 + 야간 × 0.5 로 환산되어 있습니다.</t>
        </is>
      </c>
    </row>
    <row r="121">
      <c r="A121" s="2" t="inlineStr">
        <is>
          <t>· 23:00까지 근무하면 8시간이 쌓입니다. 하루 휴무와 같습니다.</t>
        </is>
      </c>
    </row>
    <row r="122">
      <c r="A122" s="2" t="inlineStr">
        <is>
          <t>· 사유가 발생한 달의 말일부터 3개월 안에 써야 합니다. 남으면 소멸하지 않고 수당으로 지급해야 합니다. (취업규칙 제21조제5항)</t>
        </is>
      </c>
    </row>
    <row r="123">
      <c r="A123" s="2" t="inlineStr">
        <is>
          <t>· 사원이 보상휴가를 원하지 않으면 수당으로 지급합니다. 회사가 일방적으로 휴가로 갈음할 수 없습니다. (제21조제7항)</t>
        </is>
      </c>
    </row>
    <row r="124">
      <c r="A124" s="2" t="inlineStr">
        <is>
          <t>· 운영하려면 근로자대표와의 서면합의가 필요합니다. 「보상휴가제 서면합의서」를 먼저 체결하세요.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코드표</t>
        </is>
      </c>
    </row>
    <row r="2">
      <c r="A2" s="2" t="inlineStr">
        <is>
          <t>드롭다운 목록의 원본입니다. 항목을 추가하면 각 시트의 드롭다운에 반영됩니다.</t>
        </is>
      </c>
    </row>
    <row r="4">
      <c r="A4" s="40" t="inlineStr">
        <is>
          <t>고용형태</t>
        </is>
      </c>
      <c r="B4" s="40" t="inlineStr">
        <is>
          <t>재직상태</t>
        </is>
      </c>
      <c r="C4" s="40" t="inlineStr">
        <is>
          <t>근태구분</t>
        </is>
      </c>
      <c r="D4" s="40" t="inlineStr">
        <is>
          <t>휴가종류</t>
        </is>
      </c>
    </row>
    <row r="5">
      <c r="A5" s="41" t="inlineStr">
        <is>
          <t>정규사원</t>
        </is>
      </c>
      <c r="B5" s="41" t="inlineStr">
        <is>
          <t>재직</t>
        </is>
      </c>
      <c r="C5" s="41" t="inlineStr">
        <is>
          <t>정상</t>
        </is>
      </c>
      <c r="D5" s="41" t="inlineStr">
        <is>
          <t>연차</t>
        </is>
      </c>
    </row>
    <row r="6">
      <c r="A6" s="41" t="inlineStr">
        <is>
          <t>계약사원</t>
        </is>
      </c>
      <c r="B6" s="41" t="inlineStr">
        <is>
          <t>휴직</t>
        </is>
      </c>
      <c r="C6" s="41" t="inlineStr">
        <is>
          <t>지각</t>
        </is>
      </c>
      <c r="D6" s="41" t="inlineStr">
        <is>
          <t>경조휴가</t>
        </is>
      </c>
    </row>
    <row r="7">
      <c r="A7" s="41" t="inlineStr">
        <is>
          <t>단시간사원</t>
        </is>
      </c>
      <c r="B7" s="41" t="inlineStr">
        <is>
          <t>퇴사</t>
        </is>
      </c>
      <c r="C7" s="41" t="inlineStr">
        <is>
          <t>조퇴</t>
        </is>
      </c>
      <c r="D7" s="41" t="inlineStr">
        <is>
          <t>병가</t>
        </is>
      </c>
    </row>
    <row r="8">
      <c r="A8" s="41" t="inlineStr">
        <is>
          <t>수습</t>
        </is>
      </c>
      <c r="C8" s="41" t="inlineStr">
        <is>
          <t>외출</t>
        </is>
      </c>
      <c r="D8" s="41" t="inlineStr">
        <is>
          <t>공가</t>
        </is>
      </c>
    </row>
    <row r="9">
      <c r="C9" s="41" t="inlineStr">
        <is>
          <t>결근</t>
        </is>
      </c>
      <c r="D9" s="41" t="inlineStr">
        <is>
          <t>출산전후휴가</t>
        </is>
      </c>
    </row>
    <row r="10">
      <c r="C10" s="41" t="inlineStr">
        <is>
          <t>휴가</t>
        </is>
      </c>
      <c r="D10" s="41" t="inlineStr">
        <is>
          <t>배우자출산휴가</t>
        </is>
      </c>
    </row>
    <row r="11">
      <c r="C11" s="41" t="inlineStr">
        <is>
          <t>재택</t>
        </is>
      </c>
      <c r="D11" s="41" t="inlineStr">
        <is>
          <t>육아휴직</t>
        </is>
      </c>
    </row>
    <row r="12">
      <c r="C12" s="41" t="inlineStr">
        <is>
          <t>출장</t>
        </is>
      </c>
      <c r="D12" s="41" t="inlineStr">
        <is>
          <t>가족돌봄휴가</t>
        </is>
      </c>
    </row>
    <row r="13">
      <c r="C13" s="41" t="inlineStr">
        <is>
          <t>휴일근로</t>
        </is>
      </c>
      <c r="D13" s="41" t="inlineStr">
        <is>
          <t>무급휴가</t>
        </is>
      </c>
    </row>
    <row r="14">
      <c r="C14" s="41" t="inlineStr">
        <is>
          <t>단축근무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2026-08-29T13:56:30Z</dcterms:created>
  <dcterms:modified xsi:type="dcterms:W3CDTF">2026-10-02T08:44:29Z</dcterms:modified>
</cp:coreProperties>
</file>