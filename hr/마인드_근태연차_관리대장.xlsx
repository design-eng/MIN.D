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직원명부" sheetId="2" state="visible" r:id="rId2"/>
    <sheet name="연차현황" sheetId="3" state="visible" r:id="rId3"/>
    <sheet name="휴가대장" sheetId="4" state="visible" r:id="rId4"/>
    <sheet name="근태기록" sheetId="5" state="visible" r:id="rId5"/>
    <sheet name="월별집계" sheetId="6" state="visible" r:id="rId6"/>
    <sheet name="프로젝트집계" sheetId="7" state="visible" r:id="rId7"/>
    <sheet name="보상휴가" sheetId="8" state="visible" r:id="rId8"/>
    <sheet name="근로자명부" sheetId="9" state="visible" r:id="rId9"/>
    <sheet name="임금대장" sheetId="10" state="visible" r:id="rId10"/>
    <sheet name="코드표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 vertical="center"/>
    </xf>
    <xf numFmtId="167" fontId="9" fillId="0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IF(C5="","",DATEDIF(C5,IF(직원명부!G5="",$B$3,MIN($B$3,직원명부!G5)),"Y")&amp;"년 "&amp;DATEDIF(C5,IF(직원명부!G5="",$B$3,MIN($B$3,직원명부!G5)),"YM")&amp;"개월")</f>
        <v/>
      </c>
      <c r="F5" s="26">
        <f>IF(C5="","",IF(DATEDIF(C5,IF(직원명부!G5="",$B$3,MIN($B$3,직원명부!G5)),"Y")&lt;1,C5,EDATE(C5,DATEDIF(C5,IF(직원명부!G5="",$B$3,MIN($B$3,직원명부!G5)),"Y")*12)))</f>
        <v/>
      </c>
      <c r="G5" s="26">
        <f>IF(C5="","",EDATE(C5,(DATEDIF(C5,IF(직원명부!G5="",$B$3,MIN($B$3,직원명부!G5)),"Y")+1)*12)-1)</f>
        <v/>
      </c>
      <c r="H5" s="27">
        <f>IF(C5="","",IF(DATEDIF(C5,IF(직원명부!G5="",$B$3,MIN($B$3,직원명부!G5)),"Y")&lt;1,MIN(11,DATEDIF(C5,IF(직원명부!G5="",$B$3,MIN($B$3,직원명부!G5)),"M")),MIN(25,15+INT((DATEDIF(C5,IF(직원명부!G5="",$B$3,MIN($B$3,직원명부!G5)),"Y")-1)/2))))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IF(C5="","",IF(직원명부!G5&lt;&gt;"","퇴사",IF(G5-$B$3&lt;0,"기간종료",G5-$B$3&amp;"일")))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IF(C6="","",DATEDIF(C6,IF(직원명부!G6="",$B$3,MIN($B$3,직원명부!G6)),"Y")&amp;"년 "&amp;DATEDIF(C6,IF(직원명부!G6="",$B$3,MIN($B$3,직원명부!G6)),"YM")&amp;"개월")</f>
        <v/>
      </c>
      <c r="F6" s="26">
        <f>IF(C6="","",IF(DATEDIF(C6,IF(직원명부!G6="",$B$3,MIN($B$3,직원명부!G6)),"Y")&lt;1,C6,EDATE(C6,DATEDIF(C6,IF(직원명부!G6="",$B$3,MIN($B$3,직원명부!G6)),"Y")*12)))</f>
        <v/>
      </c>
      <c r="G6" s="26">
        <f>IF(C6="","",EDATE(C6,(DATEDIF(C6,IF(직원명부!G6="",$B$3,MIN($B$3,직원명부!G6)),"Y")+1)*12)-1)</f>
        <v/>
      </c>
      <c r="H6" s="27">
        <f>IF(C6="","",IF(DATEDIF(C6,IF(직원명부!G6="",$B$3,MIN($B$3,직원명부!G6)),"Y")&lt;1,MIN(11,DATEDIF(C6,IF(직원명부!G6="",$B$3,MIN($B$3,직원명부!G6)),"M")),MIN(25,15+INT((DATEDIF(C6,IF(직원명부!G6="",$B$3,MIN($B$3,직원명부!G6)),"Y")-1)/2))))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IF(C6="","",IF(직원명부!G6&lt;&gt;"","퇴사",IF(G6-$B$3&lt;0,"기간종료",G6-$B$3&amp;"일")))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IF(C7="","",DATEDIF(C7,IF(직원명부!G7="",$B$3,MIN($B$3,직원명부!G7)),"Y")&amp;"년 "&amp;DATEDIF(C7,IF(직원명부!G7="",$B$3,MIN($B$3,직원명부!G7)),"YM")&amp;"개월")</f>
        <v/>
      </c>
      <c r="F7" s="26">
        <f>IF(C7="","",IF(DATEDIF(C7,IF(직원명부!G7="",$B$3,MIN($B$3,직원명부!G7)),"Y")&lt;1,C7,EDATE(C7,DATEDIF(C7,IF(직원명부!G7="",$B$3,MIN($B$3,직원명부!G7)),"Y")*12)))</f>
        <v/>
      </c>
      <c r="G7" s="26">
        <f>IF(C7="","",EDATE(C7,(DATEDIF(C7,IF(직원명부!G7="",$B$3,MIN($B$3,직원명부!G7)),"Y")+1)*12)-1)</f>
        <v/>
      </c>
      <c r="H7" s="27">
        <f>IF(C7="","",IF(DATEDIF(C7,IF(직원명부!G7="",$B$3,MIN($B$3,직원명부!G7)),"Y")&lt;1,MIN(11,DATEDIF(C7,IF(직원명부!G7="",$B$3,MIN($B$3,직원명부!G7)),"M")),MIN(25,15+INT((DATEDIF(C7,IF(직원명부!G7="",$B$3,MIN($B$3,직원명부!G7)),"Y")-1)/2))))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IF(C7="","",IF(직원명부!G7&lt;&gt;"","퇴사",IF(G7-$B$3&lt;0,"기간종료",G7-$B$3&amp;"일")))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IF(C8="","",DATEDIF(C8,IF(직원명부!G8="",$B$3,MIN($B$3,직원명부!G8)),"Y")&amp;"년 "&amp;DATEDIF(C8,IF(직원명부!G8="",$B$3,MIN($B$3,직원명부!G8)),"YM")&amp;"개월")</f>
        <v/>
      </c>
      <c r="F8" s="26">
        <f>IF(C8="","",IF(DATEDIF(C8,IF(직원명부!G8="",$B$3,MIN($B$3,직원명부!G8)),"Y")&lt;1,C8,EDATE(C8,DATEDIF(C8,IF(직원명부!G8="",$B$3,MIN($B$3,직원명부!G8)),"Y")*12)))</f>
        <v/>
      </c>
      <c r="G8" s="26">
        <f>IF(C8="","",EDATE(C8,(DATEDIF(C8,IF(직원명부!G8="",$B$3,MIN($B$3,직원명부!G8)),"Y")+1)*12)-1)</f>
        <v/>
      </c>
      <c r="H8" s="27">
        <f>IF(C8="","",IF(DATEDIF(C8,IF(직원명부!G8="",$B$3,MIN($B$3,직원명부!G8)),"Y")&lt;1,MIN(11,DATEDIF(C8,IF(직원명부!G8="",$B$3,MIN($B$3,직원명부!G8)),"M")),MIN(25,15+INT((DATEDIF(C8,IF(직원명부!G8="",$B$3,MIN($B$3,직원명부!G8)),"Y")-1)/2))))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IF(C8="","",IF(직원명부!G8&lt;&gt;"","퇴사",IF(G8-$B$3&lt;0,"기간종료",G8-$B$3&amp;"일")))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IF(C9="","",DATEDIF(C9,IF(직원명부!G9="",$B$3,MIN($B$3,직원명부!G9)),"Y")&amp;"년 "&amp;DATEDIF(C9,IF(직원명부!G9="",$B$3,MIN($B$3,직원명부!G9)),"YM")&amp;"개월")</f>
        <v/>
      </c>
      <c r="F9" s="26">
        <f>IF(C9="","",IF(DATEDIF(C9,IF(직원명부!G9="",$B$3,MIN($B$3,직원명부!G9)),"Y")&lt;1,C9,EDATE(C9,DATEDIF(C9,IF(직원명부!G9="",$B$3,MIN($B$3,직원명부!G9)),"Y")*12)))</f>
        <v/>
      </c>
      <c r="G9" s="26">
        <f>IF(C9="","",EDATE(C9,(DATEDIF(C9,IF(직원명부!G9="",$B$3,MIN($B$3,직원명부!G9)),"Y")+1)*12)-1)</f>
        <v/>
      </c>
      <c r="H9" s="27">
        <f>IF(C9="","",IF(DATEDIF(C9,IF(직원명부!G9="",$B$3,MIN($B$3,직원명부!G9)),"Y")&lt;1,MIN(11,DATEDIF(C9,IF(직원명부!G9="",$B$3,MIN($B$3,직원명부!G9)),"M")),MIN(25,15+INT((DATEDIF(C9,IF(직원명부!G9="",$B$3,MIN($B$3,직원명부!G9)),"Y")-1)/2))))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IF(C9="","",IF(직원명부!G9&lt;&gt;"","퇴사",IF(G9-$B$3&lt;0,"기간종료",G9-$B$3&amp;"일")))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IF(C10="","",DATEDIF(C10,IF(직원명부!G10="",$B$3,MIN($B$3,직원명부!G10)),"Y")&amp;"년 "&amp;DATEDIF(C10,IF(직원명부!G10="",$B$3,MIN($B$3,직원명부!G10)),"YM")&amp;"개월")</f>
        <v/>
      </c>
      <c r="F10" s="26">
        <f>IF(C10="","",IF(DATEDIF(C10,IF(직원명부!G10="",$B$3,MIN($B$3,직원명부!G10)),"Y")&lt;1,C10,EDATE(C10,DATEDIF(C10,IF(직원명부!G10="",$B$3,MIN($B$3,직원명부!G10)),"Y")*12)))</f>
        <v/>
      </c>
      <c r="G10" s="26">
        <f>IF(C10="","",EDATE(C10,(DATEDIF(C10,IF(직원명부!G10="",$B$3,MIN($B$3,직원명부!G10)),"Y")+1)*12)-1)</f>
        <v/>
      </c>
      <c r="H10" s="27">
        <f>IF(C10="","",IF(DATEDIF(C10,IF(직원명부!G10="",$B$3,MIN($B$3,직원명부!G10)),"Y")&lt;1,MIN(11,DATEDIF(C10,IF(직원명부!G10="",$B$3,MIN($B$3,직원명부!G10)),"M")),MIN(25,15+INT((DATEDIF(C10,IF(직원명부!G10="",$B$3,MIN($B$3,직원명부!G10)),"Y")-1)/2))))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IF(C10="","",IF(직원명부!G10&lt;&gt;"","퇴사",IF(G10-$B$3&lt;0,"기간종료",G10-$B$3&amp;"일")))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IF(C11="","",DATEDIF(C11,IF(직원명부!G11="",$B$3,MIN($B$3,직원명부!G11)),"Y")&amp;"년 "&amp;DATEDIF(C11,IF(직원명부!G11="",$B$3,MIN($B$3,직원명부!G11)),"YM")&amp;"개월")</f>
        <v/>
      </c>
      <c r="F11" s="26">
        <f>IF(C11="","",IF(DATEDIF(C11,IF(직원명부!G11="",$B$3,MIN($B$3,직원명부!G11)),"Y")&lt;1,C11,EDATE(C11,DATEDIF(C11,IF(직원명부!G11="",$B$3,MIN($B$3,직원명부!G11)),"Y")*12)))</f>
        <v/>
      </c>
      <c r="G11" s="26">
        <f>IF(C11="","",EDATE(C11,(DATEDIF(C11,IF(직원명부!G11="",$B$3,MIN($B$3,직원명부!G11)),"Y")+1)*12)-1)</f>
        <v/>
      </c>
      <c r="H11" s="27">
        <f>IF(C11="","",IF(DATEDIF(C11,IF(직원명부!G11="",$B$3,MIN($B$3,직원명부!G11)),"Y")&lt;1,MIN(11,DATEDIF(C11,IF(직원명부!G11="",$B$3,MIN($B$3,직원명부!G11)),"M")),MIN(25,15+INT((DATEDIF(C11,IF(직원명부!G11="",$B$3,MIN($B$3,직원명부!G11)),"Y")-1)/2))))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IF(C11="","",IF(직원명부!G11&lt;&gt;"","퇴사",IF(G11-$B$3&lt;0,"기간종료",G11-$B$3&amp;"일")))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IF(C12="","",DATEDIF(C12,IF(직원명부!G12="",$B$3,MIN($B$3,직원명부!G12)),"Y")&amp;"년 "&amp;DATEDIF(C12,IF(직원명부!G12="",$B$3,MIN($B$3,직원명부!G12)),"YM")&amp;"개월")</f>
        <v/>
      </c>
      <c r="F12" s="26">
        <f>IF(C12="","",IF(DATEDIF(C12,IF(직원명부!G12="",$B$3,MIN($B$3,직원명부!G12)),"Y")&lt;1,C12,EDATE(C12,DATEDIF(C12,IF(직원명부!G12="",$B$3,MIN($B$3,직원명부!G12)),"Y")*12)))</f>
        <v/>
      </c>
      <c r="G12" s="26">
        <f>IF(C12="","",EDATE(C12,(DATEDIF(C12,IF(직원명부!G12="",$B$3,MIN($B$3,직원명부!G12)),"Y")+1)*12)-1)</f>
        <v/>
      </c>
      <c r="H12" s="27">
        <f>IF(C12="","",IF(DATEDIF(C12,IF(직원명부!G12="",$B$3,MIN($B$3,직원명부!G12)),"Y")&lt;1,MIN(11,DATEDIF(C12,IF(직원명부!G12="",$B$3,MIN($B$3,직원명부!G12)),"M")),MIN(25,15+INT((DATEDIF(C12,IF(직원명부!G12="",$B$3,MIN($B$3,직원명부!G12)),"Y")-1)/2))))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IF(C12="","",IF(직원명부!G12&lt;&gt;"","퇴사",IF(G12-$B$3&lt;0,"기간종료",G12-$B$3&amp;"일")))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IF(C13="","",DATEDIF(C13,IF(직원명부!G13="",$B$3,MIN($B$3,직원명부!G13)),"Y")&amp;"년 "&amp;DATEDIF(C13,IF(직원명부!G13="",$B$3,MIN($B$3,직원명부!G13)),"YM")&amp;"개월")</f>
        <v/>
      </c>
      <c r="F13" s="26">
        <f>IF(C13="","",IF(DATEDIF(C13,IF(직원명부!G13="",$B$3,MIN($B$3,직원명부!G13)),"Y")&lt;1,C13,EDATE(C13,DATEDIF(C13,IF(직원명부!G13="",$B$3,MIN($B$3,직원명부!G13)),"Y")*12)))</f>
        <v/>
      </c>
      <c r="G13" s="26">
        <f>IF(C13="","",EDATE(C13,(DATEDIF(C13,IF(직원명부!G13="",$B$3,MIN($B$3,직원명부!G13)),"Y")+1)*12)-1)</f>
        <v/>
      </c>
      <c r="H13" s="27">
        <f>IF(C13="","",IF(DATEDIF(C13,IF(직원명부!G13="",$B$3,MIN($B$3,직원명부!G13)),"Y")&lt;1,MIN(11,DATEDIF(C13,IF(직원명부!G13="",$B$3,MIN($B$3,직원명부!G13)),"M")),MIN(25,15+INT((DATEDIF(C13,IF(직원명부!G13="",$B$3,MIN($B$3,직원명부!G13)),"Y")-1)/2))))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IF(C13="","",IF(직원명부!G13&lt;&gt;"","퇴사",IF(G13-$B$3&lt;0,"기간종료",G13-$B$3&amp;"일")))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IF(C14="","",DATEDIF(C14,IF(직원명부!G14="",$B$3,MIN($B$3,직원명부!G14)),"Y")&amp;"년 "&amp;DATEDIF(C14,IF(직원명부!G14="",$B$3,MIN($B$3,직원명부!G14)),"YM")&amp;"개월")</f>
        <v/>
      </c>
      <c r="F14" s="26">
        <f>IF(C14="","",IF(DATEDIF(C14,IF(직원명부!G14="",$B$3,MIN($B$3,직원명부!G14)),"Y")&lt;1,C14,EDATE(C14,DATEDIF(C14,IF(직원명부!G14="",$B$3,MIN($B$3,직원명부!G14)),"Y")*12)))</f>
        <v/>
      </c>
      <c r="G14" s="26">
        <f>IF(C14="","",EDATE(C14,(DATEDIF(C14,IF(직원명부!G14="",$B$3,MIN($B$3,직원명부!G14)),"Y")+1)*12)-1)</f>
        <v/>
      </c>
      <c r="H14" s="27">
        <f>IF(C14="","",IF(DATEDIF(C14,IF(직원명부!G14="",$B$3,MIN($B$3,직원명부!G14)),"Y")&lt;1,MIN(11,DATEDIF(C14,IF(직원명부!G14="",$B$3,MIN($B$3,직원명부!G14)),"M")),MIN(25,15+INT((DATEDIF(C14,IF(직원명부!G14="",$B$3,MIN($B$3,직원명부!G14)),"Y")-1)/2))))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IF(C14="","",IF(직원명부!G14&lt;&gt;"","퇴사",IF(G14-$B$3&lt;0,"기간종료",G14-$B$3&amp;"일")))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IF(C15="","",DATEDIF(C15,IF(직원명부!G15="",$B$3,MIN($B$3,직원명부!G15)),"Y")&amp;"년 "&amp;DATEDIF(C15,IF(직원명부!G15="",$B$3,MIN($B$3,직원명부!G15)),"YM")&amp;"개월")</f>
        <v/>
      </c>
      <c r="F15" s="26">
        <f>IF(C15="","",IF(DATEDIF(C15,IF(직원명부!G15="",$B$3,MIN($B$3,직원명부!G15)),"Y")&lt;1,C15,EDATE(C15,DATEDIF(C15,IF(직원명부!G15="",$B$3,MIN($B$3,직원명부!G15)),"Y")*12)))</f>
        <v/>
      </c>
      <c r="G15" s="26">
        <f>IF(C15="","",EDATE(C15,(DATEDIF(C15,IF(직원명부!G15="",$B$3,MIN($B$3,직원명부!G15)),"Y")+1)*12)-1)</f>
        <v/>
      </c>
      <c r="H15" s="27">
        <f>IF(C15="","",IF(DATEDIF(C15,IF(직원명부!G15="",$B$3,MIN($B$3,직원명부!G15)),"Y")&lt;1,MIN(11,DATEDIF(C15,IF(직원명부!G15="",$B$3,MIN($B$3,직원명부!G15)),"M")),MIN(25,15+INT((DATEDIF(C15,IF(직원명부!G15="",$B$3,MIN($B$3,직원명부!G15)),"Y")-1)/2))))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IF(C15="","",IF(직원명부!G15&lt;&gt;"","퇴사",IF(G15-$B$3&lt;0,"기간종료",G15-$B$3&amp;"일")))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IF(C16="","",DATEDIF(C16,IF(직원명부!G16="",$B$3,MIN($B$3,직원명부!G16)),"Y")&amp;"년 "&amp;DATEDIF(C16,IF(직원명부!G16="",$B$3,MIN($B$3,직원명부!G16)),"YM")&amp;"개월")</f>
        <v/>
      </c>
      <c r="F16" s="26">
        <f>IF(C16="","",IF(DATEDIF(C16,IF(직원명부!G16="",$B$3,MIN($B$3,직원명부!G16)),"Y")&lt;1,C16,EDATE(C16,DATEDIF(C16,IF(직원명부!G16="",$B$3,MIN($B$3,직원명부!G16)),"Y")*12)))</f>
        <v/>
      </c>
      <c r="G16" s="26">
        <f>IF(C16="","",EDATE(C16,(DATEDIF(C16,IF(직원명부!G16="",$B$3,MIN($B$3,직원명부!G16)),"Y")+1)*12)-1)</f>
        <v/>
      </c>
      <c r="H16" s="27">
        <f>IF(C16="","",IF(DATEDIF(C16,IF(직원명부!G16="",$B$3,MIN($B$3,직원명부!G16)),"Y")&lt;1,MIN(11,DATEDIF(C16,IF(직원명부!G16="",$B$3,MIN($B$3,직원명부!G16)),"M")),MIN(25,15+INT((DATEDIF(C16,IF(직원명부!G16="",$B$3,MIN($B$3,직원명부!G16)),"Y")-1)/2))))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IF(C16="","",IF(직원명부!G16&lt;&gt;"","퇴사",IF(G16-$B$3&lt;0,"기간종료",G16-$B$3&amp;"일")))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IF(C17="","",DATEDIF(C17,IF(직원명부!G17="",$B$3,MIN($B$3,직원명부!G17)),"Y")&amp;"년 "&amp;DATEDIF(C17,IF(직원명부!G17="",$B$3,MIN($B$3,직원명부!G17)),"YM")&amp;"개월")</f>
        <v/>
      </c>
      <c r="F17" s="26">
        <f>IF(C17="","",IF(DATEDIF(C17,IF(직원명부!G17="",$B$3,MIN($B$3,직원명부!G17)),"Y")&lt;1,C17,EDATE(C17,DATEDIF(C17,IF(직원명부!G17="",$B$3,MIN($B$3,직원명부!G17)),"Y")*12)))</f>
        <v/>
      </c>
      <c r="G17" s="26">
        <f>IF(C17="","",EDATE(C17,(DATEDIF(C17,IF(직원명부!G17="",$B$3,MIN($B$3,직원명부!G17)),"Y")+1)*12)-1)</f>
        <v/>
      </c>
      <c r="H17" s="27">
        <f>IF(C17="","",IF(DATEDIF(C17,IF(직원명부!G17="",$B$3,MIN($B$3,직원명부!G17)),"Y")&lt;1,MIN(11,DATEDIF(C17,IF(직원명부!G17="",$B$3,MIN($B$3,직원명부!G17)),"M")),MIN(25,15+INT((DATEDIF(C17,IF(직원명부!G17="",$B$3,MIN($B$3,직원명부!G17)),"Y")-1)/2))))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IF(C17="","",IF(직원명부!G17&lt;&gt;"","퇴사",IF(G17-$B$3&lt;0,"기간종료",G17-$B$3&amp;"일")))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IF(C18="","",DATEDIF(C18,IF(직원명부!G18="",$B$3,MIN($B$3,직원명부!G18)),"Y")&amp;"년 "&amp;DATEDIF(C18,IF(직원명부!G18="",$B$3,MIN($B$3,직원명부!G18)),"YM")&amp;"개월")</f>
        <v/>
      </c>
      <c r="F18" s="26">
        <f>IF(C18="","",IF(DATEDIF(C18,IF(직원명부!G18="",$B$3,MIN($B$3,직원명부!G18)),"Y")&lt;1,C18,EDATE(C18,DATEDIF(C18,IF(직원명부!G18="",$B$3,MIN($B$3,직원명부!G18)),"Y")*12)))</f>
        <v/>
      </c>
      <c r="G18" s="26">
        <f>IF(C18="","",EDATE(C18,(DATEDIF(C18,IF(직원명부!G18="",$B$3,MIN($B$3,직원명부!G18)),"Y")+1)*12)-1)</f>
        <v/>
      </c>
      <c r="H18" s="27">
        <f>IF(C18="","",IF(DATEDIF(C18,IF(직원명부!G18="",$B$3,MIN($B$3,직원명부!G18)),"Y")&lt;1,MIN(11,DATEDIF(C18,IF(직원명부!G18="",$B$3,MIN($B$3,직원명부!G18)),"M")),MIN(25,15+INT((DATEDIF(C18,IF(직원명부!G18="",$B$3,MIN($B$3,직원명부!G18)),"Y")-1)/2))))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IF(C18="","",IF(직원명부!G18&lt;&gt;"","퇴사",IF(G18-$B$3&lt;0,"기간종료",G18-$B$3&amp;"일")))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IF(C19="","",DATEDIF(C19,IF(직원명부!G19="",$B$3,MIN($B$3,직원명부!G19)),"Y")&amp;"년 "&amp;DATEDIF(C19,IF(직원명부!G19="",$B$3,MIN($B$3,직원명부!G19)),"YM")&amp;"개월")</f>
        <v/>
      </c>
      <c r="F19" s="26">
        <f>IF(C19="","",IF(DATEDIF(C19,IF(직원명부!G19="",$B$3,MIN($B$3,직원명부!G19)),"Y")&lt;1,C19,EDATE(C19,DATEDIF(C19,IF(직원명부!G19="",$B$3,MIN($B$3,직원명부!G19)),"Y")*12)))</f>
        <v/>
      </c>
      <c r="G19" s="26">
        <f>IF(C19="","",EDATE(C19,(DATEDIF(C19,IF(직원명부!G19="",$B$3,MIN($B$3,직원명부!G19)),"Y")+1)*12)-1)</f>
        <v/>
      </c>
      <c r="H19" s="27">
        <f>IF(C19="","",IF(DATEDIF(C19,IF(직원명부!G19="",$B$3,MIN($B$3,직원명부!G19)),"Y")&lt;1,MIN(11,DATEDIF(C19,IF(직원명부!G19="",$B$3,MIN($B$3,직원명부!G19)),"M")),MIN(25,15+INT((DATEDIF(C19,IF(직원명부!G19="",$B$3,MIN($B$3,직원명부!G19)),"Y")-1)/2))))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IF(C19="","",IF(직원명부!G19&lt;&gt;"","퇴사",IF(G19-$B$3&lt;0,"기간종료",G19-$B$3&amp;"일")))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IF(C20="","",DATEDIF(C20,IF(직원명부!G20="",$B$3,MIN($B$3,직원명부!G20)),"Y")&amp;"년 "&amp;DATEDIF(C20,IF(직원명부!G20="",$B$3,MIN($B$3,직원명부!G20)),"YM")&amp;"개월")</f>
        <v/>
      </c>
      <c r="F20" s="26">
        <f>IF(C20="","",IF(DATEDIF(C20,IF(직원명부!G20="",$B$3,MIN($B$3,직원명부!G20)),"Y")&lt;1,C20,EDATE(C20,DATEDIF(C20,IF(직원명부!G20="",$B$3,MIN($B$3,직원명부!G20)),"Y")*12)))</f>
        <v/>
      </c>
      <c r="G20" s="26">
        <f>IF(C20="","",EDATE(C20,(DATEDIF(C20,IF(직원명부!G20="",$B$3,MIN($B$3,직원명부!G20)),"Y")+1)*12)-1)</f>
        <v/>
      </c>
      <c r="H20" s="27">
        <f>IF(C20="","",IF(DATEDIF(C20,IF(직원명부!G20="",$B$3,MIN($B$3,직원명부!G20)),"Y")&lt;1,MIN(11,DATEDIF(C20,IF(직원명부!G20="",$B$3,MIN($B$3,직원명부!G20)),"M")),MIN(25,15+INT((DATEDIF(C20,IF(직원명부!G20="",$B$3,MIN($B$3,직원명부!G20)),"Y")-1)/2))))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IF(C20="","",IF(직원명부!G20&lt;&gt;"","퇴사",IF(G20-$B$3&lt;0,"기간종료",G20-$B$3&amp;"일")))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IF(C21="","",DATEDIF(C21,IF(직원명부!G21="",$B$3,MIN($B$3,직원명부!G21)),"Y")&amp;"년 "&amp;DATEDIF(C21,IF(직원명부!G21="",$B$3,MIN($B$3,직원명부!G21)),"YM")&amp;"개월")</f>
        <v/>
      </c>
      <c r="F21" s="26">
        <f>IF(C21="","",IF(DATEDIF(C21,IF(직원명부!G21="",$B$3,MIN($B$3,직원명부!G21)),"Y")&lt;1,C21,EDATE(C21,DATEDIF(C21,IF(직원명부!G21="",$B$3,MIN($B$3,직원명부!G21)),"Y")*12)))</f>
        <v/>
      </c>
      <c r="G21" s="26">
        <f>IF(C21="","",EDATE(C21,(DATEDIF(C21,IF(직원명부!G21="",$B$3,MIN($B$3,직원명부!G21)),"Y")+1)*12)-1)</f>
        <v/>
      </c>
      <c r="H21" s="27">
        <f>IF(C21="","",IF(DATEDIF(C21,IF(직원명부!G21="",$B$3,MIN($B$3,직원명부!G21)),"Y")&lt;1,MIN(11,DATEDIF(C21,IF(직원명부!G21="",$B$3,MIN($B$3,직원명부!G21)),"M")),MIN(25,15+INT((DATEDIF(C21,IF(직원명부!G21="",$B$3,MIN($B$3,직원명부!G21)),"Y")-1)/2))))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IF(C21="","",IF(직원명부!G21&lt;&gt;"","퇴사",IF(G21-$B$3&lt;0,"기간종료",G21-$B$3&amp;"일")))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IF(C22="","",DATEDIF(C22,IF(직원명부!G22="",$B$3,MIN($B$3,직원명부!G22)),"Y")&amp;"년 "&amp;DATEDIF(C22,IF(직원명부!G22="",$B$3,MIN($B$3,직원명부!G22)),"YM")&amp;"개월")</f>
        <v/>
      </c>
      <c r="F22" s="26">
        <f>IF(C22="","",IF(DATEDIF(C22,IF(직원명부!G22="",$B$3,MIN($B$3,직원명부!G22)),"Y")&lt;1,C22,EDATE(C22,DATEDIF(C22,IF(직원명부!G22="",$B$3,MIN($B$3,직원명부!G22)),"Y")*12)))</f>
        <v/>
      </c>
      <c r="G22" s="26">
        <f>IF(C22="","",EDATE(C22,(DATEDIF(C22,IF(직원명부!G22="",$B$3,MIN($B$3,직원명부!G22)),"Y")+1)*12)-1)</f>
        <v/>
      </c>
      <c r="H22" s="27">
        <f>IF(C22="","",IF(DATEDIF(C22,IF(직원명부!G22="",$B$3,MIN($B$3,직원명부!G22)),"Y")&lt;1,MIN(11,DATEDIF(C22,IF(직원명부!G22="",$B$3,MIN($B$3,직원명부!G22)),"M")),MIN(25,15+INT((DATEDIF(C22,IF(직원명부!G22="",$B$3,MIN($B$3,직원명부!G22)),"Y")-1)/2))))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IF(C22="","",IF(직원명부!G22&lt;&gt;"","퇴사",IF(G22-$B$3&lt;0,"기간종료",G22-$B$3&amp;"일")))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IF(C23="","",DATEDIF(C23,IF(직원명부!G23="",$B$3,MIN($B$3,직원명부!G23)),"Y")&amp;"년 "&amp;DATEDIF(C23,IF(직원명부!G23="",$B$3,MIN($B$3,직원명부!G23)),"YM")&amp;"개월")</f>
        <v/>
      </c>
      <c r="F23" s="26">
        <f>IF(C23="","",IF(DATEDIF(C23,IF(직원명부!G23="",$B$3,MIN($B$3,직원명부!G23)),"Y")&lt;1,C23,EDATE(C23,DATEDIF(C23,IF(직원명부!G23="",$B$3,MIN($B$3,직원명부!G23)),"Y")*12)))</f>
        <v/>
      </c>
      <c r="G23" s="26">
        <f>IF(C23="","",EDATE(C23,(DATEDIF(C23,IF(직원명부!G23="",$B$3,MIN($B$3,직원명부!G23)),"Y")+1)*12)-1)</f>
        <v/>
      </c>
      <c r="H23" s="27">
        <f>IF(C23="","",IF(DATEDIF(C23,IF(직원명부!G23="",$B$3,MIN($B$3,직원명부!G23)),"Y")&lt;1,MIN(11,DATEDIF(C23,IF(직원명부!G23="",$B$3,MIN($B$3,직원명부!G23)),"M")),MIN(25,15+INT((DATEDIF(C23,IF(직원명부!G23="",$B$3,MIN($B$3,직원명부!G23)),"Y")-1)/2))))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IF(C23="","",IF(직원명부!G23&lt;&gt;"","퇴사",IF(G23-$B$3&lt;0,"기간종료",G23-$B$3&amp;"일")))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IF(C24="","",DATEDIF(C24,IF(직원명부!G24="",$B$3,MIN($B$3,직원명부!G24)),"Y")&amp;"년 "&amp;DATEDIF(C24,IF(직원명부!G24="",$B$3,MIN($B$3,직원명부!G24)),"YM")&amp;"개월")</f>
        <v/>
      </c>
      <c r="F24" s="26">
        <f>IF(C24="","",IF(DATEDIF(C24,IF(직원명부!G24="",$B$3,MIN($B$3,직원명부!G24)),"Y")&lt;1,C24,EDATE(C24,DATEDIF(C24,IF(직원명부!G24="",$B$3,MIN($B$3,직원명부!G24)),"Y")*12)))</f>
        <v/>
      </c>
      <c r="G24" s="26">
        <f>IF(C24="","",EDATE(C24,(DATEDIF(C24,IF(직원명부!G24="",$B$3,MIN($B$3,직원명부!G24)),"Y")+1)*12)-1)</f>
        <v/>
      </c>
      <c r="H24" s="27">
        <f>IF(C24="","",IF(DATEDIF(C24,IF(직원명부!G24="",$B$3,MIN($B$3,직원명부!G24)),"Y")&lt;1,MIN(11,DATEDIF(C24,IF(직원명부!G24="",$B$3,MIN($B$3,직원명부!G24)),"M")),MIN(25,15+INT((DATEDIF(C24,IF(직원명부!G24="",$B$3,MIN($B$3,직원명부!G24)),"Y")-1)/2))))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IF(C24="","",IF(직원명부!G24&lt;&gt;"","퇴사",IF(G24-$B$3&lt;0,"기간종료",G24-$B$3&amp;"일")))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9" t="n">
        <v>46034</v>
      </c>
      <c r="B5" s="25">
        <f>IF(A5="","",CHOOSE(WEEKDAY(A5,2),"월","화","수","목","금","토","일"))</f>
        <v/>
      </c>
      <c r="C5" s="18" t="inlineStr">
        <is>
          <t>M001</t>
        </is>
      </c>
      <c r="D5" s="25">
        <f>IFERROR(IF(C5="","",INDEX(직원명부!$B$5:$B$24,MATCH(C5,직원명부!$A$5:$A$24,0))),"사번 확인")</f>
        <v/>
      </c>
      <c r="E5" s="34" t="n">
        <v>0.375</v>
      </c>
      <c r="F5" s="34" t="n">
        <v>0.75</v>
      </c>
      <c r="G5" s="28" t="n">
        <v>1</v>
      </c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8" t="inlineStr">
        <is>
          <t>정상</t>
        </is>
      </c>
      <c r="M5" s="12" t="n"/>
      <c r="N5" s="17" t="n"/>
    </row>
    <row r="6">
      <c r="A6" s="19" t="n">
        <v>46035</v>
      </c>
      <c r="B6" s="25">
        <f>IF(A6="","",CHOOSE(WEEKDAY(A6,2),"월","화","수","목","금","토","일"))</f>
        <v/>
      </c>
      <c r="C6" s="18" t="inlineStr">
        <is>
          <t>M001</t>
        </is>
      </c>
      <c r="D6" s="25">
        <f>IFERROR(IF(C6="","",INDEX(직원명부!$B$5:$B$24,MATCH(C6,직원명부!$A$5:$A$24,0))),"사번 확인")</f>
        <v/>
      </c>
      <c r="E6" s="34" t="n">
        <v>0.375</v>
      </c>
      <c r="F6" s="34" t="n">
        <v>0.75</v>
      </c>
      <c r="G6" s="28" t="n">
        <v>1</v>
      </c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inlineStr">
        <is>
          <t>정상</t>
        </is>
      </c>
      <c r="M6" s="18" t="n"/>
      <c r="N6" s="22" t="n"/>
    </row>
    <row r="7">
      <c r="A7" s="19" t="n">
        <v>46036</v>
      </c>
      <c r="B7" s="25">
        <f>IF(A7="","",CHOOSE(WEEKDAY(A7,2),"월","화","수","목","금","토","일"))</f>
        <v/>
      </c>
      <c r="C7" s="18" t="inlineStr">
        <is>
          <t>M001</t>
        </is>
      </c>
      <c r="D7" s="25">
        <f>IFERROR(IF(C7="","",INDEX(직원명부!$B$5:$B$24,MATCH(C7,직원명부!$A$5:$A$24,0))),"사번 확인")</f>
        <v/>
      </c>
      <c r="E7" s="34" t="n">
        <v>0.375</v>
      </c>
      <c r="F7" s="34" t="n">
        <v>0.75</v>
      </c>
      <c r="G7" s="28" t="n">
        <v>1</v>
      </c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inlineStr">
        <is>
          <t>정상</t>
        </is>
      </c>
      <c r="M7" s="18" t="n"/>
      <c r="N7" s="22" t="n"/>
    </row>
    <row r="8">
      <c r="A8" s="19" t="n">
        <v>46037</v>
      </c>
      <c r="B8" s="25">
        <f>IF(A8="","",CHOOSE(WEEKDAY(A8,2),"월","화","수","목","금","토","일"))</f>
        <v/>
      </c>
      <c r="C8" s="18" t="inlineStr">
        <is>
          <t>M001</t>
        </is>
      </c>
      <c r="D8" s="25">
        <f>IFERROR(IF(C8="","",INDEX(직원명부!$B$5:$B$24,MATCH(C8,직원명부!$A$5:$A$24,0))),"사번 확인")</f>
        <v/>
      </c>
      <c r="E8" s="34" t="n">
        <v>0.375</v>
      </c>
      <c r="F8" s="34" t="n">
        <v>0.75</v>
      </c>
      <c r="G8" s="28" t="n">
        <v>1</v>
      </c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inlineStr">
        <is>
          <t>정상</t>
        </is>
      </c>
      <c r="M8" s="18" t="n"/>
      <c r="N8" s="22" t="n"/>
    </row>
    <row r="9">
      <c r="A9" s="19" t="n">
        <v>46038</v>
      </c>
      <c r="B9" s="25">
        <f>IF(A9="","",CHOOSE(WEEKDAY(A9,2),"월","화","수","목","금","토","일"))</f>
        <v/>
      </c>
      <c r="C9" s="18" t="inlineStr">
        <is>
          <t>M001</t>
        </is>
      </c>
      <c r="D9" s="25">
        <f>IFERROR(IF(C9="","",INDEX(직원명부!$B$5:$B$24,MATCH(C9,직원명부!$A$5:$A$24,0))),"사번 확인")</f>
        <v/>
      </c>
      <c r="E9" s="34" t="n">
        <v>0.375</v>
      </c>
      <c r="F9" s="34" t="n">
        <v>0.75</v>
      </c>
      <c r="G9" s="28" t="n">
        <v>1</v>
      </c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inlineStr">
        <is>
          <t>정상</t>
        </is>
      </c>
      <c r="M9" s="18" t="n"/>
      <c r="N9" s="22" t="n"/>
    </row>
    <row r="10">
      <c r="A10" s="19" t="n">
        <v>46039</v>
      </c>
      <c r="B10" s="25">
        <f>IF(A10="","",CHOOSE(WEEKDAY(A10,2),"월","화","수","목","금","토","일"))</f>
        <v/>
      </c>
      <c r="C10" s="18" t="inlineStr">
        <is>
          <t>M001</t>
        </is>
      </c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42" t="inlineStr">
        <is>
          <t>주말</t>
        </is>
      </c>
    </row>
    <row r="11">
      <c r="A11" s="19" t="n">
        <v>46040</v>
      </c>
      <c r="B11" s="25">
        <f>IF(A11="","",CHOOSE(WEEKDAY(A11,2),"월","화","수","목","금","토","일"))</f>
        <v/>
      </c>
      <c r="C11" s="18" t="inlineStr">
        <is>
          <t>M001</t>
        </is>
      </c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42" t="inlineStr">
        <is>
          <t>주말</t>
        </is>
      </c>
    </row>
    <row r="12">
      <c r="A12" s="19" t="n">
        <v>46041</v>
      </c>
      <c r="B12" s="25">
        <f>IF(A12="","",CHOOSE(WEEKDAY(A12,2),"월","화","수","목","금","토","일"))</f>
        <v/>
      </c>
      <c r="C12" s="18" t="inlineStr">
        <is>
          <t>M001</t>
        </is>
      </c>
      <c r="D12" s="25">
        <f>IFERROR(IF(C12="","",INDEX(직원명부!$B$5:$B$24,MATCH(C12,직원명부!$A$5:$A$24,0))),"사번 확인")</f>
        <v/>
      </c>
      <c r="E12" s="34" t="n">
        <v>0.375</v>
      </c>
      <c r="F12" s="34" t="n">
        <v>0.75</v>
      </c>
      <c r="G12" s="28" t="n">
        <v>1</v>
      </c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inlineStr">
        <is>
          <t>정상</t>
        </is>
      </c>
      <c r="M12" s="18" t="n"/>
      <c r="N12" s="22" t="n"/>
    </row>
    <row r="13">
      <c r="A13" s="19" t="n">
        <v>46042</v>
      </c>
      <c r="B13" s="25">
        <f>IF(A13="","",CHOOSE(WEEKDAY(A13,2),"월","화","수","목","금","토","일"))</f>
        <v/>
      </c>
      <c r="C13" s="18" t="inlineStr">
        <is>
          <t>M001</t>
        </is>
      </c>
      <c r="D13" s="25">
        <f>IFERROR(IF(C13="","",INDEX(직원명부!$B$5:$B$24,MATCH(C13,직원명부!$A$5:$A$24,0))),"사번 확인")</f>
        <v/>
      </c>
      <c r="E13" s="34" t="n">
        <v>0.375</v>
      </c>
      <c r="F13" s="34" t="n">
        <v>0.75</v>
      </c>
      <c r="G13" s="28" t="n">
        <v>1</v>
      </c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inlineStr">
        <is>
          <t>정상</t>
        </is>
      </c>
      <c r="M13" s="18" t="n"/>
      <c r="N13" s="22" t="n"/>
    </row>
    <row r="14">
      <c r="A14" s="19" t="n">
        <v>46043</v>
      </c>
      <c r="B14" s="25">
        <f>IF(A14="","",CHOOSE(WEEKDAY(A14,2),"월","화","수","목","금","토","일"))</f>
        <v/>
      </c>
      <c r="C14" s="18" t="inlineStr">
        <is>
          <t>M001</t>
        </is>
      </c>
      <c r="D14" s="25">
        <f>IFERROR(IF(C14="","",INDEX(직원명부!$B$5:$B$24,MATCH(C14,직원명부!$A$5:$A$24,0))),"사번 확인")</f>
        <v/>
      </c>
      <c r="E14" s="34" t="n">
        <v>0.375</v>
      </c>
      <c r="F14" s="34" t="n">
        <v>0.75</v>
      </c>
      <c r="G14" s="28" t="n">
        <v>1</v>
      </c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inlineStr">
        <is>
          <t>정상</t>
        </is>
      </c>
      <c r="M14" s="18" t="n"/>
      <c r="N14" s="22" t="n"/>
    </row>
    <row r="15">
      <c r="A15" s="19" t="n">
        <v>46044</v>
      </c>
      <c r="B15" s="25">
        <f>IF(A15="","",CHOOSE(WEEKDAY(A15,2),"월","화","수","목","금","토","일"))</f>
        <v/>
      </c>
      <c r="C15" s="18" t="inlineStr">
        <is>
          <t>M001</t>
        </is>
      </c>
      <c r="D15" s="25">
        <f>IFERROR(IF(C15="","",INDEX(직원명부!$B$5:$B$24,MATCH(C15,직원명부!$A$5:$A$24,0))),"사번 확인")</f>
        <v/>
      </c>
      <c r="E15" s="34" t="n">
        <v>0.375</v>
      </c>
      <c r="F15" s="34" t="n">
        <v>0.75</v>
      </c>
      <c r="G15" s="28" t="n">
        <v>1</v>
      </c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inlineStr">
        <is>
          <t>정상</t>
        </is>
      </c>
      <c r="M15" s="18" t="n"/>
      <c r="N15" s="22" t="n"/>
    </row>
    <row r="16">
      <c r="A16" s="19" t="n">
        <v>46045</v>
      </c>
      <c r="B16" s="25">
        <f>IF(A16="","",CHOOSE(WEEKDAY(A16,2),"월","화","수","목","금","토","일"))</f>
        <v/>
      </c>
      <c r="C16" s="18" t="inlineStr">
        <is>
          <t>M001</t>
        </is>
      </c>
      <c r="D16" s="25">
        <f>IFERROR(IF(C16="","",INDEX(직원명부!$B$5:$B$24,MATCH(C16,직원명부!$A$5:$A$24,0))),"사번 확인")</f>
        <v/>
      </c>
      <c r="E16" s="34" t="n">
        <v>0.375</v>
      </c>
      <c r="F16" s="34" t="n">
        <v>0.75</v>
      </c>
      <c r="G16" s="28" t="n">
        <v>1</v>
      </c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inlineStr">
        <is>
          <t>정상</t>
        </is>
      </c>
      <c r="M16" s="18" t="n"/>
      <c r="N16" s="22" t="n"/>
    </row>
    <row r="17">
      <c r="A17" s="19" t="n">
        <v>46046</v>
      </c>
      <c r="B17" s="25">
        <f>IF(A17="","",CHOOSE(WEEKDAY(A17,2),"월","화","수","목","금","토","일"))</f>
        <v/>
      </c>
      <c r="C17" s="18" t="inlineStr">
        <is>
          <t>M001</t>
        </is>
      </c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42" t="inlineStr">
        <is>
          <t>주말</t>
        </is>
      </c>
    </row>
    <row r="18">
      <c r="A18" s="19" t="n">
        <v>46047</v>
      </c>
      <c r="B18" s="25">
        <f>IF(A18="","",CHOOSE(WEEKDAY(A18,2),"월","화","수","목","금","토","일"))</f>
        <v/>
      </c>
      <c r="C18" s="18" t="inlineStr">
        <is>
          <t>M001</t>
        </is>
      </c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42" t="inlineStr">
        <is>
          <t>주말</t>
        </is>
      </c>
    </row>
    <row r="19">
      <c r="A19" s="19" t="n">
        <v>46048</v>
      </c>
      <c r="B19" s="25">
        <f>IF(A19="","",CHOOSE(WEEKDAY(A19,2),"월","화","수","목","금","토","일"))</f>
        <v/>
      </c>
      <c r="C19" s="18" t="inlineStr">
        <is>
          <t>M001</t>
        </is>
      </c>
      <c r="D19" s="25">
        <f>IFERROR(IF(C19="","",INDEX(직원명부!$B$5:$B$24,MATCH(C19,직원명부!$A$5:$A$24,0))),"사번 확인")</f>
        <v/>
      </c>
      <c r="E19" s="34" t="n">
        <v>0.375</v>
      </c>
      <c r="F19" s="34" t="n">
        <v>0.75</v>
      </c>
      <c r="G19" s="28" t="n">
        <v>1</v>
      </c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inlineStr">
        <is>
          <t>정상</t>
        </is>
      </c>
      <c r="M19" s="18" t="n"/>
      <c r="N19" s="22" t="n"/>
    </row>
    <row r="20">
      <c r="A20" s="19" t="n">
        <v>46049</v>
      </c>
      <c r="B20" s="25">
        <f>IF(A20="","",CHOOSE(WEEKDAY(A20,2),"월","화","수","목","금","토","일"))</f>
        <v/>
      </c>
      <c r="C20" s="18" t="inlineStr">
        <is>
          <t>M001</t>
        </is>
      </c>
      <c r="D20" s="25">
        <f>IFERROR(IF(C20="","",INDEX(직원명부!$B$5:$B$24,MATCH(C20,직원명부!$A$5:$A$24,0))),"사번 확인")</f>
        <v/>
      </c>
      <c r="E20" s="34" t="n">
        <v>0.375</v>
      </c>
      <c r="F20" s="34" t="n">
        <v>0.75</v>
      </c>
      <c r="G20" s="28" t="n">
        <v>1</v>
      </c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inlineStr">
        <is>
          <t>정상</t>
        </is>
      </c>
      <c r="M20" s="18" t="n"/>
      <c r="N20" s="22" t="n"/>
    </row>
    <row r="21">
      <c r="A21" s="19" t="n">
        <v>46050</v>
      </c>
      <c r="B21" s="25">
        <f>IF(A21="","",CHOOSE(WEEKDAY(A21,2),"월","화","수","목","금","토","일"))</f>
        <v/>
      </c>
      <c r="C21" s="18" t="inlineStr">
        <is>
          <t>M001</t>
        </is>
      </c>
      <c r="D21" s="25">
        <f>IFERROR(IF(C21="","",INDEX(직원명부!$B$5:$B$24,MATCH(C21,직원명부!$A$5:$A$24,0))),"사번 확인")</f>
        <v/>
      </c>
      <c r="E21" s="34" t="n">
        <v>0.375</v>
      </c>
      <c r="F21" s="34" t="n">
        <v>0.75</v>
      </c>
      <c r="G21" s="28" t="n">
        <v>1</v>
      </c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inlineStr">
        <is>
          <t>정상</t>
        </is>
      </c>
      <c r="M21" s="18" t="n"/>
      <c r="N21" s="22" t="n"/>
    </row>
    <row r="22">
      <c r="A22" s="19" t="n">
        <v>46051</v>
      </c>
      <c r="B22" s="25">
        <f>IF(A22="","",CHOOSE(WEEKDAY(A22,2),"월","화","수","목","금","토","일"))</f>
        <v/>
      </c>
      <c r="C22" s="18" t="inlineStr">
        <is>
          <t>M001</t>
        </is>
      </c>
      <c r="D22" s="25">
        <f>IFERROR(IF(C22="","",INDEX(직원명부!$B$5:$B$24,MATCH(C22,직원명부!$A$5:$A$24,0))),"사번 확인")</f>
        <v/>
      </c>
      <c r="E22" s="34" t="n">
        <v>0.375</v>
      </c>
      <c r="F22" s="34" t="n">
        <v>0.75</v>
      </c>
      <c r="G22" s="28" t="n">
        <v>1</v>
      </c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inlineStr">
        <is>
          <t>정상</t>
        </is>
      </c>
      <c r="M22" s="18" t="n"/>
      <c r="N22" s="22" t="n"/>
    </row>
    <row r="23">
      <c r="A23" s="19" t="n">
        <v>46052</v>
      </c>
      <c r="B23" s="25">
        <f>IF(A23="","",CHOOSE(WEEKDAY(A23,2),"월","화","수","목","금","토","일"))</f>
        <v/>
      </c>
      <c r="C23" s="18" t="inlineStr">
        <is>
          <t>M001</t>
        </is>
      </c>
      <c r="D23" s="25">
        <f>IFERROR(IF(C23="","",INDEX(직원명부!$B$5:$B$24,MATCH(C23,직원명부!$A$5:$A$24,0))),"사번 확인")</f>
        <v/>
      </c>
      <c r="E23" s="34" t="n">
        <v>0.375</v>
      </c>
      <c r="F23" s="34" t="n">
        <v>0.75</v>
      </c>
      <c r="G23" s="28" t="n">
        <v>1</v>
      </c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inlineStr">
        <is>
          <t>정상</t>
        </is>
      </c>
      <c r="M23" s="18" t="n"/>
      <c r="N23" s="22" t="n"/>
    </row>
    <row r="24">
      <c r="A24" s="19" t="n">
        <v>46053</v>
      </c>
      <c r="B24" s="25">
        <f>IF(A24="","",CHOOSE(WEEKDAY(A24,2),"월","화","수","목","금","토","일"))</f>
        <v/>
      </c>
      <c r="C24" s="18" t="inlineStr">
        <is>
          <t>M001</t>
        </is>
      </c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42" t="inlineStr">
        <is>
          <t>주말</t>
        </is>
      </c>
    </row>
    <row r="25">
      <c r="A25" s="19" t="n">
        <v>46054</v>
      </c>
      <c r="B25" s="25">
        <f>IF(A25="","",CHOOSE(WEEKDAY(A25,2),"월","화","수","목","금","토","일"))</f>
        <v/>
      </c>
      <c r="C25" s="18" t="inlineStr">
        <is>
          <t>M001</t>
        </is>
      </c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42" t="inlineStr">
        <is>
          <t>주말</t>
        </is>
      </c>
    </row>
    <row r="26">
      <c r="A26" s="19" t="n">
        <v>46055</v>
      </c>
      <c r="B26" s="25">
        <f>IF(A26="","",CHOOSE(WEEKDAY(A26,2),"월","화","수","목","금","토","일"))</f>
        <v/>
      </c>
      <c r="C26" s="18" t="inlineStr">
        <is>
          <t>M001</t>
        </is>
      </c>
      <c r="D26" s="25">
        <f>IFERROR(IF(C26="","",INDEX(직원명부!$B$5:$B$24,MATCH(C26,직원명부!$A$5:$A$24,0))),"사번 확인")</f>
        <v/>
      </c>
      <c r="E26" s="34" t="n">
        <v>0.375</v>
      </c>
      <c r="F26" s="34" t="n">
        <v>0.75</v>
      </c>
      <c r="G26" s="28" t="n">
        <v>1</v>
      </c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inlineStr">
        <is>
          <t>정상</t>
        </is>
      </c>
      <c r="M26" s="18" t="n"/>
      <c r="N26" s="22" t="n"/>
    </row>
    <row r="27">
      <c r="A27" s="19" t="n">
        <v>46056</v>
      </c>
      <c r="B27" s="25">
        <f>IF(A27="","",CHOOSE(WEEKDAY(A27,2),"월","화","수","목","금","토","일"))</f>
        <v/>
      </c>
      <c r="C27" s="18" t="inlineStr">
        <is>
          <t>M001</t>
        </is>
      </c>
      <c r="D27" s="25">
        <f>IFERROR(IF(C27="","",INDEX(직원명부!$B$5:$B$24,MATCH(C27,직원명부!$A$5:$A$24,0))),"사번 확인")</f>
        <v/>
      </c>
      <c r="E27" s="34" t="n">
        <v>0.375</v>
      </c>
      <c r="F27" s="34" t="n">
        <v>0.75</v>
      </c>
      <c r="G27" s="28" t="n">
        <v>1</v>
      </c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inlineStr">
        <is>
          <t>정상</t>
        </is>
      </c>
      <c r="M27" s="18" t="n"/>
      <c r="N27" s="22" t="n"/>
    </row>
    <row r="28">
      <c r="A28" s="19" t="n">
        <v>46057</v>
      </c>
      <c r="B28" s="25">
        <f>IF(A28="","",CHOOSE(WEEKDAY(A28,2),"월","화","수","목","금","토","일"))</f>
        <v/>
      </c>
      <c r="C28" s="18" t="inlineStr">
        <is>
          <t>M001</t>
        </is>
      </c>
      <c r="D28" s="25">
        <f>IFERROR(IF(C28="","",INDEX(직원명부!$B$5:$B$24,MATCH(C28,직원명부!$A$5:$A$24,0))),"사번 확인")</f>
        <v/>
      </c>
      <c r="E28" s="34" t="n">
        <v>0.375</v>
      </c>
      <c r="F28" s="34" t="n">
        <v>0.75</v>
      </c>
      <c r="G28" s="28" t="n">
        <v>1</v>
      </c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inlineStr">
        <is>
          <t>정상</t>
        </is>
      </c>
      <c r="M28" s="18" t="n"/>
      <c r="N28" s="22" t="n"/>
    </row>
    <row r="29">
      <c r="A29" s="19" t="n">
        <v>46058</v>
      </c>
      <c r="B29" s="25">
        <f>IF(A29="","",CHOOSE(WEEKDAY(A29,2),"월","화","수","목","금","토","일"))</f>
        <v/>
      </c>
      <c r="C29" s="18" t="inlineStr">
        <is>
          <t>M001</t>
        </is>
      </c>
      <c r="D29" s="25">
        <f>IFERROR(IF(C29="","",INDEX(직원명부!$B$5:$B$24,MATCH(C29,직원명부!$A$5:$A$24,0))),"사번 확인")</f>
        <v/>
      </c>
      <c r="E29" s="34" t="n">
        <v>0.375</v>
      </c>
      <c r="F29" s="34" t="n">
        <v>0.75</v>
      </c>
      <c r="G29" s="28" t="n">
        <v>1</v>
      </c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inlineStr">
        <is>
          <t>정상</t>
        </is>
      </c>
      <c r="M29" s="18" t="n"/>
      <c r="N29" s="22" t="n"/>
    </row>
    <row r="30">
      <c r="A30" s="19" t="n">
        <v>46059</v>
      </c>
      <c r="B30" s="25">
        <f>IF(A30="","",CHOOSE(WEEKDAY(A30,2),"월","화","수","목","금","토","일"))</f>
        <v/>
      </c>
      <c r="C30" s="18" t="inlineStr">
        <is>
          <t>M001</t>
        </is>
      </c>
      <c r="D30" s="25">
        <f>IFERROR(IF(C30="","",INDEX(직원명부!$B$5:$B$24,MATCH(C30,직원명부!$A$5:$A$24,0))),"사번 확인")</f>
        <v/>
      </c>
      <c r="E30" s="34" t="n">
        <v>0.375</v>
      </c>
      <c r="F30" s="34" t="n">
        <v>0.75</v>
      </c>
      <c r="G30" s="28" t="n">
        <v>1</v>
      </c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inlineStr">
        <is>
          <t>정상</t>
        </is>
      </c>
      <c r="M30" s="18" t="n"/>
      <c r="N30" s="22" t="n"/>
    </row>
    <row r="31">
      <c r="A31" s="19" t="n">
        <v>46060</v>
      </c>
      <c r="B31" s="25">
        <f>IF(A31="","",CHOOSE(WEEKDAY(A31,2),"월","화","수","목","금","토","일"))</f>
        <v/>
      </c>
      <c r="C31" s="18" t="inlineStr">
        <is>
          <t>M001</t>
        </is>
      </c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42" t="inlineStr">
        <is>
          <t>주말</t>
        </is>
      </c>
    </row>
    <row r="32">
      <c r="A32" s="19" t="n">
        <v>46061</v>
      </c>
      <c r="B32" s="25">
        <f>IF(A32="","",CHOOSE(WEEKDAY(A32,2),"월","화","수","목","금","토","일"))</f>
        <v/>
      </c>
      <c r="C32" s="18" t="inlineStr">
        <is>
          <t>M001</t>
        </is>
      </c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42" t="inlineStr">
        <is>
          <t>주말</t>
        </is>
      </c>
    </row>
    <row r="33">
      <c r="A33" s="19" t="n">
        <v>46062</v>
      </c>
      <c r="B33" s="25">
        <f>IF(A33="","",CHOOSE(WEEKDAY(A33,2),"월","화","수","목","금","토","일"))</f>
        <v/>
      </c>
      <c r="C33" s="18" t="inlineStr">
        <is>
          <t>M001</t>
        </is>
      </c>
      <c r="D33" s="25">
        <f>IFERROR(IF(C33="","",INDEX(직원명부!$B$5:$B$24,MATCH(C33,직원명부!$A$5:$A$24,0))),"사번 확인")</f>
        <v/>
      </c>
      <c r="E33" s="34" t="n">
        <v>0.375</v>
      </c>
      <c r="F33" s="34" t="n">
        <v>0.75</v>
      </c>
      <c r="G33" s="28" t="n">
        <v>1</v>
      </c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inlineStr">
        <is>
          <t>정상</t>
        </is>
      </c>
      <c r="M33" s="18" t="n"/>
      <c r="N33" s="22" t="n"/>
    </row>
    <row r="34">
      <c r="A34" s="19" t="n">
        <v>46063</v>
      </c>
      <c r="B34" s="25">
        <f>IF(A34="","",CHOOSE(WEEKDAY(A34,2),"월","화","수","목","금","토","일"))</f>
        <v/>
      </c>
      <c r="C34" s="18" t="inlineStr">
        <is>
          <t>M001</t>
        </is>
      </c>
      <c r="D34" s="25">
        <f>IFERROR(IF(C34="","",INDEX(직원명부!$B$5:$B$24,MATCH(C34,직원명부!$A$5:$A$24,0))),"사번 확인")</f>
        <v/>
      </c>
      <c r="E34" s="34" t="n">
        <v>0.375</v>
      </c>
      <c r="F34" s="34" t="n">
        <v>0.75</v>
      </c>
      <c r="G34" s="28" t="n">
        <v>1</v>
      </c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inlineStr">
        <is>
          <t>정상</t>
        </is>
      </c>
      <c r="M34" s="18" t="n"/>
      <c r="N34" s="22" t="n"/>
    </row>
    <row r="35">
      <c r="A35" s="19" t="n">
        <v>46064</v>
      </c>
      <c r="B35" s="25">
        <f>IF(A35="","",CHOOSE(WEEKDAY(A35,2),"월","화","수","목","금","토","일"))</f>
        <v/>
      </c>
      <c r="C35" s="18" t="inlineStr">
        <is>
          <t>M001</t>
        </is>
      </c>
      <c r="D35" s="25">
        <f>IFERROR(IF(C35="","",INDEX(직원명부!$B$5:$B$24,MATCH(C35,직원명부!$A$5:$A$24,0))),"사번 확인")</f>
        <v/>
      </c>
      <c r="E35" s="34" t="n">
        <v>0.375</v>
      </c>
      <c r="F35" s="34" t="n">
        <v>0.75</v>
      </c>
      <c r="G35" s="28" t="n">
        <v>1</v>
      </c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inlineStr">
        <is>
          <t>정상</t>
        </is>
      </c>
      <c r="M35" s="18" t="n"/>
      <c r="N35" s="22" t="n"/>
    </row>
    <row r="36">
      <c r="A36" s="19" t="n">
        <v>46065</v>
      </c>
      <c r="B36" s="25">
        <f>IF(A36="","",CHOOSE(WEEKDAY(A36,2),"월","화","수","목","금","토","일"))</f>
        <v/>
      </c>
      <c r="C36" s="18" t="inlineStr">
        <is>
          <t>M001</t>
        </is>
      </c>
      <c r="D36" s="25">
        <f>IFERROR(IF(C36="","",INDEX(직원명부!$B$5:$B$24,MATCH(C36,직원명부!$A$5:$A$24,0))),"사번 확인")</f>
        <v/>
      </c>
      <c r="E36" s="34" t="n">
        <v>0.375</v>
      </c>
      <c r="F36" s="34" t="n">
        <v>0.75</v>
      </c>
      <c r="G36" s="28" t="n">
        <v>1</v>
      </c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inlineStr">
        <is>
          <t>정상</t>
        </is>
      </c>
      <c r="M36" s="18" t="n"/>
      <c r="N36" s="22" t="n"/>
    </row>
    <row r="37">
      <c r="A37" s="19" t="n">
        <v>46066</v>
      </c>
      <c r="B37" s="25">
        <f>IF(A37="","",CHOOSE(WEEKDAY(A37,2),"월","화","수","목","금","토","일"))</f>
        <v/>
      </c>
      <c r="C37" s="18" t="inlineStr">
        <is>
          <t>M001</t>
        </is>
      </c>
      <c r="D37" s="25">
        <f>IFERROR(IF(C37="","",INDEX(직원명부!$B$5:$B$24,MATCH(C37,직원명부!$A$5:$A$24,0))),"사번 확인")</f>
        <v/>
      </c>
      <c r="E37" s="34" t="n">
        <v>0.375</v>
      </c>
      <c r="F37" s="34" t="n">
        <v>0.75</v>
      </c>
      <c r="G37" s="28" t="n">
        <v>1</v>
      </c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inlineStr">
        <is>
          <t>정상</t>
        </is>
      </c>
      <c r="M37" s="18" t="n"/>
      <c r="N37" s="22" t="n"/>
    </row>
    <row r="38">
      <c r="A38" s="19" t="n">
        <v>46067</v>
      </c>
      <c r="B38" s="25">
        <f>IF(A38="","",CHOOSE(WEEKDAY(A38,2),"월","화","수","목","금","토","일"))</f>
        <v/>
      </c>
      <c r="C38" s="18" t="inlineStr">
        <is>
          <t>M001</t>
        </is>
      </c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42" t="inlineStr">
        <is>
          <t>주말</t>
        </is>
      </c>
    </row>
    <row r="39">
      <c r="A39" s="19" t="n">
        <v>46068</v>
      </c>
      <c r="B39" s="25">
        <f>IF(A39="","",CHOOSE(WEEKDAY(A39,2),"월","화","수","목","금","토","일"))</f>
        <v/>
      </c>
      <c r="C39" s="18" t="inlineStr">
        <is>
          <t>M001</t>
        </is>
      </c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42" t="inlineStr">
        <is>
          <t>주말</t>
        </is>
      </c>
    </row>
    <row r="40">
      <c r="A40" s="19" t="n">
        <v>46069</v>
      </c>
      <c r="B40" s="25">
        <f>IF(A40="","",CHOOSE(WEEKDAY(A40,2),"월","화","수","목","금","토","일"))</f>
        <v/>
      </c>
      <c r="C40" s="18" t="inlineStr">
        <is>
          <t>M001</t>
        </is>
      </c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42" t="inlineStr">
        <is>
          <t>설날 연휴</t>
        </is>
      </c>
    </row>
    <row r="41">
      <c r="A41" s="19" t="n">
        <v>46070</v>
      </c>
      <c r="B41" s="25">
        <f>IF(A41="","",CHOOSE(WEEKDAY(A41,2),"월","화","수","목","금","토","일"))</f>
        <v/>
      </c>
      <c r="C41" s="18" t="inlineStr">
        <is>
          <t>M001</t>
        </is>
      </c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42" t="inlineStr">
        <is>
          <t>설날</t>
        </is>
      </c>
    </row>
    <row r="42">
      <c r="A42" s="19" t="n">
        <v>46071</v>
      </c>
      <c r="B42" s="25">
        <f>IF(A42="","",CHOOSE(WEEKDAY(A42,2),"월","화","수","목","금","토","일"))</f>
        <v/>
      </c>
      <c r="C42" s="18" t="inlineStr">
        <is>
          <t>M001</t>
        </is>
      </c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42" t="inlineStr">
        <is>
          <t>설날 연휴</t>
        </is>
      </c>
    </row>
    <row r="43">
      <c r="A43" s="19" t="n">
        <v>46072</v>
      </c>
      <c r="B43" s="25">
        <f>IF(A43="","",CHOOSE(WEEKDAY(A43,2),"월","화","수","목","금","토","일"))</f>
        <v/>
      </c>
      <c r="C43" s="18" t="inlineStr">
        <is>
          <t>M001</t>
        </is>
      </c>
      <c r="D43" s="25">
        <f>IFERROR(IF(C43="","",INDEX(직원명부!$B$5:$B$24,MATCH(C43,직원명부!$A$5:$A$24,0))),"사번 확인")</f>
        <v/>
      </c>
      <c r="E43" s="34" t="n">
        <v>0.375</v>
      </c>
      <c r="F43" s="34" t="n">
        <v>0.75</v>
      </c>
      <c r="G43" s="28" t="n">
        <v>1</v>
      </c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inlineStr">
        <is>
          <t>정상</t>
        </is>
      </c>
      <c r="M43" s="18" t="n"/>
      <c r="N43" s="22" t="n"/>
    </row>
    <row r="44">
      <c r="A44" s="19" t="n">
        <v>46073</v>
      </c>
      <c r="B44" s="25">
        <f>IF(A44="","",CHOOSE(WEEKDAY(A44,2),"월","화","수","목","금","토","일"))</f>
        <v/>
      </c>
      <c r="C44" s="18" t="inlineStr">
        <is>
          <t>M001</t>
        </is>
      </c>
      <c r="D44" s="25">
        <f>IFERROR(IF(C44="","",INDEX(직원명부!$B$5:$B$24,MATCH(C44,직원명부!$A$5:$A$24,0))),"사번 확인")</f>
        <v/>
      </c>
      <c r="E44" s="34" t="n">
        <v>0.375</v>
      </c>
      <c r="F44" s="34" t="n">
        <v>0.75</v>
      </c>
      <c r="G44" s="28" t="n">
        <v>1</v>
      </c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inlineStr">
        <is>
          <t>정상</t>
        </is>
      </c>
      <c r="M44" s="18" t="n"/>
      <c r="N44" s="22" t="n"/>
    </row>
    <row r="45">
      <c r="A45" s="19" t="n">
        <v>46074</v>
      </c>
      <c r="B45" s="25">
        <f>IF(A45="","",CHOOSE(WEEKDAY(A45,2),"월","화","수","목","금","토","일"))</f>
        <v/>
      </c>
      <c r="C45" s="18" t="inlineStr">
        <is>
          <t>M001</t>
        </is>
      </c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42" t="inlineStr">
        <is>
          <t>주말</t>
        </is>
      </c>
    </row>
    <row r="46">
      <c r="A46" s="19" t="n">
        <v>46075</v>
      </c>
      <c r="B46" s="25">
        <f>IF(A46="","",CHOOSE(WEEKDAY(A46,2),"월","화","수","목","금","토","일"))</f>
        <v/>
      </c>
      <c r="C46" s="18" t="inlineStr">
        <is>
          <t>M001</t>
        </is>
      </c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42" t="inlineStr">
        <is>
          <t>주말</t>
        </is>
      </c>
    </row>
    <row r="47">
      <c r="A47" s="19" t="n">
        <v>46076</v>
      </c>
      <c r="B47" s="25">
        <f>IF(A47="","",CHOOSE(WEEKDAY(A47,2),"월","화","수","목","금","토","일"))</f>
        <v/>
      </c>
      <c r="C47" s="18" t="inlineStr">
        <is>
          <t>M001</t>
        </is>
      </c>
      <c r="D47" s="25">
        <f>IFERROR(IF(C47="","",INDEX(직원명부!$B$5:$B$24,MATCH(C47,직원명부!$A$5:$A$24,0))),"사번 확인")</f>
        <v/>
      </c>
      <c r="E47" s="34" t="n">
        <v>0.375</v>
      </c>
      <c r="F47" s="34" t="n">
        <v>0.75</v>
      </c>
      <c r="G47" s="28" t="n">
        <v>1</v>
      </c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inlineStr">
        <is>
          <t>정상</t>
        </is>
      </c>
      <c r="M47" s="18" t="n"/>
      <c r="N47" s="22" t="n"/>
    </row>
    <row r="48">
      <c r="A48" s="19" t="n">
        <v>46077</v>
      </c>
      <c r="B48" s="25">
        <f>IF(A48="","",CHOOSE(WEEKDAY(A48,2),"월","화","수","목","금","토","일"))</f>
        <v/>
      </c>
      <c r="C48" s="18" t="inlineStr">
        <is>
          <t>M001</t>
        </is>
      </c>
      <c r="D48" s="25">
        <f>IFERROR(IF(C48="","",INDEX(직원명부!$B$5:$B$24,MATCH(C48,직원명부!$A$5:$A$24,0))),"사번 확인")</f>
        <v/>
      </c>
      <c r="E48" s="34" t="n">
        <v>0.375</v>
      </c>
      <c r="F48" s="34" t="n">
        <v>0.75</v>
      </c>
      <c r="G48" s="28" t="n">
        <v>1</v>
      </c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inlineStr">
        <is>
          <t>정상</t>
        </is>
      </c>
      <c r="M48" s="18" t="n"/>
      <c r="N48" s="22" t="n"/>
    </row>
    <row r="49">
      <c r="A49" s="19" t="n">
        <v>46078</v>
      </c>
      <c r="B49" s="25">
        <f>IF(A49="","",CHOOSE(WEEKDAY(A49,2),"월","화","수","목","금","토","일"))</f>
        <v/>
      </c>
      <c r="C49" s="18" t="inlineStr">
        <is>
          <t>M001</t>
        </is>
      </c>
      <c r="D49" s="25">
        <f>IFERROR(IF(C49="","",INDEX(직원명부!$B$5:$B$24,MATCH(C49,직원명부!$A$5:$A$24,0))),"사번 확인")</f>
        <v/>
      </c>
      <c r="E49" s="34" t="n">
        <v>0.375</v>
      </c>
      <c r="F49" s="34" t="n">
        <v>0.75</v>
      </c>
      <c r="G49" s="28" t="n">
        <v>1</v>
      </c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inlineStr">
        <is>
          <t>정상</t>
        </is>
      </c>
      <c r="M49" s="18" t="n"/>
      <c r="N49" s="22" t="n"/>
    </row>
    <row r="50">
      <c r="A50" s="19" t="n">
        <v>46079</v>
      </c>
      <c r="B50" s="25">
        <f>IF(A50="","",CHOOSE(WEEKDAY(A50,2),"월","화","수","목","금","토","일"))</f>
        <v/>
      </c>
      <c r="C50" s="18" t="inlineStr">
        <is>
          <t>M001</t>
        </is>
      </c>
      <c r="D50" s="25">
        <f>IFERROR(IF(C50="","",INDEX(직원명부!$B$5:$B$24,MATCH(C50,직원명부!$A$5:$A$24,0))),"사번 확인")</f>
        <v/>
      </c>
      <c r="E50" s="34" t="n">
        <v>0.375</v>
      </c>
      <c r="F50" s="34" t="n">
        <v>0.75</v>
      </c>
      <c r="G50" s="28" t="n">
        <v>1</v>
      </c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inlineStr">
        <is>
          <t>정상</t>
        </is>
      </c>
      <c r="M50" s="18" t="n"/>
      <c r="N50" s="22" t="n"/>
    </row>
    <row r="51">
      <c r="A51" s="19" t="n">
        <v>46080</v>
      </c>
      <c r="B51" s="25">
        <f>IF(A51="","",CHOOSE(WEEKDAY(A51,2),"월","화","수","목","금","토","일"))</f>
        <v/>
      </c>
      <c r="C51" s="18" t="inlineStr">
        <is>
          <t>M001</t>
        </is>
      </c>
      <c r="D51" s="25">
        <f>IFERROR(IF(C51="","",INDEX(직원명부!$B$5:$B$24,MATCH(C51,직원명부!$A$5:$A$24,0))),"사번 확인")</f>
        <v/>
      </c>
      <c r="E51" s="34" t="n">
        <v>0.375</v>
      </c>
      <c r="F51" s="34" t="n">
        <v>0.75</v>
      </c>
      <c r="G51" s="28" t="n">
        <v>1</v>
      </c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inlineStr">
        <is>
          <t>정상</t>
        </is>
      </c>
      <c r="M51" s="18" t="n"/>
      <c r="N51" s="22" t="n"/>
    </row>
    <row r="52">
      <c r="A52" s="19" t="n">
        <v>46081</v>
      </c>
      <c r="B52" s="25">
        <f>IF(A52="","",CHOOSE(WEEKDAY(A52,2),"월","화","수","목","금","토","일"))</f>
        <v/>
      </c>
      <c r="C52" s="18" t="inlineStr">
        <is>
          <t>M001</t>
        </is>
      </c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42" t="inlineStr">
        <is>
          <t>주말</t>
        </is>
      </c>
    </row>
    <row r="53">
      <c r="A53" s="19" t="n">
        <v>46082</v>
      </c>
      <c r="B53" s="25">
        <f>IF(A53="","",CHOOSE(WEEKDAY(A53,2),"월","화","수","목","금","토","일"))</f>
        <v/>
      </c>
      <c r="C53" s="18" t="inlineStr">
        <is>
          <t>M001</t>
        </is>
      </c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42" t="inlineStr">
        <is>
          <t>삼일절</t>
        </is>
      </c>
    </row>
    <row r="54">
      <c r="A54" s="19" t="n">
        <v>46083</v>
      </c>
      <c r="B54" s="25">
        <f>IF(A54="","",CHOOSE(WEEKDAY(A54,2),"월","화","수","목","금","토","일"))</f>
        <v/>
      </c>
      <c r="C54" s="18" t="inlineStr">
        <is>
          <t>M001</t>
        </is>
      </c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42" t="inlineStr">
        <is>
          <t>삼일절 대체공휴일</t>
        </is>
      </c>
    </row>
    <row r="55">
      <c r="A55" s="19" t="n">
        <v>46084</v>
      </c>
      <c r="B55" s="25">
        <f>IF(A55="","",CHOOSE(WEEKDAY(A55,2),"월","화","수","목","금","토","일"))</f>
        <v/>
      </c>
      <c r="C55" s="18" t="inlineStr">
        <is>
          <t>M001</t>
        </is>
      </c>
      <c r="D55" s="25">
        <f>IFERROR(IF(C55="","",INDEX(직원명부!$B$5:$B$24,MATCH(C55,직원명부!$A$5:$A$24,0))),"사번 확인")</f>
        <v/>
      </c>
      <c r="E55" s="34" t="n">
        <v>0.375</v>
      </c>
      <c r="F55" s="34" t="n">
        <v>0.75</v>
      </c>
      <c r="G55" s="28" t="n">
        <v>1</v>
      </c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inlineStr">
        <is>
          <t>정상</t>
        </is>
      </c>
      <c r="M55" s="18" t="n"/>
      <c r="N55" s="22" t="n"/>
    </row>
    <row r="56">
      <c r="A56" s="19" t="n">
        <v>46085</v>
      </c>
      <c r="B56" s="25">
        <f>IF(A56="","",CHOOSE(WEEKDAY(A56,2),"월","화","수","목","금","토","일"))</f>
        <v/>
      </c>
      <c r="C56" s="18" t="inlineStr">
        <is>
          <t>M001</t>
        </is>
      </c>
      <c r="D56" s="25">
        <f>IFERROR(IF(C56="","",INDEX(직원명부!$B$5:$B$24,MATCH(C56,직원명부!$A$5:$A$24,0))),"사번 확인")</f>
        <v/>
      </c>
      <c r="E56" s="34" t="n">
        <v>0.375</v>
      </c>
      <c r="F56" s="34" t="n">
        <v>0.75</v>
      </c>
      <c r="G56" s="28" t="n">
        <v>1</v>
      </c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inlineStr">
        <is>
          <t>정상</t>
        </is>
      </c>
      <c r="M56" s="18" t="n"/>
      <c r="N56" s="22" t="n"/>
    </row>
    <row r="57">
      <c r="A57" s="19" t="n">
        <v>46086</v>
      </c>
      <c r="B57" s="25">
        <f>IF(A57="","",CHOOSE(WEEKDAY(A57,2),"월","화","수","목","금","토","일"))</f>
        <v/>
      </c>
      <c r="C57" s="18" t="inlineStr">
        <is>
          <t>M001</t>
        </is>
      </c>
      <c r="D57" s="25">
        <f>IFERROR(IF(C57="","",INDEX(직원명부!$B$5:$B$24,MATCH(C57,직원명부!$A$5:$A$24,0))),"사번 확인")</f>
        <v/>
      </c>
      <c r="E57" s="34" t="n">
        <v>0.375</v>
      </c>
      <c r="F57" s="34" t="n">
        <v>0.75</v>
      </c>
      <c r="G57" s="28" t="n">
        <v>1</v>
      </c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inlineStr">
        <is>
          <t>정상</t>
        </is>
      </c>
      <c r="M57" s="18" t="n"/>
      <c r="N57" s="22" t="n"/>
    </row>
    <row r="58">
      <c r="A58" s="19" t="n">
        <v>46087</v>
      </c>
      <c r="B58" s="25">
        <f>IF(A58="","",CHOOSE(WEEKDAY(A58,2),"월","화","수","목","금","토","일"))</f>
        <v/>
      </c>
      <c r="C58" s="18" t="inlineStr">
        <is>
          <t>M001</t>
        </is>
      </c>
      <c r="D58" s="25">
        <f>IFERROR(IF(C58="","",INDEX(직원명부!$B$5:$B$24,MATCH(C58,직원명부!$A$5:$A$24,0))),"사번 확인")</f>
        <v/>
      </c>
      <c r="E58" s="34" t="n">
        <v>0.375</v>
      </c>
      <c r="F58" s="34" t="n">
        <v>0.75</v>
      </c>
      <c r="G58" s="28" t="n">
        <v>1</v>
      </c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inlineStr">
        <is>
          <t>정상</t>
        </is>
      </c>
      <c r="M58" s="18" t="n"/>
      <c r="N58" s="22" t="n"/>
    </row>
    <row r="59">
      <c r="A59" s="19" t="n">
        <v>46088</v>
      </c>
      <c r="B59" s="25">
        <f>IF(A59="","",CHOOSE(WEEKDAY(A59,2),"월","화","수","목","금","토","일"))</f>
        <v/>
      </c>
      <c r="C59" s="18" t="inlineStr">
        <is>
          <t>M001</t>
        </is>
      </c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42" t="inlineStr">
        <is>
          <t>주말</t>
        </is>
      </c>
    </row>
    <row r="60">
      <c r="A60" s="19" t="n">
        <v>46089</v>
      </c>
      <c r="B60" s="25">
        <f>IF(A60="","",CHOOSE(WEEKDAY(A60,2),"월","화","수","목","금","토","일"))</f>
        <v/>
      </c>
      <c r="C60" s="18" t="inlineStr">
        <is>
          <t>M001</t>
        </is>
      </c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42" t="inlineStr">
        <is>
          <t>주말</t>
        </is>
      </c>
    </row>
    <row r="61">
      <c r="A61" s="19" t="n">
        <v>46090</v>
      </c>
      <c r="B61" s="25">
        <f>IF(A61="","",CHOOSE(WEEKDAY(A61,2),"월","화","수","목","금","토","일"))</f>
        <v/>
      </c>
      <c r="C61" s="18" t="inlineStr">
        <is>
          <t>M001</t>
        </is>
      </c>
      <c r="D61" s="25">
        <f>IFERROR(IF(C61="","",INDEX(직원명부!$B$5:$B$24,MATCH(C61,직원명부!$A$5:$A$24,0))),"사번 확인")</f>
        <v/>
      </c>
      <c r="E61" s="34" t="n">
        <v>0.375</v>
      </c>
      <c r="F61" s="34" t="n">
        <v>0.75</v>
      </c>
      <c r="G61" s="28" t="n">
        <v>1</v>
      </c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inlineStr">
        <is>
          <t>정상</t>
        </is>
      </c>
      <c r="M61" s="18" t="n"/>
      <c r="N61" s="22" t="n"/>
    </row>
    <row r="62">
      <c r="A62" s="19" t="n">
        <v>46091</v>
      </c>
      <c r="B62" s="25">
        <f>IF(A62="","",CHOOSE(WEEKDAY(A62,2),"월","화","수","목","금","토","일"))</f>
        <v/>
      </c>
      <c r="C62" s="18" t="inlineStr">
        <is>
          <t>M001</t>
        </is>
      </c>
      <c r="D62" s="25">
        <f>IFERROR(IF(C62="","",INDEX(직원명부!$B$5:$B$24,MATCH(C62,직원명부!$A$5:$A$24,0))),"사번 확인")</f>
        <v/>
      </c>
      <c r="E62" s="34" t="n">
        <v>0.375</v>
      </c>
      <c r="F62" s="34" t="n">
        <v>0.75</v>
      </c>
      <c r="G62" s="28" t="n">
        <v>1</v>
      </c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inlineStr">
        <is>
          <t>정상</t>
        </is>
      </c>
      <c r="M62" s="18" t="n"/>
      <c r="N62" s="22" t="n"/>
    </row>
    <row r="63">
      <c r="A63" s="19" t="n">
        <v>46092</v>
      </c>
      <c r="B63" s="25">
        <f>IF(A63="","",CHOOSE(WEEKDAY(A63,2),"월","화","수","목","금","토","일"))</f>
        <v/>
      </c>
      <c r="C63" s="18" t="inlineStr">
        <is>
          <t>M001</t>
        </is>
      </c>
      <c r="D63" s="25">
        <f>IFERROR(IF(C63="","",INDEX(직원명부!$B$5:$B$24,MATCH(C63,직원명부!$A$5:$A$24,0))),"사번 확인")</f>
        <v/>
      </c>
      <c r="E63" s="34" t="n">
        <v>0.375</v>
      </c>
      <c r="F63" s="34" t="n">
        <v>0.75</v>
      </c>
      <c r="G63" s="28" t="n">
        <v>1</v>
      </c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inlineStr">
        <is>
          <t>정상</t>
        </is>
      </c>
      <c r="M63" s="18" t="n"/>
      <c r="N63" s="22" t="n"/>
    </row>
    <row r="64">
      <c r="A64" s="19" t="n">
        <v>46093</v>
      </c>
      <c r="B64" s="25">
        <f>IF(A64="","",CHOOSE(WEEKDAY(A64,2),"월","화","수","목","금","토","일"))</f>
        <v/>
      </c>
      <c r="C64" s="18" t="inlineStr">
        <is>
          <t>M001</t>
        </is>
      </c>
      <c r="D64" s="25">
        <f>IFERROR(IF(C64="","",INDEX(직원명부!$B$5:$B$24,MATCH(C64,직원명부!$A$5:$A$24,0))),"사번 확인")</f>
        <v/>
      </c>
      <c r="E64" s="34" t="n">
        <v>0.375</v>
      </c>
      <c r="F64" s="34" t="n">
        <v>0.75</v>
      </c>
      <c r="G64" s="28" t="n">
        <v>1</v>
      </c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inlineStr">
        <is>
          <t>정상</t>
        </is>
      </c>
      <c r="M64" s="18" t="n"/>
      <c r="N64" s="22" t="n"/>
    </row>
    <row r="65">
      <c r="A65" s="19" t="n">
        <v>46094</v>
      </c>
      <c r="B65" s="25">
        <f>IF(A65="","",CHOOSE(WEEKDAY(A65,2),"월","화","수","목","금","토","일"))</f>
        <v/>
      </c>
      <c r="C65" s="18" t="inlineStr">
        <is>
          <t>M001</t>
        </is>
      </c>
      <c r="D65" s="25">
        <f>IFERROR(IF(C65="","",INDEX(직원명부!$B$5:$B$24,MATCH(C65,직원명부!$A$5:$A$24,0))),"사번 확인")</f>
        <v/>
      </c>
      <c r="E65" s="34" t="n">
        <v>0.375</v>
      </c>
      <c r="F65" s="34" t="n">
        <v>0.75</v>
      </c>
      <c r="G65" s="28" t="n">
        <v>1</v>
      </c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inlineStr">
        <is>
          <t>정상</t>
        </is>
      </c>
      <c r="M65" s="18" t="n"/>
      <c r="N65" s="22" t="n"/>
    </row>
    <row r="66">
      <c r="A66" s="19" t="n">
        <v>46095</v>
      </c>
      <c r="B66" s="25">
        <f>IF(A66="","",CHOOSE(WEEKDAY(A66,2),"월","화","수","목","금","토","일"))</f>
        <v/>
      </c>
      <c r="C66" s="18" t="inlineStr">
        <is>
          <t>M001</t>
        </is>
      </c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42" t="inlineStr">
        <is>
          <t>주말</t>
        </is>
      </c>
    </row>
    <row r="67">
      <c r="A67" s="19" t="n">
        <v>46096</v>
      </c>
      <c r="B67" s="25">
        <f>IF(A67="","",CHOOSE(WEEKDAY(A67,2),"월","화","수","목","금","토","일"))</f>
        <v/>
      </c>
      <c r="C67" s="18" t="inlineStr">
        <is>
          <t>M001</t>
        </is>
      </c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42" t="inlineStr">
        <is>
          <t>주말</t>
        </is>
      </c>
    </row>
    <row r="68">
      <c r="A68" s="19" t="n">
        <v>46097</v>
      </c>
      <c r="B68" s="25">
        <f>IF(A68="","",CHOOSE(WEEKDAY(A68,2),"월","화","수","목","금","토","일"))</f>
        <v/>
      </c>
      <c r="C68" s="18" t="inlineStr">
        <is>
          <t>M001</t>
        </is>
      </c>
      <c r="D68" s="25">
        <f>IFERROR(IF(C68="","",INDEX(직원명부!$B$5:$B$24,MATCH(C68,직원명부!$A$5:$A$24,0))),"사번 확인")</f>
        <v/>
      </c>
      <c r="E68" s="34" t="n">
        <v>0.375</v>
      </c>
      <c r="F68" s="34" t="n">
        <v>0.75</v>
      </c>
      <c r="G68" s="28" t="n">
        <v>1</v>
      </c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inlineStr">
        <is>
          <t>정상</t>
        </is>
      </c>
      <c r="M68" s="18" t="n"/>
      <c r="N68" s="22" t="n"/>
    </row>
    <row r="69">
      <c r="A69" s="19" t="n">
        <v>46098</v>
      </c>
      <c r="B69" s="25">
        <f>IF(A69="","",CHOOSE(WEEKDAY(A69,2),"월","화","수","목","금","토","일"))</f>
        <v/>
      </c>
      <c r="C69" s="18" t="inlineStr">
        <is>
          <t>M001</t>
        </is>
      </c>
      <c r="D69" s="25">
        <f>IFERROR(IF(C69="","",INDEX(직원명부!$B$5:$B$24,MATCH(C69,직원명부!$A$5:$A$24,0))),"사번 확인")</f>
        <v/>
      </c>
      <c r="E69" s="34" t="n">
        <v>0.375</v>
      </c>
      <c r="F69" s="34" t="n">
        <v>0.75</v>
      </c>
      <c r="G69" s="28" t="n">
        <v>1</v>
      </c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inlineStr">
        <is>
          <t>정상</t>
        </is>
      </c>
      <c r="M69" s="18" t="n"/>
      <c r="N69" s="22" t="n"/>
    </row>
    <row r="70">
      <c r="A70" s="19" t="n">
        <v>46099</v>
      </c>
      <c r="B70" s="25">
        <f>IF(A70="","",CHOOSE(WEEKDAY(A70,2),"월","화","수","목","금","토","일"))</f>
        <v/>
      </c>
      <c r="C70" s="18" t="inlineStr">
        <is>
          <t>M001</t>
        </is>
      </c>
      <c r="D70" s="25">
        <f>IFERROR(IF(C70="","",INDEX(직원명부!$B$5:$B$24,MATCH(C70,직원명부!$A$5:$A$24,0))),"사번 확인")</f>
        <v/>
      </c>
      <c r="E70" s="34" t="n">
        <v>0.375</v>
      </c>
      <c r="F70" s="34" t="n">
        <v>0.75</v>
      </c>
      <c r="G70" s="28" t="n">
        <v>1</v>
      </c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inlineStr">
        <is>
          <t>정상</t>
        </is>
      </c>
      <c r="M70" s="18" t="n"/>
      <c r="N70" s="22" t="n"/>
    </row>
    <row r="71">
      <c r="A71" s="19" t="n">
        <v>46100</v>
      </c>
      <c r="B71" s="25">
        <f>IF(A71="","",CHOOSE(WEEKDAY(A71,2),"월","화","수","목","금","토","일"))</f>
        <v/>
      </c>
      <c r="C71" s="18" t="inlineStr">
        <is>
          <t>M001</t>
        </is>
      </c>
      <c r="D71" s="25">
        <f>IFERROR(IF(C71="","",INDEX(직원명부!$B$5:$B$24,MATCH(C71,직원명부!$A$5:$A$24,0))),"사번 확인")</f>
        <v/>
      </c>
      <c r="E71" s="34" t="n">
        <v>0.375</v>
      </c>
      <c r="F71" s="34" t="n">
        <v>0.75</v>
      </c>
      <c r="G71" s="28" t="n">
        <v>1</v>
      </c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inlineStr">
        <is>
          <t>정상</t>
        </is>
      </c>
      <c r="M71" s="18" t="n"/>
      <c r="N71" s="22" t="n"/>
    </row>
    <row r="72">
      <c r="A72" s="19" t="n">
        <v>46101</v>
      </c>
      <c r="B72" s="25">
        <f>IF(A72="","",CHOOSE(WEEKDAY(A72,2),"월","화","수","목","금","토","일"))</f>
        <v/>
      </c>
      <c r="C72" s="18" t="inlineStr">
        <is>
          <t>M001</t>
        </is>
      </c>
      <c r="D72" s="25">
        <f>IFERROR(IF(C72="","",INDEX(직원명부!$B$5:$B$24,MATCH(C72,직원명부!$A$5:$A$24,0))),"사번 확인")</f>
        <v/>
      </c>
      <c r="E72" s="34" t="n">
        <v>0.375</v>
      </c>
      <c r="F72" s="34" t="n">
        <v>0.75</v>
      </c>
      <c r="G72" s="28" t="n">
        <v>1</v>
      </c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inlineStr">
        <is>
          <t>정상</t>
        </is>
      </c>
      <c r="M72" s="18" t="n"/>
      <c r="N72" s="22" t="n"/>
    </row>
    <row r="73">
      <c r="A73" s="19" t="n">
        <v>46102</v>
      </c>
      <c r="B73" s="25">
        <f>IF(A73="","",CHOOSE(WEEKDAY(A73,2),"월","화","수","목","금","토","일"))</f>
        <v/>
      </c>
      <c r="C73" s="18" t="inlineStr">
        <is>
          <t>M001</t>
        </is>
      </c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42" t="inlineStr">
        <is>
          <t>주말</t>
        </is>
      </c>
    </row>
    <row r="74">
      <c r="A74" s="19" t="n">
        <v>46103</v>
      </c>
      <c r="B74" s="25">
        <f>IF(A74="","",CHOOSE(WEEKDAY(A74,2),"월","화","수","목","금","토","일"))</f>
        <v/>
      </c>
      <c r="C74" s="18" t="inlineStr">
        <is>
          <t>M001</t>
        </is>
      </c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42" t="inlineStr">
        <is>
          <t>주말</t>
        </is>
      </c>
    </row>
    <row r="75">
      <c r="A75" s="19" t="n">
        <v>46104</v>
      </c>
      <c r="B75" s="25">
        <f>IF(A75="","",CHOOSE(WEEKDAY(A75,2),"월","화","수","목","금","토","일"))</f>
        <v/>
      </c>
      <c r="C75" s="18" t="inlineStr">
        <is>
          <t>M001</t>
        </is>
      </c>
      <c r="D75" s="25">
        <f>IFERROR(IF(C75="","",INDEX(직원명부!$B$5:$B$24,MATCH(C75,직원명부!$A$5:$A$24,0))),"사번 확인")</f>
        <v/>
      </c>
      <c r="E75" s="34" t="n">
        <v>0.375</v>
      </c>
      <c r="F75" s="34" t="n">
        <v>0.75</v>
      </c>
      <c r="G75" s="28" t="n">
        <v>1</v>
      </c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inlineStr">
        <is>
          <t>정상</t>
        </is>
      </c>
      <c r="M75" s="18" t="n"/>
      <c r="N75" s="22" t="n"/>
    </row>
    <row r="76">
      <c r="A76" s="19" t="n">
        <v>46105</v>
      </c>
      <c r="B76" s="25">
        <f>IF(A76="","",CHOOSE(WEEKDAY(A76,2),"월","화","수","목","금","토","일"))</f>
        <v/>
      </c>
      <c r="C76" s="18" t="inlineStr">
        <is>
          <t>M001</t>
        </is>
      </c>
      <c r="D76" s="25">
        <f>IFERROR(IF(C76="","",INDEX(직원명부!$B$5:$B$24,MATCH(C76,직원명부!$A$5:$A$24,0))),"사번 확인")</f>
        <v/>
      </c>
      <c r="E76" s="34" t="n">
        <v>0.375</v>
      </c>
      <c r="F76" s="34" t="n">
        <v>0.75</v>
      </c>
      <c r="G76" s="28" t="n">
        <v>1</v>
      </c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inlineStr">
        <is>
          <t>정상</t>
        </is>
      </c>
      <c r="M76" s="18" t="n"/>
      <c r="N76" s="22" t="n"/>
    </row>
    <row r="77">
      <c r="A77" s="19" t="n">
        <v>46106</v>
      </c>
      <c r="B77" s="25">
        <f>IF(A77="","",CHOOSE(WEEKDAY(A77,2),"월","화","수","목","금","토","일"))</f>
        <v/>
      </c>
      <c r="C77" s="18" t="inlineStr">
        <is>
          <t>M001</t>
        </is>
      </c>
      <c r="D77" s="25">
        <f>IFERROR(IF(C77="","",INDEX(직원명부!$B$5:$B$24,MATCH(C77,직원명부!$A$5:$A$24,0))),"사번 확인")</f>
        <v/>
      </c>
      <c r="E77" s="34" t="n">
        <v>0.375</v>
      </c>
      <c r="F77" s="34" t="n">
        <v>0.75</v>
      </c>
      <c r="G77" s="28" t="n">
        <v>1</v>
      </c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inlineStr">
        <is>
          <t>정상</t>
        </is>
      </c>
      <c r="M77" s="18" t="n"/>
      <c r="N77" s="22" t="n"/>
    </row>
    <row r="78">
      <c r="A78" s="19" t="n">
        <v>46107</v>
      </c>
      <c r="B78" s="25">
        <f>IF(A78="","",CHOOSE(WEEKDAY(A78,2),"월","화","수","목","금","토","일"))</f>
        <v/>
      </c>
      <c r="C78" s="18" t="inlineStr">
        <is>
          <t>M001</t>
        </is>
      </c>
      <c r="D78" s="25">
        <f>IFERROR(IF(C78="","",INDEX(직원명부!$B$5:$B$24,MATCH(C78,직원명부!$A$5:$A$24,0))),"사번 확인")</f>
        <v/>
      </c>
      <c r="E78" s="34" t="n">
        <v>0.375</v>
      </c>
      <c r="F78" s="34" t="n">
        <v>0.75</v>
      </c>
      <c r="G78" s="28" t="n">
        <v>1</v>
      </c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inlineStr">
        <is>
          <t>정상</t>
        </is>
      </c>
      <c r="M78" s="18" t="n"/>
      <c r="N78" s="22" t="n"/>
    </row>
    <row r="79">
      <c r="A79" s="19" t="n">
        <v>46108</v>
      </c>
      <c r="B79" s="25">
        <f>IF(A79="","",CHOOSE(WEEKDAY(A79,2),"월","화","수","목","금","토","일"))</f>
        <v/>
      </c>
      <c r="C79" s="18" t="inlineStr">
        <is>
          <t>M001</t>
        </is>
      </c>
      <c r="D79" s="25">
        <f>IFERROR(IF(C79="","",INDEX(직원명부!$B$5:$B$24,MATCH(C79,직원명부!$A$5:$A$24,0))),"사번 확인")</f>
        <v/>
      </c>
      <c r="E79" s="34" t="n">
        <v>0.375</v>
      </c>
      <c r="F79" s="34" t="n">
        <v>0.75</v>
      </c>
      <c r="G79" s="28" t="n">
        <v>1</v>
      </c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inlineStr">
        <is>
          <t>정상</t>
        </is>
      </c>
      <c r="M79" s="18" t="n"/>
      <c r="N79" s="22" t="n"/>
    </row>
    <row r="80">
      <c r="A80" s="19" t="n">
        <v>46109</v>
      </c>
      <c r="B80" s="25">
        <f>IF(A80="","",CHOOSE(WEEKDAY(A80,2),"월","화","수","목","금","토","일"))</f>
        <v/>
      </c>
      <c r="C80" s="18" t="inlineStr">
        <is>
          <t>M001</t>
        </is>
      </c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42" t="inlineStr">
        <is>
          <t>주말</t>
        </is>
      </c>
    </row>
    <row r="81">
      <c r="A81" s="19" t="n">
        <v>46110</v>
      </c>
      <c r="B81" s="25">
        <f>IF(A81="","",CHOOSE(WEEKDAY(A81,2),"월","화","수","목","금","토","일"))</f>
        <v/>
      </c>
      <c r="C81" s="18" t="inlineStr">
        <is>
          <t>M001</t>
        </is>
      </c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42" t="inlineStr">
        <is>
          <t>주말</t>
        </is>
      </c>
    </row>
    <row r="82">
      <c r="A82" s="19" t="n">
        <v>46111</v>
      </c>
      <c r="B82" s="25">
        <f>IF(A82="","",CHOOSE(WEEKDAY(A82,2),"월","화","수","목","금","토","일"))</f>
        <v/>
      </c>
      <c r="C82" s="18" t="inlineStr">
        <is>
          <t>M001</t>
        </is>
      </c>
      <c r="D82" s="25">
        <f>IFERROR(IF(C82="","",INDEX(직원명부!$B$5:$B$24,MATCH(C82,직원명부!$A$5:$A$24,0))),"사번 확인")</f>
        <v/>
      </c>
      <c r="E82" s="34" t="n">
        <v>0.375</v>
      </c>
      <c r="F82" s="34" t="n">
        <v>0.75</v>
      </c>
      <c r="G82" s="28" t="n">
        <v>1</v>
      </c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inlineStr">
        <is>
          <t>정상</t>
        </is>
      </c>
      <c r="M82" s="18" t="n"/>
      <c r="N82" s="22" t="n"/>
    </row>
    <row r="83">
      <c r="A83" s="19" t="n">
        <v>46112</v>
      </c>
      <c r="B83" s="25">
        <f>IF(A83="","",CHOOSE(WEEKDAY(A83,2),"월","화","수","목","금","토","일"))</f>
        <v/>
      </c>
      <c r="C83" s="18" t="inlineStr">
        <is>
          <t>M001</t>
        </is>
      </c>
      <c r="D83" s="25">
        <f>IFERROR(IF(C83="","",INDEX(직원명부!$B$5:$B$24,MATCH(C83,직원명부!$A$5:$A$24,0))),"사번 확인")</f>
        <v/>
      </c>
      <c r="E83" s="34" t="n">
        <v>0.375</v>
      </c>
      <c r="F83" s="34" t="n">
        <v>0.75</v>
      </c>
      <c r="G83" s="28" t="n">
        <v>1</v>
      </c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inlineStr">
        <is>
          <t>정상</t>
        </is>
      </c>
      <c r="M83" s="18" t="n"/>
      <c r="N83" s="22" t="n"/>
    </row>
    <row r="84">
      <c r="A84" s="19" t="n">
        <v>46113</v>
      </c>
      <c r="B84" s="25">
        <f>IF(A84="","",CHOOSE(WEEKDAY(A84,2),"월","화","수","목","금","토","일"))</f>
        <v/>
      </c>
      <c r="C84" s="18" t="inlineStr">
        <is>
          <t>M001</t>
        </is>
      </c>
      <c r="D84" s="25">
        <f>IFERROR(IF(C84="","",INDEX(직원명부!$B$5:$B$24,MATCH(C84,직원명부!$A$5:$A$24,0))),"사번 확인")</f>
        <v/>
      </c>
      <c r="E84" s="34" t="n">
        <v>0.375</v>
      </c>
      <c r="F84" s="34" t="n">
        <v>0.75</v>
      </c>
      <c r="G84" s="28" t="n">
        <v>1</v>
      </c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inlineStr">
        <is>
          <t>정상</t>
        </is>
      </c>
      <c r="M84" s="18" t="n"/>
      <c r="N84" s="22" t="n"/>
    </row>
    <row r="85">
      <c r="A85" s="19" t="n">
        <v>46114</v>
      </c>
      <c r="B85" s="25">
        <f>IF(A85="","",CHOOSE(WEEKDAY(A85,2),"월","화","수","목","금","토","일"))</f>
        <v/>
      </c>
      <c r="C85" s="18" t="inlineStr">
        <is>
          <t>M001</t>
        </is>
      </c>
      <c r="D85" s="25">
        <f>IFERROR(IF(C85="","",INDEX(직원명부!$B$5:$B$24,MATCH(C85,직원명부!$A$5:$A$24,0))),"사번 확인")</f>
        <v/>
      </c>
      <c r="E85" s="34" t="n">
        <v>0.375</v>
      </c>
      <c r="F85" s="34" t="n">
        <v>0.75</v>
      </c>
      <c r="G85" s="28" t="n">
        <v>1</v>
      </c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inlineStr">
        <is>
          <t>정상</t>
        </is>
      </c>
      <c r="M85" s="18" t="n"/>
      <c r="N85" s="22" t="n"/>
    </row>
    <row r="86">
      <c r="A86" s="19" t="n">
        <v>46115</v>
      </c>
      <c r="B86" s="25">
        <f>IF(A86="","",CHOOSE(WEEKDAY(A86,2),"월","화","수","목","금","토","일"))</f>
        <v/>
      </c>
      <c r="C86" s="18" t="inlineStr">
        <is>
          <t>M001</t>
        </is>
      </c>
      <c r="D86" s="25">
        <f>IFERROR(IF(C86="","",INDEX(직원명부!$B$5:$B$24,MATCH(C86,직원명부!$A$5:$A$24,0))),"사번 확인")</f>
        <v/>
      </c>
      <c r="E86" s="34" t="n">
        <v>0.375</v>
      </c>
      <c r="F86" s="34" t="n">
        <v>0.75</v>
      </c>
      <c r="G86" s="28" t="n">
        <v>1</v>
      </c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inlineStr">
        <is>
          <t>정상</t>
        </is>
      </c>
      <c r="M86" s="18" t="n"/>
      <c r="N86" s="22" t="n"/>
    </row>
    <row r="87">
      <c r="A87" s="19" t="n">
        <v>46116</v>
      </c>
      <c r="B87" s="25">
        <f>IF(A87="","",CHOOSE(WEEKDAY(A87,2),"월","화","수","목","금","토","일"))</f>
        <v/>
      </c>
      <c r="C87" s="18" t="inlineStr">
        <is>
          <t>M001</t>
        </is>
      </c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42" t="inlineStr">
        <is>
          <t>주말</t>
        </is>
      </c>
    </row>
    <row r="88">
      <c r="A88" s="19" t="n">
        <v>46117</v>
      </c>
      <c r="B88" s="25">
        <f>IF(A88="","",CHOOSE(WEEKDAY(A88,2),"월","화","수","목","금","토","일"))</f>
        <v/>
      </c>
      <c r="C88" s="18" t="inlineStr">
        <is>
          <t>M001</t>
        </is>
      </c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42" t="inlineStr">
        <is>
          <t>주말</t>
        </is>
      </c>
    </row>
    <row r="89">
      <c r="A89" s="19" t="n">
        <v>46118</v>
      </c>
      <c r="B89" s="25">
        <f>IF(A89="","",CHOOSE(WEEKDAY(A89,2),"월","화","수","목","금","토","일"))</f>
        <v/>
      </c>
      <c r="C89" s="18" t="inlineStr">
        <is>
          <t>M001</t>
        </is>
      </c>
      <c r="D89" s="25">
        <f>IFERROR(IF(C89="","",INDEX(직원명부!$B$5:$B$24,MATCH(C89,직원명부!$A$5:$A$24,0))),"사번 확인")</f>
        <v/>
      </c>
      <c r="E89" s="34" t="n">
        <v>0.375</v>
      </c>
      <c r="F89" s="34" t="n">
        <v>0.75</v>
      </c>
      <c r="G89" s="28" t="n">
        <v>1</v>
      </c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inlineStr">
        <is>
          <t>정상</t>
        </is>
      </c>
      <c r="M89" s="18" t="n"/>
      <c r="N89" s="22" t="n"/>
    </row>
    <row r="90">
      <c r="A90" s="19" t="n">
        <v>46119</v>
      </c>
      <c r="B90" s="25">
        <f>IF(A90="","",CHOOSE(WEEKDAY(A90,2),"월","화","수","목","금","토","일"))</f>
        <v/>
      </c>
      <c r="C90" s="18" t="inlineStr">
        <is>
          <t>M001</t>
        </is>
      </c>
      <c r="D90" s="25">
        <f>IFERROR(IF(C90="","",INDEX(직원명부!$B$5:$B$24,MATCH(C90,직원명부!$A$5:$A$24,0))),"사번 확인")</f>
        <v/>
      </c>
      <c r="E90" s="34" t="n">
        <v>0.375</v>
      </c>
      <c r="F90" s="34" t="n">
        <v>0.75</v>
      </c>
      <c r="G90" s="28" t="n">
        <v>1</v>
      </c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inlineStr">
        <is>
          <t>정상</t>
        </is>
      </c>
      <c r="M90" s="18" t="n"/>
      <c r="N90" s="22" t="n"/>
    </row>
    <row r="91">
      <c r="A91" s="19" t="n">
        <v>46120</v>
      </c>
      <c r="B91" s="25">
        <f>IF(A91="","",CHOOSE(WEEKDAY(A91,2),"월","화","수","목","금","토","일"))</f>
        <v/>
      </c>
      <c r="C91" s="18" t="inlineStr">
        <is>
          <t>M001</t>
        </is>
      </c>
      <c r="D91" s="25">
        <f>IFERROR(IF(C91="","",INDEX(직원명부!$B$5:$B$24,MATCH(C91,직원명부!$A$5:$A$24,0))),"사번 확인")</f>
        <v/>
      </c>
      <c r="E91" s="34" t="n">
        <v>0.375</v>
      </c>
      <c r="F91" s="34" t="n">
        <v>0.75</v>
      </c>
      <c r="G91" s="28" t="n">
        <v>1</v>
      </c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inlineStr">
        <is>
          <t>정상</t>
        </is>
      </c>
      <c r="M91" s="18" t="n"/>
      <c r="N91" s="22" t="n"/>
    </row>
    <row r="92">
      <c r="A92" s="19" t="n">
        <v>46121</v>
      </c>
      <c r="B92" s="25">
        <f>IF(A92="","",CHOOSE(WEEKDAY(A92,2),"월","화","수","목","금","토","일"))</f>
        <v/>
      </c>
      <c r="C92" s="18" t="inlineStr">
        <is>
          <t>M001</t>
        </is>
      </c>
      <c r="D92" s="25">
        <f>IFERROR(IF(C92="","",INDEX(직원명부!$B$5:$B$24,MATCH(C92,직원명부!$A$5:$A$24,0))),"사번 확인")</f>
        <v/>
      </c>
      <c r="E92" s="34" t="n">
        <v>0.375</v>
      </c>
      <c r="F92" s="34" t="n">
        <v>0.75</v>
      </c>
      <c r="G92" s="28" t="n">
        <v>1</v>
      </c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inlineStr">
        <is>
          <t>정상</t>
        </is>
      </c>
      <c r="M92" s="18" t="n"/>
      <c r="N92" s="22" t="n"/>
    </row>
    <row r="93">
      <c r="A93" s="19" t="n">
        <v>46122</v>
      </c>
      <c r="B93" s="25">
        <f>IF(A93="","",CHOOSE(WEEKDAY(A93,2),"월","화","수","목","금","토","일"))</f>
        <v/>
      </c>
      <c r="C93" s="18" t="inlineStr">
        <is>
          <t>M001</t>
        </is>
      </c>
      <c r="D93" s="25">
        <f>IFERROR(IF(C93="","",INDEX(직원명부!$B$5:$B$24,MATCH(C93,직원명부!$A$5:$A$24,0))),"사번 확인")</f>
        <v/>
      </c>
      <c r="E93" s="34" t="n">
        <v>0.375</v>
      </c>
      <c r="F93" s="34" t="n">
        <v>0.75</v>
      </c>
      <c r="G93" s="28" t="n">
        <v>1</v>
      </c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inlineStr">
        <is>
          <t>정상</t>
        </is>
      </c>
      <c r="M93" s="18" t="n"/>
      <c r="N93" s="22" t="n"/>
    </row>
    <row r="94">
      <c r="A94" s="19" t="n">
        <v>46123</v>
      </c>
      <c r="B94" s="25">
        <f>IF(A94="","",CHOOSE(WEEKDAY(A94,2),"월","화","수","목","금","토","일"))</f>
        <v/>
      </c>
      <c r="C94" s="18" t="inlineStr">
        <is>
          <t>M001</t>
        </is>
      </c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42" t="inlineStr">
        <is>
          <t>주말</t>
        </is>
      </c>
    </row>
    <row r="95">
      <c r="A95" s="19" t="n">
        <v>46124</v>
      </c>
      <c r="B95" s="25">
        <f>IF(A95="","",CHOOSE(WEEKDAY(A95,2),"월","화","수","목","금","토","일"))</f>
        <v/>
      </c>
      <c r="C95" s="18" t="inlineStr">
        <is>
          <t>M001</t>
        </is>
      </c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42" t="inlineStr">
        <is>
          <t>주말</t>
        </is>
      </c>
    </row>
    <row r="96">
      <c r="A96" s="19" t="n">
        <v>46125</v>
      </c>
      <c r="B96" s="25">
        <f>IF(A96="","",CHOOSE(WEEKDAY(A96,2),"월","화","수","목","금","토","일"))</f>
        <v/>
      </c>
      <c r="C96" s="18" t="inlineStr">
        <is>
          <t>M001</t>
        </is>
      </c>
      <c r="D96" s="25">
        <f>IFERROR(IF(C96="","",INDEX(직원명부!$B$5:$B$24,MATCH(C96,직원명부!$A$5:$A$24,0))),"사번 확인")</f>
        <v/>
      </c>
      <c r="E96" s="34" t="n">
        <v>0.375</v>
      </c>
      <c r="F96" s="34" t="n">
        <v>0.75</v>
      </c>
      <c r="G96" s="28" t="n">
        <v>1</v>
      </c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inlineStr">
        <is>
          <t>정상</t>
        </is>
      </c>
      <c r="M96" s="18" t="n"/>
      <c r="N96" s="22" t="n"/>
    </row>
    <row r="97">
      <c r="A97" s="19" t="n">
        <v>46126</v>
      </c>
      <c r="B97" s="25">
        <f>IF(A97="","",CHOOSE(WEEKDAY(A97,2),"월","화","수","목","금","토","일"))</f>
        <v/>
      </c>
      <c r="C97" s="18" t="inlineStr">
        <is>
          <t>M001</t>
        </is>
      </c>
      <c r="D97" s="25">
        <f>IFERROR(IF(C97="","",INDEX(직원명부!$B$5:$B$24,MATCH(C97,직원명부!$A$5:$A$24,0))),"사번 확인")</f>
        <v/>
      </c>
      <c r="E97" s="34" t="n">
        <v>0.375</v>
      </c>
      <c r="F97" s="34" t="n">
        <v>0.75</v>
      </c>
      <c r="G97" s="28" t="n">
        <v>1</v>
      </c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inlineStr">
        <is>
          <t>정상</t>
        </is>
      </c>
      <c r="M97" s="18" t="n"/>
      <c r="N97" s="22" t="n"/>
    </row>
    <row r="98">
      <c r="A98" s="19" t="n">
        <v>46127</v>
      </c>
      <c r="B98" s="25">
        <f>IF(A98="","",CHOOSE(WEEKDAY(A98,2),"월","화","수","목","금","토","일"))</f>
        <v/>
      </c>
      <c r="C98" s="18" t="inlineStr">
        <is>
          <t>M001</t>
        </is>
      </c>
      <c r="D98" s="25">
        <f>IFERROR(IF(C98="","",INDEX(직원명부!$B$5:$B$24,MATCH(C98,직원명부!$A$5:$A$24,0))),"사번 확인")</f>
        <v/>
      </c>
      <c r="E98" s="34" t="n">
        <v>0.375</v>
      </c>
      <c r="F98" s="34" t="n">
        <v>0.75</v>
      </c>
      <c r="G98" s="28" t="n">
        <v>1</v>
      </c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inlineStr">
        <is>
          <t>정상</t>
        </is>
      </c>
      <c r="M98" s="18" t="n"/>
      <c r="N98" s="22" t="n"/>
    </row>
    <row r="99">
      <c r="A99" s="19" t="n">
        <v>46128</v>
      </c>
      <c r="B99" s="25">
        <f>IF(A99="","",CHOOSE(WEEKDAY(A99,2),"월","화","수","목","금","토","일"))</f>
        <v/>
      </c>
      <c r="C99" s="18" t="inlineStr">
        <is>
          <t>M001</t>
        </is>
      </c>
      <c r="D99" s="25">
        <f>IFERROR(IF(C99="","",INDEX(직원명부!$B$5:$B$24,MATCH(C99,직원명부!$A$5:$A$24,0))),"사번 확인")</f>
        <v/>
      </c>
      <c r="E99" s="34" t="n">
        <v>0.375</v>
      </c>
      <c r="F99" s="34" t="n">
        <v>0.75</v>
      </c>
      <c r="G99" s="28" t="n">
        <v>1</v>
      </c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inlineStr">
        <is>
          <t>정상</t>
        </is>
      </c>
      <c r="M99" s="18" t="n"/>
      <c r="N99" s="22" t="n"/>
    </row>
    <row r="100">
      <c r="A100" s="19" t="n">
        <v>46129</v>
      </c>
      <c r="B100" s="25">
        <f>IF(A100="","",CHOOSE(WEEKDAY(A100,2),"월","화","수","목","금","토","일"))</f>
        <v/>
      </c>
      <c r="C100" s="18" t="inlineStr">
        <is>
          <t>M001</t>
        </is>
      </c>
      <c r="D100" s="25">
        <f>IFERROR(IF(C100="","",INDEX(직원명부!$B$5:$B$24,MATCH(C100,직원명부!$A$5:$A$24,0))),"사번 확인")</f>
        <v/>
      </c>
      <c r="E100" s="34" t="n">
        <v>0.375</v>
      </c>
      <c r="F100" s="34" t="n">
        <v>0.75</v>
      </c>
      <c r="G100" s="28" t="n">
        <v>1</v>
      </c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inlineStr">
        <is>
          <t>정상</t>
        </is>
      </c>
      <c r="M100" s="18" t="n"/>
      <c r="N100" s="22" t="n"/>
    </row>
    <row r="101">
      <c r="A101" s="19" t="n">
        <v>46130</v>
      </c>
      <c r="B101" s="25">
        <f>IF(A101="","",CHOOSE(WEEKDAY(A101,2),"월","화","수","목","금","토","일"))</f>
        <v/>
      </c>
      <c r="C101" s="18" t="inlineStr">
        <is>
          <t>M001</t>
        </is>
      </c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42" t="inlineStr">
        <is>
          <t>주말</t>
        </is>
      </c>
    </row>
    <row r="102">
      <c r="A102" s="19" t="n">
        <v>46131</v>
      </c>
      <c r="B102" s="25">
        <f>IF(A102="","",CHOOSE(WEEKDAY(A102,2),"월","화","수","목","금","토","일"))</f>
        <v/>
      </c>
      <c r="C102" s="18" t="inlineStr">
        <is>
          <t>M001</t>
        </is>
      </c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42" t="inlineStr">
        <is>
          <t>주말</t>
        </is>
      </c>
    </row>
    <row r="103">
      <c r="A103" s="19" t="n">
        <v>46132</v>
      </c>
      <c r="B103" s="25">
        <f>IF(A103="","",CHOOSE(WEEKDAY(A103,2),"월","화","수","목","금","토","일"))</f>
        <v/>
      </c>
      <c r="C103" s="18" t="inlineStr">
        <is>
          <t>M001</t>
        </is>
      </c>
      <c r="D103" s="25">
        <f>IFERROR(IF(C103="","",INDEX(직원명부!$B$5:$B$24,MATCH(C103,직원명부!$A$5:$A$24,0))),"사번 확인")</f>
        <v/>
      </c>
      <c r="E103" s="34" t="n">
        <v>0.375</v>
      </c>
      <c r="F103" s="34" t="n">
        <v>0.75</v>
      </c>
      <c r="G103" s="28" t="n">
        <v>1</v>
      </c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inlineStr">
        <is>
          <t>정상</t>
        </is>
      </c>
      <c r="M103" s="18" t="n"/>
      <c r="N103" s="22" t="n"/>
    </row>
    <row r="104">
      <c r="A104" s="19" t="n">
        <v>46133</v>
      </c>
      <c r="B104" s="25">
        <f>IF(A104="","",CHOOSE(WEEKDAY(A104,2),"월","화","수","목","금","토","일"))</f>
        <v/>
      </c>
      <c r="C104" s="18" t="inlineStr">
        <is>
          <t>M001</t>
        </is>
      </c>
      <c r="D104" s="25">
        <f>IFERROR(IF(C104="","",INDEX(직원명부!$B$5:$B$24,MATCH(C104,직원명부!$A$5:$A$24,0))),"사번 확인")</f>
        <v/>
      </c>
      <c r="E104" s="34" t="n">
        <v>0.375</v>
      </c>
      <c r="F104" s="34" t="n">
        <v>0.75</v>
      </c>
      <c r="G104" s="28" t="n">
        <v>1</v>
      </c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inlineStr">
        <is>
          <t>정상</t>
        </is>
      </c>
      <c r="M104" s="18" t="n"/>
      <c r="N104" s="22" t="n"/>
    </row>
    <row r="105">
      <c r="A105" s="19" t="n">
        <v>46134</v>
      </c>
      <c r="B105" s="25">
        <f>IF(A105="","",CHOOSE(WEEKDAY(A105,2),"월","화","수","목","금","토","일"))</f>
        <v/>
      </c>
      <c r="C105" s="18" t="inlineStr">
        <is>
          <t>M001</t>
        </is>
      </c>
      <c r="D105" s="25">
        <f>IFERROR(IF(C105="","",INDEX(직원명부!$B$5:$B$24,MATCH(C105,직원명부!$A$5:$A$24,0))),"사번 확인")</f>
        <v/>
      </c>
      <c r="E105" s="34" t="n">
        <v>0.375</v>
      </c>
      <c r="F105" s="34" t="n">
        <v>0.75</v>
      </c>
      <c r="G105" s="28" t="n">
        <v>1</v>
      </c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inlineStr">
        <is>
          <t>정상</t>
        </is>
      </c>
      <c r="M105" s="18" t="n"/>
      <c r="N105" s="22" t="n"/>
    </row>
    <row r="106">
      <c r="A106" s="19" t="n">
        <v>46135</v>
      </c>
      <c r="B106" s="25">
        <f>IF(A106="","",CHOOSE(WEEKDAY(A106,2),"월","화","수","목","금","토","일"))</f>
        <v/>
      </c>
      <c r="C106" s="18" t="inlineStr">
        <is>
          <t>M001</t>
        </is>
      </c>
      <c r="D106" s="25">
        <f>IFERROR(IF(C106="","",INDEX(직원명부!$B$5:$B$24,MATCH(C106,직원명부!$A$5:$A$24,0))),"사번 확인")</f>
        <v/>
      </c>
      <c r="E106" s="34" t="n">
        <v>0.375</v>
      </c>
      <c r="F106" s="34" t="n">
        <v>0.75</v>
      </c>
      <c r="G106" s="28" t="n">
        <v>1</v>
      </c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inlineStr">
        <is>
          <t>정상</t>
        </is>
      </c>
      <c r="M106" s="18" t="n"/>
      <c r="N106" s="22" t="n"/>
    </row>
    <row r="107">
      <c r="A107" s="19" t="n">
        <v>46136</v>
      </c>
      <c r="B107" s="25">
        <f>IF(A107="","",CHOOSE(WEEKDAY(A107,2),"월","화","수","목","금","토","일"))</f>
        <v/>
      </c>
      <c r="C107" s="18" t="inlineStr">
        <is>
          <t>M001</t>
        </is>
      </c>
      <c r="D107" s="25">
        <f>IFERROR(IF(C107="","",INDEX(직원명부!$B$5:$B$24,MATCH(C107,직원명부!$A$5:$A$24,0))),"사번 확인")</f>
        <v/>
      </c>
      <c r="E107" s="34" t="n">
        <v>0.375</v>
      </c>
      <c r="F107" s="34" t="n">
        <v>0.75</v>
      </c>
      <c r="G107" s="28" t="n">
        <v>1</v>
      </c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inlineStr">
        <is>
          <t>정상</t>
        </is>
      </c>
      <c r="M107" s="18" t="n"/>
      <c r="N107" s="22" t="n"/>
    </row>
    <row r="108">
      <c r="A108" s="19" t="n">
        <v>46137</v>
      </c>
      <c r="B108" s="25">
        <f>IF(A108="","",CHOOSE(WEEKDAY(A108,2),"월","화","수","목","금","토","일"))</f>
        <v/>
      </c>
      <c r="C108" s="18" t="inlineStr">
        <is>
          <t>M001</t>
        </is>
      </c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42" t="inlineStr">
        <is>
          <t>주말</t>
        </is>
      </c>
    </row>
    <row r="109">
      <c r="A109" s="19" t="n">
        <v>46138</v>
      </c>
      <c r="B109" s="25">
        <f>IF(A109="","",CHOOSE(WEEKDAY(A109,2),"월","화","수","목","금","토","일"))</f>
        <v/>
      </c>
      <c r="C109" s="18" t="inlineStr">
        <is>
          <t>M001</t>
        </is>
      </c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42" t="inlineStr">
        <is>
          <t>주말</t>
        </is>
      </c>
    </row>
    <row r="110">
      <c r="A110" s="19" t="n">
        <v>46139</v>
      </c>
      <c r="B110" s="25">
        <f>IF(A110="","",CHOOSE(WEEKDAY(A110,2),"월","화","수","목","금","토","일"))</f>
        <v/>
      </c>
      <c r="C110" s="18" t="inlineStr">
        <is>
          <t>M001</t>
        </is>
      </c>
      <c r="D110" s="25">
        <f>IFERROR(IF(C110="","",INDEX(직원명부!$B$5:$B$24,MATCH(C110,직원명부!$A$5:$A$24,0))),"사번 확인")</f>
        <v/>
      </c>
      <c r="E110" s="34" t="n">
        <v>0.375</v>
      </c>
      <c r="F110" s="34" t="n">
        <v>0.75</v>
      </c>
      <c r="G110" s="28" t="n">
        <v>1</v>
      </c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inlineStr">
        <is>
          <t>정상</t>
        </is>
      </c>
      <c r="M110" s="18" t="n"/>
      <c r="N110" s="22" t="n"/>
    </row>
    <row r="111">
      <c r="A111" s="19" t="n">
        <v>46140</v>
      </c>
      <c r="B111" s="25">
        <f>IF(A111="","",CHOOSE(WEEKDAY(A111,2),"월","화","수","목","금","토","일"))</f>
        <v/>
      </c>
      <c r="C111" s="18" t="inlineStr">
        <is>
          <t>M001</t>
        </is>
      </c>
      <c r="D111" s="25">
        <f>IFERROR(IF(C111="","",INDEX(직원명부!$B$5:$B$24,MATCH(C111,직원명부!$A$5:$A$24,0))),"사번 확인")</f>
        <v/>
      </c>
      <c r="E111" s="34" t="n">
        <v>0.375</v>
      </c>
      <c r="F111" s="34" t="n">
        <v>0.75</v>
      </c>
      <c r="G111" s="28" t="n">
        <v>1</v>
      </c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inlineStr">
        <is>
          <t>정상</t>
        </is>
      </c>
      <c r="M111" s="18" t="n"/>
      <c r="N111" s="22" t="n"/>
    </row>
    <row r="112">
      <c r="A112" s="19" t="n">
        <v>46141</v>
      </c>
      <c r="B112" s="25">
        <f>IF(A112="","",CHOOSE(WEEKDAY(A112,2),"월","화","수","목","금","토","일"))</f>
        <v/>
      </c>
      <c r="C112" s="18" t="inlineStr">
        <is>
          <t>M001</t>
        </is>
      </c>
      <c r="D112" s="25">
        <f>IFERROR(IF(C112="","",INDEX(직원명부!$B$5:$B$24,MATCH(C112,직원명부!$A$5:$A$24,0))),"사번 확인")</f>
        <v/>
      </c>
      <c r="E112" s="34" t="n">
        <v>0.375</v>
      </c>
      <c r="F112" s="34" t="n">
        <v>0.75</v>
      </c>
      <c r="G112" s="28" t="n">
        <v>1</v>
      </c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inlineStr">
        <is>
          <t>정상</t>
        </is>
      </c>
      <c r="M112" s="18" t="n"/>
      <c r="N112" s="22" t="n"/>
    </row>
    <row r="113">
      <c r="A113" s="19" t="n">
        <v>46142</v>
      </c>
      <c r="B113" s="25">
        <f>IF(A113="","",CHOOSE(WEEKDAY(A113,2),"월","화","수","목","금","토","일"))</f>
        <v/>
      </c>
      <c r="C113" s="18" t="inlineStr">
        <is>
          <t>M001</t>
        </is>
      </c>
      <c r="D113" s="25">
        <f>IFERROR(IF(C113="","",INDEX(직원명부!$B$5:$B$24,MATCH(C113,직원명부!$A$5:$A$24,0))),"사번 확인")</f>
        <v/>
      </c>
      <c r="E113" s="34" t="n">
        <v>0.375</v>
      </c>
      <c r="F113" s="34" t="n">
        <v>0.75</v>
      </c>
      <c r="G113" s="28" t="n">
        <v>1</v>
      </c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inlineStr">
        <is>
          <t>정상</t>
        </is>
      </c>
      <c r="M113" s="18" t="n"/>
      <c r="N113" s="22" t="n"/>
    </row>
    <row r="114">
      <c r="A114" s="19" t="n">
        <v>46143</v>
      </c>
      <c r="B114" s="25">
        <f>IF(A114="","",CHOOSE(WEEKDAY(A114,2),"월","화","수","목","금","토","일"))</f>
        <v/>
      </c>
      <c r="C114" s="18" t="inlineStr">
        <is>
          <t>M001</t>
        </is>
      </c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42" t="inlineStr">
        <is>
          <t>근로자의 날</t>
        </is>
      </c>
    </row>
    <row r="115">
      <c r="A115" s="19" t="n">
        <v>46144</v>
      </c>
      <c r="B115" s="25">
        <f>IF(A115="","",CHOOSE(WEEKDAY(A115,2),"월","화","수","목","금","토","일"))</f>
        <v/>
      </c>
      <c r="C115" s="18" t="inlineStr">
        <is>
          <t>M001</t>
        </is>
      </c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42" t="inlineStr">
        <is>
          <t>주말</t>
        </is>
      </c>
    </row>
    <row r="116">
      <c r="A116" s="19" t="n">
        <v>46145</v>
      </c>
      <c r="B116" s="25">
        <f>IF(A116="","",CHOOSE(WEEKDAY(A116,2),"월","화","수","목","금","토","일"))</f>
        <v/>
      </c>
      <c r="C116" s="18" t="inlineStr">
        <is>
          <t>M001</t>
        </is>
      </c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42" t="inlineStr">
        <is>
          <t>주말</t>
        </is>
      </c>
    </row>
    <row r="117">
      <c r="A117" s="19" t="n">
        <v>46146</v>
      </c>
      <c r="B117" s="25">
        <f>IF(A117="","",CHOOSE(WEEKDAY(A117,2),"월","화","수","목","금","토","일"))</f>
        <v/>
      </c>
      <c r="C117" s="18" t="inlineStr">
        <is>
          <t>M001</t>
        </is>
      </c>
      <c r="D117" s="25">
        <f>IFERROR(IF(C117="","",INDEX(직원명부!$B$5:$B$24,MATCH(C117,직원명부!$A$5:$A$24,0))),"사번 확인")</f>
        <v/>
      </c>
      <c r="E117" s="34" t="n">
        <v>0.375</v>
      </c>
      <c r="F117" s="34" t="n">
        <v>0.75</v>
      </c>
      <c r="G117" s="28" t="n">
        <v>1</v>
      </c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inlineStr">
        <is>
          <t>정상</t>
        </is>
      </c>
      <c r="M117" s="18" t="n"/>
      <c r="N117" s="22" t="n"/>
    </row>
    <row r="118">
      <c r="A118" s="19" t="n">
        <v>46147</v>
      </c>
      <c r="B118" s="25">
        <f>IF(A118="","",CHOOSE(WEEKDAY(A118,2),"월","화","수","목","금","토","일"))</f>
        <v/>
      </c>
      <c r="C118" s="18" t="inlineStr">
        <is>
          <t>M001</t>
        </is>
      </c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42" t="inlineStr">
        <is>
          <t>어린이날</t>
        </is>
      </c>
    </row>
    <row r="119">
      <c r="A119" s="19" t="n">
        <v>46148</v>
      </c>
      <c r="B119" s="25">
        <f>IF(A119="","",CHOOSE(WEEKDAY(A119,2),"월","화","수","목","금","토","일"))</f>
        <v/>
      </c>
      <c r="C119" s="18" t="inlineStr">
        <is>
          <t>M001</t>
        </is>
      </c>
      <c r="D119" s="25">
        <f>IFERROR(IF(C119="","",INDEX(직원명부!$B$5:$B$24,MATCH(C119,직원명부!$A$5:$A$24,0))),"사번 확인")</f>
        <v/>
      </c>
      <c r="E119" s="34" t="n">
        <v>0.375</v>
      </c>
      <c r="F119" s="34" t="n">
        <v>0.75</v>
      </c>
      <c r="G119" s="28" t="n">
        <v>1</v>
      </c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inlineStr">
        <is>
          <t>정상</t>
        </is>
      </c>
      <c r="M119" s="18" t="n"/>
      <c r="N119" s="22" t="n"/>
    </row>
    <row r="120">
      <c r="A120" s="19" t="n">
        <v>46149</v>
      </c>
      <c r="B120" s="25">
        <f>IF(A120="","",CHOOSE(WEEKDAY(A120,2),"월","화","수","목","금","토","일"))</f>
        <v/>
      </c>
      <c r="C120" s="18" t="inlineStr">
        <is>
          <t>M001</t>
        </is>
      </c>
      <c r="D120" s="25">
        <f>IFERROR(IF(C120="","",INDEX(직원명부!$B$5:$B$24,MATCH(C120,직원명부!$A$5:$A$24,0))),"사번 확인")</f>
        <v/>
      </c>
      <c r="E120" s="34" t="n">
        <v>0.375</v>
      </c>
      <c r="F120" s="34" t="n">
        <v>0.75</v>
      </c>
      <c r="G120" s="28" t="n">
        <v>1</v>
      </c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inlineStr">
        <is>
          <t>정상</t>
        </is>
      </c>
      <c r="M120" s="18" t="n"/>
      <c r="N120" s="22" t="n"/>
    </row>
    <row r="121">
      <c r="A121" s="19" t="n">
        <v>46150</v>
      </c>
      <c r="B121" s="25">
        <f>IF(A121="","",CHOOSE(WEEKDAY(A121,2),"월","화","수","목","금","토","일"))</f>
        <v/>
      </c>
      <c r="C121" s="18" t="inlineStr">
        <is>
          <t>M001</t>
        </is>
      </c>
      <c r="D121" s="25">
        <f>IFERROR(IF(C121="","",INDEX(직원명부!$B$5:$B$24,MATCH(C121,직원명부!$A$5:$A$24,0))),"사번 확인")</f>
        <v/>
      </c>
      <c r="E121" s="34" t="n">
        <v>0.375</v>
      </c>
      <c r="F121" s="34" t="n">
        <v>0.75</v>
      </c>
      <c r="G121" s="28" t="n">
        <v>1</v>
      </c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inlineStr">
        <is>
          <t>정상</t>
        </is>
      </c>
      <c r="M121" s="18" t="n"/>
      <c r="N121" s="22" t="n"/>
    </row>
    <row r="122">
      <c r="A122" s="19" t="n">
        <v>46151</v>
      </c>
      <c r="B122" s="25">
        <f>IF(A122="","",CHOOSE(WEEKDAY(A122,2),"월","화","수","목","금","토","일"))</f>
        <v/>
      </c>
      <c r="C122" s="18" t="inlineStr">
        <is>
          <t>M001</t>
        </is>
      </c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42" t="inlineStr">
        <is>
          <t>주말</t>
        </is>
      </c>
    </row>
    <row r="123">
      <c r="A123" s="19" t="n">
        <v>46152</v>
      </c>
      <c r="B123" s="25">
        <f>IF(A123="","",CHOOSE(WEEKDAY(A123,2),"월","화","수","목","금","토","일"))</f>
        <v/>
      </c>
      <c r="C123" s="18" t="inlineStr">
        <is>
          <t>M001</t>
        </is>
      </c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42" t="inlineStr">
        <is>
          <t>주말</t>
        </is>
      </c>
    </row>
    <row r="124">
      <c r="A124" s="19" t="n">
        <v>46153</v>
      </c>
      <c r="B124" s="25">
        <f>IF(A124="","",CHOOSE(WEEKDAY(A124,2),"월","화","수","목","금","토","일"))</f>
        <v/>
      </c>
      <c r="C124" s="18" t="inlineStr">
        <is>
          <t>M001</t>
        </is>
      </c>
      <c r="D124" s="25">
        <f>IFERROR(IF(C124="","",INDEX(직원명부!$B$5:$B$24,MATCH(C124,직원명부!$A$5:$A$24,0))),"사번 확인")</f>
        <v/>
      </c>
      <c r="E124" s="34" t="n">
        <v>0.375</v>
      </c>
      <c r="F124" s="34" t="n">
        <v>0.75</v>
      </c>
      <c r="G124" s="28" t="n">
        <v>1</v>
      </c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inlineStr">
        <is>
          <t>정상</t>
        </is>
      </c>
      <c r="M124" s="18" t="n"/>
      <c r="N124" s="22" t="n"/>
    </row>
    <row r="125">
      <c r="A125" s="19" t="n">
        <v>46154</v>
      </c>
      <c r="B125" s="25">
        <f>IF(A125="","",CHOOSE(WEEKDAY(A125,2),"월","화","수","목","금","토","일"))</f>
        <v/>
      </c>
      <c r="C125" s="18" t="inlineStr">
        <is>
          <t>M001</t>
        </is>
      </c>
      <c r="D125" s="25">
        <f>IFERROR(IF(C125="","",INDEX(직원명부!$B$5:$B$24,MATCH(C125,직원명부!$A$5:$A$24,0))),"사번 확인")</f>
        <v/>
      </c>
      <c r="E125" s="34" t="n">
        <v>0.375</v>
      </c>
      <c r="F125" s="34" t="n">
        <v>0.75</v>
      </c>
      <c r="G125" s="28" t="n">
        <v>1</v>
      </c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inlineStr">
        <is>
          <t>정상</t>
        </is>
      </c>
      <c r="M125" s="18" t="n"/>
      <c r="N125" s="22" t="n"/>
    </row>
    <row r="126">
      <c r="A126" s="19" t="n">
        <v>46155</v>
      </c>
      <c r="B126" s="25">
        <f>IF(A126="","",CHOOSE(WEEKDAY(A126,2),"월","화","수","목","금","토","일"))</f>
        <v/>
      </c>
      <c r="C126" s="18" t="inlineStr">
        <is>
          <t>M001</t>
        </is>
      </c>
      <c r="D126" s="25">
        <f>IFERROR(IF(C126="","",INDEX(직원명부!$B$5:$B$24,MATCH(C126,직원명부!$A$5:$A$24,0))),"사번 확인")</f>
        <v/>
      </c>
      <c r="E126" s="34" t="n">
        <v>0.375</v>
      </c>
      <c r="F126" s="34" t="n">
        <v>0.75</v>
      </c>
      <c r="G126" s="28" t="n">
        <v>1</v>
      </c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inlineStr">
        <is>
          <t>정상</t>
        </is>
      </c>
      <c r="M126" s="18" t="n"/>
      <c r="N126" s="22" t="n"/>
    </row>
    <row r="127">
      <c r="A127" s="19" t="n">
        <v>46156</v>
      </c>
      <c r="B127" s="25">
        <f>IF(A127="","",CHOOSE(WEEKDAY(A127,2),"월","화","수","목","금","토","일"))</f>
        <v/>
      </c>
      <c r="C127" s="18" t="inlineStr">
        <is>
          <t>M001</t>
        </is>
      </c>
      <c r="D127" s="25">
        <f>IFERROR(IF(C127="","",INDEX(직원명부!$B$5:$B$24,MATCH(C127,직원명부!$A$5:$A$24,0))),"사번 확인")</f>
        <v/>
      </c>
      <c r="E127" s="34" t="n">
        <v>0.375</v>
      </c>
      <c r="F127" s="34" t="n">
        <v>0.75</v>
      </c>
      <c r="G127" s="28" t="n">
        <v>1</v>
      </c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inlineStr">
        <is>
          <t>정상</t>
        </is>
      </c>
      <c r="M127" s="18" t="n"/>
      <c r="N127" s="22" t="n"/>
    </row>
    <row r="128">
      <c r="A128" s="19" t="n">
        <v>46157</v>
      </c>
      <c r="B128" s="25">
        <f>IF(A128="","",CHOOSE(WEEKDAY(A128,2),"월","화","수","목","금","토","일"))</f>
        <v/>
      </c>
      <c r="C128" s="18" t="inlineStr">
        <is>
          <t>M001</t>
        </is>
      </c>
      <c r="D128" s="25">
        <f>IFERROR(IF(C128="","",INDEX(직원명부!$B$5:$B$24,MATCH(C128,직원명부!$A$5:$A$24,0))),"사번 확인")</f>
        <v/>
      </c>
      <c r="E128" s="34" t="n">
        <v>0.375</v>
      </c>
      <c r="F128" s="34" t="n">
        <v>0.75</v>
      </c>
      <c r="G128" s="28" t="n">
        <v>1</v>
      </c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inlineStr">
        <is>
          <t>정상</t>
        </is>
      </c>
      <c r="M128" s="18" t="n"/>
      <c r="N128" s="22" t="n"/>
    </row>
    <row r="129">
      <c r="A129" s="19" t="n">
        <v>46158</v>
      </c>
      <c r="B129" s="25">
        <f>IF(A129="","",CHOOSE(WEEKDAY(A129,2),"월","화","수","목","금","토","일"))</f>
        <v/>
      </c>
      <c r="C129" s="18" t="inlineStr">
        <is>
          <t>M001</t>
        </is>
      </c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42" t="inlineStr">
        <is>
          <t>주말</t>
        </is>
      </c>
    </row>
    <row r="130">
      <c r="A130" s="19" t="n">
        <v>46159</v>
      </c>
      <c r="B130" s="25">
        <f>IF(A130="","",CHOOSE(WEEKDAY(A130,2),"월","화","수","목","금","토","일"))</f>
        <v/>
      </c>
      <c r="C130" s="18" t="inlineStr">
        <is>
          <t>M001</t>
        </is>
      </c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42" t="inlineStr">
        <is>
          <t>주말</t>
        </is>
      </c>
    </row>
    <row r="131">
      <c r="A131" s="19" t="n">
        <v>46160</v>
      </c>
      <c r="B131" s="25">
        <f>IF(A131="","",CHOOSE(WEEKDAY(A131,2),"월","화","수","목","금","토","일"))</f>
        <v/>
      </c>
      <c r="C131" s="18" t="inlineStr">
        <is>
          <t>M001</t>
        </is>
      </c>
      <c r="D131" s="25">
        <f>IFERROR(IF(C131="","",INDEX(직원명부!$B$5:$B$24,MATCH(C131,직원명부!$A$5:$A$24,0))),"사번 확인")</f>
        <v/>
      </c>
      <c r="E131" s="34" t="n">
        <v>0.375</v>
      </c>
      <c r="F131" s="34" t="n">
        <v>0.75</v>
      </c>
      <c r="G131" s="28" t="n">
        <v>1</v>
      </c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inlineStr">
        <is>
          <t>정상</t>
        </is>
      </c>
      <c r="M131" s="18" t="n"/>
      <c r="N131" s="22" t="n"/>
    </row>
    <row r="132">
      <c r="A132" s="19" t="n">
        <v>46161</v>
      </c>
      <c r="B132" s="25">
        <f>IF(A132="","",CHOOSE(WEEKDAY(A132,2),"월","화","수","목","금","토","일"))</f>
        <v/>
      </c>
      <c r="C132" s="18" t="inlineStr">
        <is>
          <t>M001</t>
        </is>
      </c>
      <c r="D132" s="25">
        <f>IFERROR(IF(C132="","",INDEX(직원명부!$B$5:$B$24,MATCH(C132,직원명부!$A$5:$A$24,0))),"사번 확인")</f>
        <v/>
      </c>
      <c r="E132" s="34" t="n">
        <v>0.375</v>
      </c>
      <c r="F132" s="34" t="n">
        <v>0.75</v>
      </c>
      <c r="G132" s="28" t="n">
        <v>1</v>
      </c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inlineStr">
        <is>
          <t>정상</t>
        </is>
      </c>
      <c r="M132" s="18" t="n"/>
      <c r="N132" s="22" t="n"/>
    </row>
    <row r="133">
      <c r="A133" s="19" t="n">
        <v>46162</v>
      </c>
      <c r="B133" s="25">
        <f>IF(A133="","",CHOOSE(WEEKDAY(A133,2),"월","화","수","목","금","토","일"))</f>
        <v/>
      </c>
      <c r="C133" s="18" t="inlineStr">
        <is>
          <t>M001</t>
        </is>
      </c>
      <c r="D133" s="25">
        <f>IFERROR(IF(C133="","",INDEX(직원명부!$B$5:$B$24,MATCH(C133,직원명부!$A$5:$A$24,0))),"사번 확인")</f>
        <v/>
      </c>
      <c r="E133" s="34" t="n">
        <v>0.375</v>
      </c>
      <c r="F133" s="34" t="n">
        <v>0.75</v>
      </c>
      <c r="G133" s="28" t="n">
        <v>1</v>
      </c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inlineStr">
        <is>
          <t>정상</t>
        </is>
      </c>
      <c r="M133" s="18" t="n"/>
      <c r="N133" s="22" t="n"/>
    </row>
    <row r="134">
      <c r="A134" s="19" t="n">
        <v>46163</v>
      </c>
      <c r="B134" s="25">
        <f>IF(A134="","",CHOOSE(WEEKDAY(A134,2),"월","화","수","목","금","토","일"))</f>
        <v/>
      </c>
      <c r="C134" s="18" t="inlineStr">
        <is>
          <t>M001</t>
        </is>
      </c>
      <c r="D134" s="25">
        <f>IFERROR(IF(C134="","",INDEX(직원명부!$B$5:$B$24,MATCH(C134,직원명부!$A$5:$A$24,0))),"사번 확인")</f>
        <v/>
      </c>
      <c r="E134" s="34" t="n">
        <v>0.375</v>
      </c>
      <c r="F134" s="34" t="n">
        <v>0.75</v>
      </c>
      <c r="G134" s="28" t="n">
        <v>1</v>
      </c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inlineStr">
        <is>
          <t>정상</t>
        </is>
      </c>
      <c r="M134" s="18" t="n"/>
      <c r="N134" s="22" t="n"/>
    </row>
    <row r="135">
      <c r="A135" s="19" t="n">
        <v>46164</v>
      </c>
      <c r="B135" s="25">
        <f>IF(A135="","",CHOOSE(WEEKDAY(A135,2),"월","화","수","목","금","토","일"))</f>
        <v/>
      </c>
      <c r="C135" s="18" t="inlineStr">
        <is>
          <t>M001</t>
        </is>
      </c>
      <c r="D135" s="25">
        <f>IFERROR(IF(C135="","",INDEX(직원명부!$B$5:$B$24,MATCH(C135,직원명부!$A$5:$A$24,0))),"사번 확인")</f>
        <v/>
      </c>
      <c r="E135" s="34" t="n">
        <v>0.375</v>
      </c>
      <c r="F135" s="34" t="n">
        <v>0.75</v>
      </c>
      <c r="G135" s="28" t="n">
        <v>1</v>
      </c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inlineStr">
        <is>
          <t>정상</t>
        </is>
      </c>
      <c r="M135" s="18" t="n"/>
      <c r="N135" s="22" t="n"/>
    </row>
    <row r="136">
      <c r="A136" s="19" t="n">
        <v>46165</v>
      </c>
      <c r="B136" s="25">
        <f>IF(A136="","",CHOOSE(WEEKDAY(A136,2),"월","화","수","목","금","토","일"))</f>
        <v/>
      </c>
      <c r="C136" s="18" t="inlineStr">
        <is>
          <t>M001</t>
        </is>
      </c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42" t="inlineStr">
        <is>
          <t>주말</t>
        </is>
      </c>
    </row>
    <row r="137">
      <c r="A137" s="19" t="n">
        <v>46166</v>
      </c>
      <c r="B137" s="25">
        <f>IF(A137="","",CHOOSE(WEEKDAY(A137,2),"월","화","수","목","금","토","일"))</f>
        <v/>
      </c>
      <c r="C137" s="18" t="inlineStr">
        <is>
          <t>M001</t>
        </is>
      </c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42" t="inlineStr">
        <is>
          <t>부처님오신날</t>
        </is>
      </c>
    </row>
    <row r="138">
      <c r="A138" s="19" t="n">
        <v>46167</v>
      </c>
      <c r="B138" s="25">
        <f>IF(A138="","",CHOOSE(WEEKDAY(A138,2),"월","화","수","목","금","토","일"))</f>
        <v/>
      </c>
      <c r="C138" s="18" t="inlineStr">
        <is>
          <t>M001</t>
        </is>
      </c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42" t="inlineStr">
        <is>
          <t>부처님오신날 대체공휴일</t>
        </is>
      </c>
    </row>
    <row r="139">
      <c r="A139" s="19" t="n">
        <v>46168</v>
      </c>
      <c r="B139" s="25">
        <f>IF(A139="","",CHOOSE(WEEKDAY(A139,2),"월","화","수","목","금","토","일"))</f>
        <v/>
      </c>
      <c r="C139" s="18" t="inlineStr">
        <is>
          <t>M001</t>
        </is>
      </c>
      <c r="D139" s="25">
        <f>IFERROR(IF(C139="","",INDEX(직원명부!$B$5:$B$24,MATCH(C139,직원명부!$A$5:$A$24,0))),"사번 확인")</f>
        <v/>
      </c>
      <c r="E139" s="34" t="n">
        <v>0.375</v>
      </c>
      <c r="F139" s="34" t="n">
        <v>0.75</v>
      </c>
      <c r="G139" s="28" t="n">
        <v>1</v>
      </c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inlineStr">
        <is>
          <t>정상</t>
        </is>
      </c>
      <c r="M139" s="18" t="n"/>
      <c r="N139" s="22" t="n"/>
    </row>
    <row r="140">
      <c r="A140" s="19" t="n">
        <v>46169</v>
      </c>
      <c r="B140" s="25">
        <f>IF(A140="","",CHOOSE(WEEKDAY(A140,2),"월","화","수","목","금","토","일"))</f>
        <v/>
      </c>
      <c r="C140" s="18" t="inlineStr">
        <is>
          <t>M001</t>
        </is>
      </c>
      <c r="D140" s="25">
        <f>IFERROR(IF(C140="","",INDEX(직원명부!$B$5:$B$24,MATCH(C140,직원명부!$A$5:$A$24,0))),"사번 확인")</f>
        <v/>
      </c>
      <c r="E140" s="34" t="n">
        <v>0.375</v>
      </c>
      <c r="F140" s="34" t="n">
        <v>0.75</v>
      </c>
      <c r="G140" s="28" t="n">
        <v>1</v>
      </c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inlineStr">
        <is>
          <t>정상</t>
        </is>
      </c>
      <c r="M140" s="18" t="n"/>
      <c r="N140" s="22" t="n"/>
    </row>
    <row r="141">
      <c r="A141" s="19" t="n">
        <v>46170</v>
      </c>
      <c r="B141" s="25">
        <f>IF(A141="","",CHOOSE(WEEKDAY(A141,2),"월","화","수","목","금","토","일"))</f>
        <v/>
      </c>
      <c r="C141" s="18" t="inlineStr">
        <is>
          <t>M001</t>
        </is>
      </c>
      <c r="D141" s="25">
        <f>IFERROR(IF(C141="","",INDEX(직원명부!$B$5:$B$24,MATCH(C141,직원명부!$A$5:$A$24,0))),"사번 확인")</f>
        <v/>
      </c>
      <c r="E141" s="34" t="n">
        <v>0.375</v>
      </c>
      <c r="F141" s="34" t="n">
        <v>0.75</v>
      </c>
      <c r="G141" s="28" t="n">
        <v>1</v>
      </c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inlineStr">
        <is>
          <t>정상</t>
        </is>
      </c>
      <c r="M141" s="18" t="n"/>
      <c r="N141" s="22" t="n"/>
    </row>
    <row r="142">
      <c r="A142" s="19" t="n">
        <v>46171</v>
      </c>
      <c r="B142" s="25">
        <f>IF(A142="","",CHOOSE(WEEKDAY(A142,2),"월","화","수","목","금","토","일"))</f>
        <v/>
      </c>
      <c r="C142" s="18" t="inlineStr">
        <is>
          <t>M001</t>
        </is>
      </c>
      <c r="D142" s="25">
        <f>IFERROR(IF(C142="","",INDEX(직원명부!$B$5:$B$24,MATCH(C142,직원명부!$A$5:$A$24,0))),"사번 확인")</f>
        <v/>
      </c>
      <c r="E142" s="34" t="n">
        <v>0.375</v>
      </c>
      <c r="F142" s="34" t="n">
        <v>0.75</v>
      </c>
      <c r="G142" s="28" t="n">
        <v>1</v>
      </c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inlineStr">
        <is>
          <t>정상</t>
        </is>
      </c>
      <c r="M142" s="18" t="n"/>
      <c r="N142" s="22" t="n"/>
    </row>
    <row r="143">
      <c r="A143" s="19" t="n">
        <v>46172</v>
      </c>
      <c r="B143" s="25">
        <f>IF(A143="","",CHOOSE(WEEKDAY(A143,2),"월","화","수","목","금","토","일"))</f>
        <v/>
      </c>
      <c r="C143" s="18" t="inlineStr">
        <is>
          <t>M001</t>
        </is>
      </c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42" t="inlineStr">
        <is>
          <t>주말</t>
        </is>
      </c>
    </row>
    <row r="144">
      <c r="A144" s="19" t="n">
        <v>46173</v>
      </c>
      <c r="B144" s="25">
        <f>IF(A144="","",CHOOSE(WEEKDAY(A144,2),"월","화","수","목","금","토","일"))</f>
        <v/>
      </c>
      <c r="C144" s="18" t="inlineStr">
        <is>
          <t>M001</t>
        </is>
      </c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42" t="inlineStr">
        <is>
          <t>주말</t>
        </is>
      </c>
    </row>
    <row r="145">
      <c r="A145" s="19" t="n">
        <v>46174</v>
      </c>
      <c r="B145" s="25">
        <f>IF(A145="","",CHOOSE(WEEKDAY(A145,2),"월","화","수","목","금","토","일"))</f>
        <v/>
      </c>
      <c r="C145" s="18" t="inlineStr">
        <is>
          <t>M001</t>
        </is>
      </c>
      <c r="D145" s="25">
        <f>IFERROR(IF(C145="","",INDEX(직원명부!$B$5:$B$24,MATCH(C145,직원명부!$A$5:$A$24,0))),"사번 확인")</f>
        <v/>
      </c>
      <c r="E145" s="34" t="n">
        <v>0.375</v>
      </c>
      <c r="F145" s="34" t="n">
        <v>0.75</v>
      </c>
      <c r="G145" s="28" t="n">
        <v>1</v>
      </c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inlineStr">
        <is>
          <t>정상</t>
        </is>
      </c>
      <c r="M145" s="18" t="n"/>
      <c r="N145" s="22" t="n"/>
    </row>
    <row r="146">
      <c r="A146" s="19" t="n">
        <v>46175</v>
      </c>
      <c r="B146" s="25">
        <f>IF(A146="","",CHOOSE(WEEKDAY(A146,2),"월","화","수","목","금","토","일"))</f>
        <v/>
      </c>
      <c r="C146" s="18" t="inlineStr">
        <is>
          <t>M001</t>
        </is>
      </c>
      <c r="D146" s="25">
        <f>IFERROR(IF(C146="","",INDEX(직원명부!$B$5:$B$24,MATCH(C146,직원명부!$A$5:$A$24,0))),"사번 확인")</f>
        <v/>
      </c>
      <c r="E146" s="34" t="n">
        <v>0.375</v>
      </c>
      <c r="F146" s="34" t="n">
        <v>0.75</v>
      </c>
      <c r="G146" s="28" t="n">
        <v>1</v>
      </c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inlineStr">
        <is>
          <t>정상</t>
        </is>
      </c>
      <c r="M146" s="18" t="n"/>
      <c r="N146" s="22" t="n"/>
    </row>
    <row r="147">
      <c r="A147" s="19" t="n">
        <v>46176</v>
      </c>
      <c r="B147" s="25">
        <f>IF(A147="","",CHOOSE(WEEKDAY(A147,2),"월","화","수","목","금","토","일"))</f>
        <v/>
      </c>
      <c r="C147" s="18" t="inlineStr">
        <is>
          <t>M001</t>
        </is>
      </c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42" t="inlineStr">
        <is>
          <t>지방선거일</t>
        </is>
      </c>
    </row>
    <row r="148">
      <c r="A148" s="19" t="n">
        <v>46177</v>
      </c>
      <c r="B148" s="25">
        <f>IF(A148="","",CHOOSE(WEEKDAY(A148,2),"월","화","수","목","금","토","일"))</f>
        <v/>
      </c>
      <c r="C148" s="18" t="inlineStr">
        <is>
          <t>M001</t>
        </is>
      </c>
      <c r="D148" s="25">
        <f>IFERROR(IF(C148="","",INDEX(직원명부!$B$5:$B$24,MATCH(C148,직원명부!$A$5:$A$24,0))),"사번 확인")</f>
        <v/>
      </c>
      <c r="E148" s="34" t="n">
        <v>0.375</v>
      </c>
      <c r="F148" s="34" t="n">
        <v>0.75</v>
      </c>
      <c r="G148" s="28" t="n">
        <v>1</v>
      </c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inlineStr">
        <is>
          <t>정상</t>
        </is>
      </c>
      <c r="M148" s="18" t="n"/>
      <c r="N148" s="22" t="n"/>
    </row>
    <row r="149">
      <c r="A149" s="19" t="n">
        <v>46178</v>
      </c>
      <c r="B149" s="25">
        <f>IF(A149="","",CHOOSE(WEEKDAY(A149,2),"월","화","수","목","금","토","일"))</f>
        <v/>
      </c>
      <c r="C149" s="18" t="inlineStr">
        <is>
          <t>M001</t>
        </is>
      </c>
      <c r="D149" s="25">
        <f>IFERROR(IF(C149="","",INDEX(직원명부!$B$5:$B$24,MATCH(C149,직원명부!$A$5:$A$24,0))),"사번 확인")</f>
        <v/>
      </c>
      <c r="E149" s="34" t="n">
        <v>0.375</v>
      </c>
      <c r="F149" s="34" t="n">
        <v>0.75</v>
      </c>
      <c r="G149" s="28" t="n">
        <v>1</v>
      </c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inlineStr">
        <is>
          <t>정상</t>
        </is>
      </c>
      <c r="M149" s="18" t="n"/>
      <c r="N149" s="22" t="n"/>
    </row>
    <row r="150">
      <c r="A150" s="19" t="n">
        <v>46179</v>
      </c>
      <c r="B150" s="25">
        <f>IF(A150="","",CHOOSE(WEEKDAY(A150,2),"월","화","수","목","금","토","일"))</f>
        <v/>
      </c>
      <c r="C150" s="18" t="inlineStr">
        <is>
          <t>M001</t>
        </is>
      </c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42" t="inlineStr">
        <is>
          <t>현충일</t>
        </is>
      </c>
    </row>
    <row r="151">
      <c r="A151" s="19" t="n">
        <v>46180</v>
      </c>
      <c r="B151" s="25">
        <f>IF(A151="","",CHOOSE(WEEKDAY(A151,2),"월","화","수","목","금","토","일"))</f>
        <v/>
      </c>
      <c r="C151" s="18" t="inlineStr">
        <is>
          <t>M001</t>
        </is>
      </c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42" t="inlineStr">
        <is>
          <t>주말</t>
        </is>
      </c>
    </row>
    <row r="152">
      <c r="A152" s="19" t="n">
        <v>46181</v>
      </c>
      <c r="B152" s="25">
        <f>IF(A152="","",CHOOSE(WEEKDAY(A152,2),"월","화","수","목","금","토","일"))</f>
        <v/>
      </c>
      <c r="C152" s="18" t="inlineStr">
        <is>
          <t>M001</t>
        </is>
      </c>
      <c r="D152" s="25">
        <f>IFERROR(IF(C152="","",INDEX(직원명부!$B$5:$B$24,MATCH(C152,직원명부!$A$5:$A$24,0))),"사번 확인")</f>
        <v/>
      </c>
      <c r="E152" s="34" t="n">
        <v>0.375</v>
      </c>
      <c r="F152" s="34" t="n">
        <v>0.75</v>
      </c>
      <c r="G152" s="28" t="n">
        <v>1</v>
      </c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inlineStr">
        <is>
          <t>정상</t>
        </is>
      </c>
      <c r="M152" s="18" t="n"/>
      <c r="N152" s="22" t="n"/>
    </row>
    <row r="153">
      <c r="A153" s="19" t="n">
        <v>46182</v>
      </c>
      <c r="B153" s="25">
        <f>IF(A153="","",CHOOSE(WEEKDAY(A153,2),"월","화","수","목","금","토","일"))</f>
        <v/>
      </c>
      <c r="C153" s="18" t="inlineStr">
        <is>
          <t>M001</t>
        </is>
      </c>
      <c r="D153" s="25">
        <f>IFERROR(IF(C153="","",INDEX(직원명부!$B$5:$B$24,MATCH(C153,직원명부!$A$5:$A$24,0))),"사번 확인")</f>
        <v/>
      </c>
      <c r="E153" s="34" t="n">
        <v>0.375</v>
      </c>
      <c r="F153" s="34" t="n">
        <v>0.75</v>
      </c>
      <c r="G153" s="28" t="n">
        <v>1</v>
      </c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inlineStr">
        <is>
          <t>정상</t>
        </is>
      </c>
      <c r="M153" s="18" t="n"/>
      <c r="N153" s="22" t="n"/>
    </row>
    <row r="154">
      <c r="A154" s="19" t="n">
        <v>46183</v>
      </c>
      <c r="B154" s="25">
        <f>IF(A154="","",CHOOSE(WEEKDAY(A154,2),"월","화","수","목","금","토","일"))</f>
        <v/>
      </c>
      <c r="C154" s="18" t="inlineStr">
        <is>
          <t>M001</t>
        </is>
      </c>
      <c r="D154" s="25">
        <f>IFERROR(IF(C154="","",INDEX(직원명부!$B$5:$B$24,MATCH(C154,직원명부!$A$5:$A$24,0))),"사번 확인")</f>
        <v/>
      </c>
      <c r="E154" s="34" t="n">
        <v>0.375</v>
      </c>
      <c r="F154" s="34" t="n">
        <v>0.75</v>
      </c>
      <c r="G154" s="28" t="n">
        <v>1</v>
      </c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inlineStr">
        <is>
          <t>정상</t>
        </is>
      </c>
      <c r="M154" s="18" t="n"/>
      <c r="N154" s="22" t="n"/>
    </row>
    <row r="155">
      <c r="A155" s="19" t="n">
        <v>46184</v>
      </c>
      <c r="B155" s="25">
        <f>IF(A155="","",CHOOSE(WEEKDAY(A155,2),"월","화","수","목","금","토","일"))</f>
        <v/>
      </c>
      <c r="C155" s="18" t="inlineStr">
        <is>
          <t>M001</t>
        </is>
      </c>
      <c r="D155" s="25">
        <f>IFERROR(IF(C155="","",INDEX(직원명부!$B$5:$B$24,MATCH(C155,직원명부!$A$5:$A$24,0))),"사번 확인")</f>
        <v/>
      </c>
      <c r="E155" s="34" t="n">
        <v>0.375</v>
      </c>
      <c r="F155" s="34" t="n">
        <v>0.75</v>
      </c>
      <c r="G155" s="28" t="n">
        <v>1</v>
      </c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inlineStr">
        <is>
          <t>정상</t>
        </is>
      </c>
      <c r="M155" s="18" t="n"/>
      <c r="N155" s="22" t="n"/>
    </row>
    <row r="156">
      <c r="A156" s="19" t="n">
        <v>46185</v>
      </c>
      <c r="B156" s="25">
        <f>IF(A156="","",CHOOSE(WEEKDAY(A156,2),"월","화","수","목","금","토","일"))</f>
        <v/>
      </c>
      <c r="C156" s="18" t="inlineStr">
        <is>
          <t>M001</t>
        </is>
      </c>
      <c r="D156" s="25">
        <f>IFERROR(IF(C156="","",INDEX(직원명부!$B$5:$B$24,MATCH(C156,직원명부!$A$5:$A$24,0))),"사번 확인")</f>
        <v/>
      </c>
      <c r="E156" s="34" t="n">
        <v>0.375</v>
      </c>
      <c r="F156" s="34" t="n">
        <v>0.75</v>
      </c>
      <c r="G156" s="28" t="n">
        <v>1</v>
      </c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inlineStr">
        <is>
          <t>정상</t>
        </is>
      </c>
      <c r="M156" s="18" t="n"/>
      <c r="N156" s="22" t="n"/>
    </row>
    <row r="157">
      <c r="A157" s="19" t="n">
        <v>46186</v>
      </c>
      <c r="B157" s="25">
        <f>IF(A157="","",CHOOSE(WEEKDAY(A157,2),"월","화","수","목","금","토","일"))</f>
        <v/>
      </c>
      <c r="C157" s="18" t="inlineStr">
        <is>
          <t>M001</t>
        </is>
      </c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42" t="inlineStr">
        <is>
          <t>주말</t>
        </is>
      </c>
    </row>
    <row r="158">
      <c r="A158" s="19" t="n">
        <v>46187</v>
      </c>
      <c r="B158" s="25">
        <f>IF(A158="","",CHOOSE(WEEKDAY(A158,2),"월","화","수","목","금","토","일"))</f>
        <v/>
      </c>
      <c r="C158" s="18" t="inlineStr">
        <is>
          <t>M001</t>
        </is>
      </c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42" t="inlineStr">
        <is>
          <t>주말</t>
        </is>
      </c>
    </row>
    <row r="159">
      <c r="A159" s="19" t="n">
        <v>46188</v>
      </c>
      <c r="B159" s="25">
        <f>IF(A159="","",CHOOSE(WEEKDAY(A159,2),"월","화","수","목","금","토","일"))</f>
        <v/>
      </c>
      <c r="C159" s="18" t="inlineStr">
        <is>
          <t>M001</t>
        </is>
      </c>
      <c r="D159" s="25">
        <f>IFERROR(IF(C159="","",INDEX(직원명부!$B$5:$B$24,MATCH(C159,직원명부!$A$5:$A$24,0))),"사번 확인")</f>
        <v/>
      </c>
      <c r="E159" s="34" t="n">
        <v>0.375</v>
      </c>
      <c r="F159" s="34" t="n">
        <v>0.75</v>
      </c>
      <c r="G159" s="28" t="n">
        <v>1</v>
      </c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inlineStr">
        <is>
          <t>정상</t>
        </is>
      </c>
      <c r="M159" s="18" t="n"/>
      <c r="N159" s="22" t="n"/>
    </row>
    <row r="160">
      <c r="A160" s="19" t="n">
        <v>46189</v>
      </c>
      <c r="B160" s="25">
        <f>IF(A160="","",CHOOSE(WEEKDAY(A160,2),"월","화","수","목","금","토","일"))</f>
        <v/>
      </c>
      <c r="C160" s="18" t="inlineStr">
        <is>
          <t>M001</t>
        </is>
      </c>
      <c r="D160" s="25">
        <f>IFERROR(IF(C160="","",INDEX(직원명부!$B$5:$B$24,MATCH(C160,직원명부!$A$5:$A$24,0))),"사번 확인")</f>
        <v/>
      </c>
      <c r="E160" s="34" t="n">
        <v>0.375</v>
      </c>
      <c r="F160" s="34" t="n">
        <v>0.75</v>
      </c>
      <c r="G160" s="28" t="n">
        <v>1</v>
      </c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inlineStr">
        <is>
          <t>정상</t>
        </is>
      </c>
      <c r="M160" s="18" t="n"/>
      <c r="N160" s="22" t="n"/>
    </row>
    <row r="161">
      <c r="A161" s="19" t="n">
        <v>46190</v>
      </c>
      <c r="B161" s="25">
        <f>IF(A161="","",CHOOSE(WEEKDAY(A161,2),"월","화","수","목","금","토","일"))</f>
        <v/>
      </c>
      <c r="C161" s="18" t="inlineStr">
        <is>
          <t>M001</t>
        </is>
      </c>
      <c r="D161" s="25">
        <f>IFERROR(IF(C161="","",INDEX(직원명부!$B$5:$B$24,MATCH(C161,직원명부!$A$5:$A$24,0))),"사번 확인")</f>
        <v/>
      </c>
      <c r="E161" s="34" t="n">
        <v>0.375</v>
      </c>
      <c r="F161" s="34" t="n">
        <v>0.75</v>
      </c>
      <c r="G161" s="28" t="n">
        <v>1</v>
      </c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inlineStr">
        <is>
          <t>정상</t>
        </is>
      </c>
      <c r="M161" s="18" t="n"/>
      <c r="N161" s="22" t="n"/>
    </row>
    <row r="162">
      <c r="A162" s="19" t="n">
        <v>46191</v>
      </c>
      <c r="B162" s="25">
        <f>IF(A162="","",CHOOSE(WEEKDAY(A162,2),"월","화","수","목","금","토","일"))</f>
        <v/>
      </c>
      <c r="C162" s="18" t="inlineStr">
        <is>
          <t>M001</t>
        </is>
      </c>
      <c r="D162" s="25">
        <f>IFERROR(IF(C162="","",INDEX(직원명부!$B$5:$B$24,MATCH(C162,직원명부!$A$5:$A$24,0))),"사번 확인")</f>
        <v/>
      </c>
      <c r="E162" s="34" t="n">
        <v>0.375</v>
      </c>
      <c r="F162" s="34" t="n">
        <v>0.75</v>
      </c>
      <c r="G162" s="28" t="n">
        <v>1</v>
      </c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inlineStr">
        <is>
          <t>정상</t>
        </is>
      </c>
      <c r="M162" s="18" t="n"/>
      <c r="N162" s="22" t="n"/>
    </row>
    <row r="163">
      <c r="A163" s="19" t="n">
        <v>46192</v>
      </c>
      <c r="B163" s="25">
        <f>IF(A163="","",CHOOSE(WEEKDAY(A163,2),"월","화","수","목","금","토","일"))</f>
        <v/>
      </c>
      <c r="C163" s="18" t="inlineStr">
        <is>
          <t>M001</t>
        </is>
      </c>
      <c r="D163" s="25">
        <f>IFERROR(IF(C163="","",INDEX(직원명부!$B$5:$B$24,MATCH(C163,직원명부!$A$5:$A$24,0))),"사번 확인")</f>
        <v/>
      </c>
      <c r="E163" s="34" t="n">
        <v>0.375</v>
      </c>
      <c r="F163" s="34" t="n">
        <v>0.75</v>
      </c>
      <c r="G163" s="28" t="n">
        <v>1</v>
      </c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inlineStr">
        <is>
          <t>정상</t>
        </is>
      </c>
      <c r="M163" s="18" t="n"/>
      <c r="N163" s="22" t="n"/>
    </row>
    <row r="164">
      <c r="A164" s="19" t="n">
        <v>46193</v>
      </c>
      <c r="B164" s="25">
        <f>IF(A164="","",CHOOSE(WEEKDAY(A164,2),"월","화","수","목","금","토","일"))</f>
        <v/>
      </c>
      <c r="C164" s="18" t="inlineStr">
        <is>
          <t>M001</t>
        </is>
      </c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42" t="inlineStr">
        <is>
          <t>주말</t>
        </is>
      </c>
    </row>
    <row r="165">
      <c r="A165" s="19" t="n">
        <v>46194</v>
      </c>
      <c r="B165" s="25">
        <f>IF(A165="","",CHOOSE(WEEKDAY(A165,2),"월","화","수","목","금","토","일"))</f>
        <v/>
      </c>
      <c r="C165" s="18" t="inlineStr">
        <is>
          <t>M001</t>
        </is>
      </c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42" t="inlineStr">
        <is>
          <t>주말</t>
        </is>
      </c>
    </row>
    <row r="166">
      <c r="A166" s="19" t="n">
        <v>46195</v>
      </c>
      <c r="B166" s="25">
        <f>IF(A166="","",CHOOSE(WEEKDAY(A166,2),"월","화","수","목","금","토","일"))</f>
        <v/>
      </c>
      <c r="C166" s="18" t="inlineStr">
        <is>
          <t>M001</t>
        </is>
      </c>
      <c r="D166" s="25">
        <f>IFERROR(IF(C166="","",INDEX(직원명부!$B$5:$B$24,MATCH(C166,직원명부!$A$5:$A$24,0))),"사번 확인")</f>
        <v/>
      </c>
      <c r="E166" s="34" t="n">
        <v>0.375</v>
      </c>
      <c r="F166" s="34" t="n">
        <v>0.75</v>
      </c>
      <c r="G166" s="28" t="n">
        <v>1</v>
      </c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inlineStr">
        <is>
          <t>정상</t>
        </is>
      </c>
      <c r="M166" s="18" t="n"/>
      <c r="N166" s="22" t="n"/>
    </row>
    <row r="167">
      <c r="A167" s="19" t="n">
        <v>46196</v>
      </c>
      <c r="B167" s="25">
        <f>IF(A167="","",CHOOSE(WEEKDAY(A167,2),"월","화","수","목","금","토","일"))</f>
        <v/>
      </c>
      <c r="C167" s="18" t="inlineStr">
        <is>
          <t>M001</t>
        </is>
      </c>
      <c r="D167" s="25">
        <f>IFERROR(IF(C167="","",INDEX(직원명부!$B$5:$B$24,MATCH(C167,직원명부!$A$5:$A$24,0))),"사번 확인")</f>
        <v/>
      </c>
      <c r="E167" s="34" t="n">
        <v>0.375</v>
      </c>
      <c r="F167" s="34" t="n">
        <v>0.75</v>
      </c>
      <c r="G167" s="28" t="n">
        <v>1</v>
      </c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inlineStr">
        <is>
          <t>정상</t>
        </is>
      </c>
      <c r="M167" s="18" t="n"/>
      <c r="N167" s="22" t="n"/>
    </row>
    <row r="168">
      <c r="A168" s="19" t="n">
        <v>46197</v>
      </c>
      <c r="B168" s="25">
        <f>IF(A168="","",CHOOSE(WEEKDAY(A168,2),"월","화","수","목","금","토","일"))</f>
        <v/>
      </c>
      <c r="C168" s="18" t="inlineStr">
        <is>
          <t>M001</t>
        </is>
      </c>
      <c r="D168" s="25">
        <f>IFERROR(IF(C168="","",INDEX(직원명부!$B$5:$B$24,MATCH(C168,직원명부!$A$5:$A$24,0))),"사번 확인")</f>
        <v/>
      </c>
      <c r="E168" s="34" t="n">
        <v>0.375</v>
      </c>
      <c r="F168" s="34" t="n">
        <v>0.75</v>
      </c>
      <c r="G168" s="28" t="n">
        <v>1</v>
      </c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inlineStr">
        <is>
          <t>정상</t>
        </is>
      </c>
      <c r="M168" s="18" t="n"/>
      <c r="N168" s="22" t="n"/>
    </row>
    <row r="169">
      <c r="A169" s="19" t="n">
        <v>46198</v>
      </c>
      <c r="B169" s="25">
        <f>IF(A169="","",CHOOSE(WEEKDAY(A169,2),"월","화","수","목","금","토","일"))</f>
        <v/>
      </c>
      <c r="C169" s="18" t="inlineStr">
        <is>
          <t>M001</t>
        </is>
      </c>
      <c r="D169" s="25">
        <f>IFERROR(IF(C169="","",INDEX(직원명부!$B$5:$B$24,MATCH(C169,직원명부!$A$5:$A$24,0))),"사번 확인")</f>
        <v/>
      </c>
      <c r="E169" s="34" t="n">
        <v>0.375</v>
      </c>
      <c r="F169" s="34" t="n">
        <v>0.75</v>
      </c>
      <c r="G169" s="28" t="n">
        <v>1</v>
      </c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inlineStr">
        <is>
          <t>정상</t>
        </is>
      </c>
      <c r="M169" s="18" t="n"/>
      <c r="N169" s="22" t="n"/>
    </row>
    <row r="170">
      <c r="A170" s="19" t="n">
        <v>46199</v>
      </c>
      <c r="B170" s="25">
        <f>IF(A170="","",CHOOSE(WEEKDAY(A170,2),"월","화","수","목","금","토","일"))</f>
        <v/>
      </c>
      <c r="C170" s="18" t="inlineStr">
        <is>
          <t>M001</t>
        </is>
      </c>
      <c r="D170" s="25">
        <f>IFERROR(IF(C170="","",INDEX(직원명부!$B$5:$B$24,MATCH(C170,직원명부!$A$5:$A$24,0))),"사번 확인")</f>
        <v/>
      </c>
      <c r="E170" s="34" t="n">
        <v>0.375</v>
      </c>
      <c r="F170" s="34" t="n">
        <v>0.75</v>
      </c>
      <c r="G170" s="28" t="n">
        <v>1</v>
      </c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inlineStr">
        <is>
          <t>정상</t>
        </is>
      </c>
      <c r="M170" s="18" t="n"/>
      <c r="N170" s="22" t="n"/>
    </row>
    <row r="171">
      <c r="A171" s="19" t="n">
        <v>46200</v>
      </c>
      <c r="B171" s="25">
        <f>IF(A171="","",CHOOSE(WEEKDAY(A171,2),"월","화","수","목","금","토","일"))</f>
        <v/>
      </c>
      <c r="C171" s="18" t="inlineStr">
        <is>
          <t>M001</t>
        </is>
      </c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42" t="inlineStr">
        <is>
          <t>주말</t>
        </is>
      </c>
    </row>
    <row r="172">
      <c r="A172" s="19" t="n">
        <v>46201</v>
      </c>
      <c r="B172" s="25">
        <f>IF(A172="","",CHOOSE(WEEKDAY(A172,2),"월","화","수","목","금","토","일"))</f>
        <v/>
      </c>
      <c r="C172" s="18" t="inlineStr">
        <is>
          <t>M001</t>
        </is>
      </c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42" t="inlineStr">
        <is>
          <t>주말</t>
        </is>
      </c>
    </row>
    <row r="173">
      <c r="A173" s="19" t="n">
        <v>46202</v>
      </c>
      <c r="B173" s="25">
        <f>IF(A173="","",CHOOSE(WEEKDAY(A173,2),"월","화","수","목","금","토","일"))</f>
        <v/>
      </c>
      <c r="C173" s="18" t="inlineStr">
        <is>
          <t>M001</t>
        </is>
      </c>
      <c r="D173" s="25">
        <f>IFERROR(IF(C173="","",INDEX(직원명부!$B$5:$B$24,MATCH(C173,직원명부!$A$5:$A$24,0))),"사번 확인")</f>
        <v/>
      </c>
      <c r="E173" s="34" t="n">
        <v>0.375</v>
      </c>
      <c r="F173" s="34" t="n">
        <v>0.75</v>
      </c>
      <c r="G173" s="28" t="n">
        <v>1</v>
      </c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inlineStr">
        <is>
          <t>정상</t>
        </is>
      </c>
      <c r="M173" s="18" t="n"/>
      <c r="N173" s="22" t="n"/>
    </row>
    <row r="174">
      <c r="A174" s="19" t="n">
        <v>46203</v>
      </c>
      <c r="B174" s="25">
        <f>IF(A174="","",CHOOSE(WEEKDAY(A174,2),"월","화","수","목","금","토","일"))</f>
        <v/>
      </c>
      <c r="C174" s="18" t="inlineStr">
        <is>
          <t>M001</t>
        </is>
      </c>
      <c r="D174" s="25">
        <f>IFERROR(IF(C174="","",INDEX(직원명부!$B$5:$B$24,MATCH(C174,직원명부!$A$5:$A$24,0))),"사번 확인")</f>
        <v/>
      </c>
      <c r="E174" s="34" t="n">
        <v>0.375</v>
      </c>
      <c r="F174" s="34" t="n">
        <v>0.75</v>
      </c>
      <c r="G174" s="28" t="n">
        <v>1</v>
      </c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inlineStr">
        <is>
          <t>정상</t>
        </is>
      </c>
      <c r="M174" s="18" t="n"/>
      <c r="N174" s="22" t="n"/>
    </row>
    <row r="175">
      <c r="A175" s="19" t="n">
        <v>46204</v>
      </c>
      <c r="B175" s="25">
        <f>IF(A175="","",CHOOSE(WEEKDAY(A175,2),"월","화","수","목","금","토","일"))</f>
        <v/>
      </c>
      <c r="C175" s="18" t="inlineStr">
        <is>
          <t>M001</t>
        </is>
      </c>
      <c r="D175" s="25">
        <f>IFERROR(IF(C175="","",INDEX(직원명부!$B$5:$B$24,MATCH(C175,직원명부!$A$5:$A$24,0))),"사번 확인")</f>
        <v/>
      </c>
      <c r="E175" s="34" t="n">
        <v>0.375</v>
      </c>
      <c r="F175" s="34" t="n">
        <v>0.75</v>
      </c>
      <c r="G175" s="28" t="n">
        <v>1</v>
      </c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inlineStr">
        <is>
          <t>정상</t>
        </is>
      </c>
      <c r="M175" s="18" t="n"/>
      <c r="N175" s="22" t="n"/>
    </row>
    <row r="176">
      <c r="A176" s="19" t="n">
        <v>46205</v>
      </c>
      <c r="B176" s="25">
        <f>IF(A176="","",CHOOSE(WEEKDAY(A176,2),"월","화","수","목","금","토","일"))</f>
        <v/>
      </c>
      <c r="C176" s="18" t="inlineStr">
        <is>
          <t>M001</t>
        </is>
      </c>
      <c r="D176" s="25">
        <f>IFERROR(IF(C176="","",INDEX(직원명부!$B$5:$B$24,MATCH(C176,직원명부!$A$5:$A$24,0))),"사번 확인")</f>
        <v/>
      </c>
      <c r="E176" s="34" t="n">
        <v>0.375</v>
      </c>
      <c r="F176" s="34" t="n">
        <v>0.75</v>
      </c>
      <c r="G176" s="28" t="n">
        <v>1</v>
      </c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inlineStr">
        <is>
          <t>정상</t>
        </is>
      </c>
      <c r="M176" s="18" t="n"/>
      <c r="N176" s="22" t="n"/>
    </row>
    <row r="177">
      <c r="A177" s="19" t="n">
        <v>46206</v>
      </c>
      <c r="B177" s="25">
        <f>IF(A177="","",CHOOSE(WEEKDAY(A177,2),"월","화","수","목","금","토","일"))</f>
        <v/>
      </c>
      <c r="C177" s="18" t="inlineStr">
        <is>
          <t>M001</t>
        </is>
      </c>
      <c r="D177" s="25">
        <f>IFERROR(IF(C177="","",INDEX(직원명부!$B$5:$B$24,MATCH(C177,직원명부!$A$5:$A$24,0))),"사번 확인")</f>
        <v/>
      </c>
      <c r="E177" s="34" t="n">
        <v>0.375</v>
      </c>
      <c r="F177" s="34" t="n">
        <v>0.75</v>
      </c>
      <c r="G177" s="28" t="n">
        <v>1</v>
      </c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inlineStr">
        <is>
          <t>정상</t>
        </is>
      </c>
      <c r="M177" s="18" t="n"/>
      <c r="N177" s="22" t="n"/>
    </row>
    <row r="178">
      <c r="A178" s="19" t="n">
        <v>46207</v>
      </c>
      <c r="B178" s="25">
        <f>IF(A178="","",CHOOSE(WEEKDAY(A178,2),"월","화","수","목","금","토","일"))</f>
        <v/>
      </c>
      <c r="C178" s="18" t="inlineStr">
        <is>
          <t>M001</t>
        </is>
      </c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42" t="inlineStr">
        <is>
          <t>주말</t>
        </is>
      </c>
    </row>
    <row r="179">
      <c r="A179" s="19" t="n">
        <v>46208</v>
      </c>
      <c r="B179" s="25">
        <f>IF(A179="","",CHOOSE(WEEKDAY(A179,2),"월","화","수","목","금","토","일"))</f>
        <v/>
      </c>
      <c r="C179" s="18" t="inlineStr">
        <is>
          <t>M001</t>
        </is>
      </c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42" t="inlineStr">
        <is>
          <t>주말</t>
        </is>
      </c>
    </row>
    <row r="180">
      <c r="A180" s="19" t="n">
        <v>46209</v>
      </c>
      <c r="B180" s="25">
        <f>IF(A180="","",CHOOSE(WEEKDAY(A180,2),"월","화","수","목","금","토","일"))</f>
        <v/>
      </c>
      <c r="C180" s="18" t="inlineStr">
        <is>
          <t>M001</t>
        </is>
      </c>
      <c r="D180" s="25">
        <f>IFERROR(IF(C180="","",INDEX(직원명부!$B$5:$B$24,MATCH(C180,직원명부!$A$5:$A$24,0))),"사번 확인")</f>
        <v/>
      </c>
      <c r="E180" s="34" t="n">
        <v>0.375</v>
      </c>
      <c r="F180" s="34" t="n">
        <v>0.75</v>
      </c>
      <c r="G180" s="28" t="n">
        <v>1</v>
      </c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inlineStr">
        <is>
          <t>정상</t>
        </is>
      </c>
      <c r="M180" s="18" t="n"/>
      <c r="N180" s="22" t="n"/>
    </row>
    <row r="181">
      <c r="A181" s="19" t="n">
        <v>46210</v>
      </c>
      <c r="B181" s="25">
        <f>IF(A181="","",CHOOSE(WEEKDAY(A181,2),"월","화","수","목","금","토","일"))</f>
        <v/>
      </c>
      <c r="C181" s="18" t="inlineStr">
        <is>
          <t>M001</t>
        </is>
      </c>
      <c r="D181" s="25">
        <f>IFERROR(IF(C181="","",INDEX(직원명부!$B$5:$B$24,MATCH(C181,직원명부!$A$5:$A$24,0))),"사번 확인")</f>
        <v/>
      </c>
      <c r="E181" s="34" t="n">
        <v>0.375</v>
      </c>
      <c r="F181" s="34" t="n">
        <v>0.75</v>
      </c>
      <c r="G181" s="28" t="n">
        <v>1</v>
      </c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inlineStr">
        <is>
          <t>정상</t>
        </is>
      </c>
      <c r="M181" s="18" t="n"/>
      <c r="N181" s="22" t="n"/>
    </row>
    <row r="182">
      <c r="A182" s="19" t="n">
        <v>46211</v>
      </c>
      <c r="B182" s="25">
        <f>IF(A182="","",CHOOSE(WEEKDAY(A182,2),"월","화","수","목","금","토","일"))</f>
        <v/>
      </c>
      <c r="C182" s="18" t="inlineStr">
        <is>
          <t>M001</t>
        </is>
      </c>
      <c r="D182" s="25">
        <f>IFERROR(IF(C182="","",INDEX(직원명부!$B$5:$B$24,MATCH(C182,직원명부!$A$5:$A$24,0))),"사번 확인")</f>
        <v/>
      </c>
      <c r="E182" s="34" t="n">
        <v>0.375</v>
      </c>
      <c r="F182" s="34" t="n">
        <v>0.75</v>
      </c>
      <c r="G182" s="28" t="n">
        <v>1</v>
      </c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inlineStr">
        <is>
          <t>정상</t>
        </is>
      </c>
      <c r="M182" s="18" t="n"/>
      <c r="N182" s="22" t="n"/>
    </row>
    <row r="183">
      <c r="A183" s="19" t="n">
        <v>46212</v>
      </c>
      <c r="B183" s="25">
        <f>IF(A183="","",CHOOSE(WEEKDAY(A183,2),"월","화","수","목","금","토","일"))</f>
        <v/>
      </c>
      <c r="C183" s="18" t="inlineStr">
        <is>
          <t>M001</t>
        </is>
      </c>
      <c r="D183" s="25">
        <f>IFERROR(IF(C183="","",INDEX(직원명부!$B$5:$B$24,MATCH(C183,직원명부!$A$5:$A$24,0))),"사번 확인")</f>
        <v/>
      </c>
      <c r="E183" s="34" t="n">
        <v>0.375</v>
      </c>
      <c r="F183" s="34" t="n">
        <v>0.75</v>
      </c>
      <c r="G183" s="28" t="n">
        <v>1</v>
      </c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inlineStr">
        <is>
          <t>정상</t>
        </is>
      </c>
      <c r="M183" s="18" t="n"/>
      <c r="N183" s="22" t="n"/>
    </row>
    <row r="184">
      <c r="A184" s="19" t="n">
        <v>46213</v>
      </c>
      <c r="B184" s="25">
        <f>IF(A184="","",CHOOSE(WEEKDAY(A184,2),"월","화","수","목","금","토","일"))</f>
        <v/>
      </c>
      <c r="C184" s="18" t="inlineStr">
        <is>
          <t>M001</t>
        </is>
      </c>
      <c r="D184" s="25">
        <f>IFERROR(IF(C184="","",INDEX(직원명부!$B$5:$B$24,MATCH(C184,직원명부!$A$5:$A$24,0))),"사번 확인")</f>
        <v/>
      </c>
      <c r="E184" s="34" t="n">
        <v>0.375</v>
      </c>
      <c r="F184" s="34" t="n">
        <v>0.75</v>
      </c>
      <c r="G184" s="28" t="n">
        <v>1</v>
      </c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inlineStr">
        <is>
          <t>정상</t>
        </is>
      </c>
      <c r="M184" s="18" t="n"/>
      <c r="N184" s="22" t="n"/>
    </row>
    <row r="185">
      <c r="A185" s="19" t="n">
        <v>46214</v>
      </c>
      <c r="B185" s="25">
        <f>IF(A185="","",CHOOSE(WEEKDAY(A185,2),"월","화","수","목","금","토","일"))</f>
        <v/>
      </c>
      <c r="C185" s="18" t="inlineStr">
        <is>
          <t>M001</t>
        </is>
      </c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42" t="inlineStr">
        <is>
          <t>주말</t>
        </is>
      </c>
    </row>
    <row r="186">
      <c r="A186" s="19" t="n">
        <v>46215</v>
      </c>
      <c r="B186" s="25">
        <f>IF(A186="","",CHOOSE(WEEKDAY(A186,2),"월","화","수","목","금","토","일"))</f>
        <v/>
      </c>
      <c r="C186" s="18" t="inlineStr">
        <is>
          <t>M001</t>
        </is>
      </c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42" t="inlineStr">
        <is>
          <t>주말</t>
        </is>
      </c>
    </row>
    <row r="187">
      <c r="A187" s="19" t="n">
        <v>46216</v>
      </c>
      <c r="B187" s="25">
        <f>IF(A187="","",CHOOSE(WEEKDAY(A187,2),"월","화","수","목","금","토","일"))</f>
        <v/>
      </c>
      <c r="C187" s="18" t="inlineStr">
        <is>
          <t>M001</t>
        </is>
      </c>
      <c r="D187" s="25">
        <f>IFERROR(IF(C187="","",INDEX(직원명부!$B$5:$B$24,MATCH(C187,직원명부!$A$5:$A$24,0))),"사번 확인")</f>
        <v/>
      </c>
      <c r="E187" s="34" t="n">
        <v>0.375</v>
      </c>
      <c r="F187" s="34" t="n">
        <v>0.75</v>
      </c>
      <c r="G187" s="28" t="n">
        <v>1</v>
      </c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inlineStr">
        <is>
          <t>정상</t>
        </is>
      </c>
      <c r="M187" s="18" t="n"/>
      <c r="N187" s="22" t="n"/>
    </row>
    <row r="188">
      <c r="A188" s="19" t="n">
        <v>46217</v>
      </c>
      <c r="B188" s="25">
        <f>IF(A188="","",CHOOSE(WEEKDAY(A188,2),"월","화","수","목","금","토","일"))</f>
        <v/>
      </c>
      <c r="C188" s="18" t="inlineStr">
        <is>
          <t>M001</t>
        </is>
      </c>
      <c r="D188" s="25">
        <f>IFERROR(IF(C188="","",INDEX(직원명부!$B$5:$B$24,MATCH(C188,직원명부!$A$5:$A$24,0))),"사번 확인")</f>
        <v/>
      </c>
      <c r="E188" s="34" t="n">
        <v>0.375</v>
      </c>
      <c r="F188" s="34" t="n">
        <v>0.75</v>
      </c>
      <c r="G188" s="28" t="n">
        <v>1</v>
      </c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inlineStr">
        <is>
          <t>정상</t>
        </is>
      </c>
      <c r="M188" s="18" t="n"/>
      <c r="N188" s="22" t="n"/>
    </row>
    <row r="189">
      <c r="A189" s="19" t="n">
        <v>46218</v>
      </c>
      <c r="B189" s="25">
        <f>IF(A189="","",CHOOSE(WEEKDAY(A189,2),"월","화","수","목","금","토","일"))</f>
        <v/>
      </c>
      <c r="C189" s="18" t="inlineStr">
        <is>
          <t>M001</t>
        </is>
      </c>
      <c r="D189" s="25">
        <f>IFERROR(IF(C189="","",INDEX(직원명부!$B$5:$B$24,MATCH(C189,직원명부!$A$5:$A$24,0))),"사번 확인")</f>
        <v/>
      </c>
      <c r="E189" s="34" t="n">
        <v>0.375</v>
      </c>
      <c r="F189" s="34" t="n">
        <v>0.75</v>
      </c>
      <c r="G189" s="28" t="n">
        <v>1</v>
      </c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inlineStr">
        <is>
          <t>정상</t>
        </is>
      </c>
      <c r="M189" s="18" t="n"/>
      <c r="N189" s="22" t="n"/>
    </row>
    <row r="190">
      <c r="A190" s="19" t="n">
        <v>46219</v>
      </c>
      <c r="B190" s="25">
        <f>IF(A190="","",CHOOSE(WEEKDAY(A190,2),"월","화","수","목","금","토","일"))</f>
        <v/>
      </c>
      <c r="C190" s="18" t="inlineStr">
        <is>
          <t>M001</t>
        </is>
      </c>
      <c r="D190" s="25">
        <f>IFERROR(IF(C190="","",INDEX(직원명부!$B$5:$B$24,MATCH(C190,직원명부!$A$5:$A$24,0))),"사번 확인")</f>
        <v/>
      </c>
      <c r="E190" s="34" t="n">
        <v>0.375</v>
      </c>
      <c r="F190" s="34" t="n">
        <v>0.75</v>
      </c>
      <c r="G190" s="28" t="n">
        <v>1</v>
      </c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inlineStr">
        <is>
          <t>정상</t>
        </is>
      </c>
      <c r="M190" s="18" t="n"/>
      <c r="N190" s="22" t="n"/>
    </row>
    <row r="191">
      <c r="A191" s="19" t="n">
        <v>46220</v>
      </c>
      <c r="B191" s="25">
        <f>IF(A191="","",CHOOSE(WEEKDAY(A191,2),"월","화","수","목","금","토","일"))</f>
        <v/>
      </c>
      <c r="C191" s="18" t="inlineStr">
        <is>
          <t>M001</t>
        </is>
      </c>
      <c r="D191" s="25">
        <f>IFERROR(IF(C191="","",INDEX(직원명부!$B$5:$B$24,MATCH(C191,직원명부!$A$5:$A$24,0))),"사번 확인")</f>
        <v/>
      </c>
      <c r="E191" s="34" t="n">
        <v>0.375</v>
      </c>
      <c r="F191" s="34" t="n">
        <v>0.75</v>
      </c>
      <c r="G191" s="28" t="n">
        <v>1</v>
      </c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inlineStr">
        <is>
          <t>정상</t>
        </is>
      </c>
      <c r="M191" s="18" t="n"/>
      <c r="N191" s="22" t="n"/>
    </row>
    <row r="192">
      <c r="A192" s="19" t="n">
        <v>46221</v>
      </c>
      <c r="B192" s="25">
        <f>IF(A192="","",CHOOSE(WEEKDAY(A192,2),"월","화","수","목","금","토","일"))</f>
        <v/>
      </c>
      <c r="C192" s="18" t="inlineStr">
        <is>
          <t>M001</t>
        </is>
      </c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42" t="inlineStr">
        <is>
          <t>주말</t>
        </is>
      </c>
    </row>
    <row r="193">
      <c r="A193" s="19" t="n">
        <v>46222</v>
      </c>
      <c r="B193" s="25">
        <f>IF(A193="","",CHOOSE(WEEKDAY(A193,2),"월","화","수","목","금","토","일"))</f>
        <v/>
      </c>
      <c r="C193" s="18" t="inlineStr">
        <is>
          <t>M001</t>
        </is>
      </c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42" t="inlineStr">
        <is>
          <t>주말</t>
        </is>
      </c>
    </row>
    <row r="194">
      <c r="A194" s="19" t="n">
        <v>46223</v>
      </c>
      <c r="B194" s="25">
        <f>IF(A194="","",CHOOSE(WEEKDAY(A194,2),"월","화","수","목","금","토","일"))</f>
        <v/>
      </c>
      <c r="C194" s="18" t="inlineStr">
        <is>
          <t>M001</t>
        </is>
      </c>
      <c r="D194" s="25">
        <f>IFERROR(IF(C194="","",INDEX(직원명부!$B$5:$B$24,MATCH(C194,직원명부!$A$5:$A$24,0))),"사번 확인")</f>
        <v/>
      </c>
      <c r="E194" s="34" t="n">
        <v>0.375</v>
      </c>
      <c r="F194" s="34" t="n">
        <v>0.75</v>
      </c>
      <c r="G194" s="28" t="n">
        <v>1</v>
      </c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inlineStr">
        <is>
          <t>정상</t>
        </is>
      </c>
      <c r="M194" s="18" t="n"/>
      <c r="N194" s="22" t="n"/>
    </row>
    <row r="195">
      <c r="A195" s="19" t="n">
        <v>46224</v>
      </c>
      <c r="B195" s="25">
        <f>IF(A195="","",CHOOSE(WEEKDAY(A195,2),"월","화","수","목","금","토","일"))</f>
        <v/>
      </c>
      <c r="C195" s="18" t="inlineStr">
        <is>
          <t>M001</t>
        </is>
      </c>
      <c r="D195" s="25">
        <f>IFERROR(IF(C195="","",INDEX(직원명부!$B$5:$B$24,MATCH(C195,직원명부!$A$5:$A$24,0))),"사번 확인")</f>
        <v/>
      </c>
      <c r="E195" s="34" t="n">
        <v>0.375</v>
      </c>
      <c r="F195" s="34" t="n">
        <v>0.75</v>
      </c>
      <c r="G195" s="28" t="n">
        <v>1</v>
      </c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inlineStr">
        <is>
          <t>정상</t>
        </is>
      </c>
      <c r="M195" s="18" t="n"/>
      <c r="N195" s="22" t="n"/>
    </row>
    <row r="196">
      <c r="A196" s="19" t="n">
        <v>46225</v>
      </c>
      <c r="B196" s="25">
        <f>IF(A196="","",CHOOSE(WEEKDAY(A196,2),"월","화","수","목","금","토","일"))</f>
        <v/>
      </c>
      <c r="C196" s="18" t="inlineStr">
        <is>
          <t>M001</t>
        </is>
      </c>
      <c r="D196" s="25">
        <f>IFERROR(IF(C196="","",INDEX(직원명부!$B$5:$B$24,MATCH(C196,직원명부!$A$5:$A$24,0))),"사번 확인")</f>
        <v/>
      </c>
      <c r="E196" s="34" t="n">
        <v>0.375</v>
      </c>
      <c r="F196" s="34" t="n">
        <v>0.75</v>
      </c>
      <c r="G196" s="28" t="n">
        <v>1</v>
      </c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inlineStr">
        <is>
          <t>정상</t>
        </is>
      </c>
      <c r="M196" s="18" t="n"/>
      <c r="N196" s="22" t="n"/>
    </row>
    <row r="197">
      <c r="A197" s="19" t="n">
        <v>46226</v>
      </c>
      <c r="B197" s="25">
        <f>IF(A197="","",CHOOSE(WEEKDAY(A197,2),"월","화","수","목","금","토","일"))</f>
        <v/>
      </c>
      <c r="C197" s="18" t="inlineStr">
        <is>
          <t>M001</t>
        </is>
      </c>
      <c r="D197" s="25">
        <f>IFERROR(IF(C197="","",INDEX(직원명부!$B$5:$B$24,MATCH(C197,직원명부!$A$5:$A$24,0))),"사번 확인")</f>
        <v/>
      </c>
      <c r="E197" s="34" t="n">
        <v>0.375</v>
      </c>
      <c r="F197" s="34" t="n">
        <v>0.75</v>
      </c>
      <c r="G197" s="28" t="n">
        <v>1</v>
      </c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inlineStr">
        <is>
          <t>정상</t>
        </is>
      </c>
      <c r="M197" s="18" t="n"/>
      <c r="N197" s="22" t="n"/>
    </row>
    <row r="198">
      <c r="A198" s="19" t="n">
        <v>46227</v>
      </c>
      <c r="B198" s="25">
        <f>IF(A198="","",CHOOSE(WEEKDAY(A198,2),"월","화","수","목","금","토","일"))</f>
        <v/>
      </c>
      <c r="C198" s="18" t="inlineStr">
        <is>
          <t>M001</t>
        </is>
      </c>
      <c r="D198" s="25">
        <f>IFERROR(IF(C198="","",INDEX(직원명부!$B$5:$B$24,MATCH(C198,직원명부!$A$5:$A$24,0))),"사번 확인")</f>
        <v/>
      </c>
      <c r="E198" s="34" t="n">
        <v>0.375</v>
      </c>
      <c r="F198" s="34" t="n">
        <v>0.75</v>
      </c>
      <c r="G198" s="28" t="n">
        <v>1</v>
      </c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inlineStr">
        <is>
          <t>정상</t>
        </is>
      </c>
      <c r="M198" s="18" t="n"/>
      <c r="N198" s="22" t="n"/>
    </row>
    <row r="199">
      <c r="A199" s="19" t="n">
        <v>46228</v>
      </c>
      <c r="B199" s="25">
        <f>IF(A199="","",CHOOSE(WEEKDAY(A199,2),"월","화","수","목","금","토","일"))</f>
        <v/>
      </c>
      <c r="C199" s="18" t="inlineStr">
        <is>
          <t>M001</t>
        </is>
      </c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42" t="inlineStr">
        <is>
          <t>주말</t>
        </is>
      </c>
    </row>
    <row r="200">
      <c r="A200" s="19" t="n">
        <v>46229</v>
      </c>
      <c r="B200" s="25">
        <f>IF(A200="","",CHOOSE(WEEKDAY(A200,2),"월","화","수","목","금","토","일"))</f>
        <v/>
      </c>
      <c r="C200" s="18" t="inlineStr">
        <is>
          <t>M001</t>
        </is>
      </c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42" t="inlineStr">
        <is>
          <t>주말</t>
        </is>
      </c>
    </row>
    <row r="201">
      <c r="A201" s="19" t="n">
        <v>46230</v>
      </c>
      <c r="B201" s="25">
        <f>IF(A201="","",CHOOSE(WEEKDAY(A201,2),"월","화","수","목","금","토","일"))</f>
        <v/>
      </c>
      <c r="C201" s="18" t="inlineStr">
        <is>
          <t>M001</t>
        </is>
      </c>
      <c r="D201" s="25">
        <f>IFERROR(IF(C201="","",INDEX(직원명부!$B$5:$B$24,MATCH(C201,직원명부!$A$5:$A$24,0))),"사번 확인")</f>
        <v/>
      </c>
      <c r="E201" s="34" t="n">
        <v>0.375</v>
      </c>
      <c r="F201" s="34" t="n">
        <v>0.75</v>
      </c>
      <c r="G201" s="28" t="n">
        <v>1</v>
      </c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inlineStr">
        <is>
          <t>정상</t>
        </is>
      </c>
      <c r="M201" s="18" t="n"/>
      <c r="N201" s="22" t="n"/>
    </row>
    <row r="202">
      <c r="A202" s="19" t="n">
        <v>46231</v>
      </c>
      <c r="B202" s="25">
        <f>IF(A202="","",CHOOSE(WEEKDAY(A202,2),"월","화","수","목","금","토","일"))</f>
        <v/>
      </c>
      <c r="C202" s="18" t="inlineStr">
        <is>
          <t>M001</t>
        </is>
      </c>
      <c r="D202" s="25">
        <f>IFERROR(IF(C202="","",INDEX(직원명부!$B$5:$B$24,MATCH(C202,직원명부!$A$5:$A$24,0))),"사번 확인")</f>
        <v/>
      </c>
      <c r="E202" s="34" t="n">
        <v>0.375</v>
      </c>
      <c r="F202" s="34" t="n">
        <v>0.75</v>
      </c>
      <c r="G202" s="28" t="n">
        <v>1</v>
      </c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inlineStr">
        <is>
          <t>정상</t>
        </is>
      </c>
      <c r="M202" s="18" t="n"/>
      <c r="N202" s="22" t="n"/>
    </row>
    <row r="203">
      <c r="A203" s="19" t="n">
        <v>46232</v>
      </c>
      <c r="B203" s="25">
        <f>IF(A203="","",CHOOSE(WEEKDAY(A203,2),"월","화","수","목","금","토","일"))</f>
        <v/>
      </c>
      <c r="C203" s="18" t="inlineStr">
        <is>
          <t>M001</t>
        </is>
      </c>
      <c r="D203" s="25">
        <f>IFERROR(IF(C203="","",INDEX(직원명부!$B$5:$B$24,MATCH(C203,직원명부!$A$5:$A$24,0))),"사번 확인")</f>
        <v/>
      </c>
      <c r="E203" s="34" t="n">
        <v>0.375</v>
      </c>
      <c r="F203" s="34" t="n">
        <v>0.75</v>
      </c>
      <c r="G203" s="28" t="n">
        <v>1</v>
      </c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inlineStr">
        <is>
          <t>정상</t>
        </is>
      </c>
      <c r="M203" s="18" t="n"/>
      <c r="N203" s="22" t="n"/>
    </row>
    <row r="204">
      <c r="A204" s="19" t="n">
        <v>46233</v>
      </c>
      <c r="B204" s="25">
        <f>IF(A204="","",CHOOSE(WEEKDAY(A204,2),"월","화","수","목","금","토","일"))</f>
        <v/>
      </c>
      <c r="C204" s="18" t="inlineStr">
        <is>
          <t>M001</t>
        </is>
      </c>
      <c r="D204" s="25">
        <f>IFERROR(IF(C204="","",INDEX(직원명부!$B$5:$B$24,MATCH(C204,직원명부!$A$5:$A$24,0))),"사번 확인")</f>
        <v/>
      </c>
      <c r="E204" s="34" t="n">
        <v>0.375</v>
      </c>
      <c r="F204" s="34" t="n">
        <v>0.75</v>
      </c>
      <c r="G204" s="28" t="n">
        <v>1</v>
      </c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inlineStr">
        <is>
          <t>정상</t>
        </is>
      </c>
      <c r="M204" s="18" t="n"/>
      <c r="N204" s="22" t="n"/>
    </row>
    <row r="205">
      <c r="A205" s="19" t="n">
        <v>46234</v>
      </c>
      <c r="B205" s="25">
        <f>IF(A205="","",CHOOSE(WEEKDAY(A205,2),"월","화","수","목","금","토","일"))</f>
        <v/>
      </c>
      <c r="C205" s="18" t="inlineStr">
        <is>
          <t>M001</t>
        </is>
      </c>
      <c r="D205" s="25">
        <f>IFERROR(IF(C205="","",INDEX(직원명부!$B$5:$B$24,MATCH(C205,직원명부!$A$5:$A$24,0))),"사번 확인")</f>
        <v/>
      </c>
      <c r="E205" s="34" t="n">
        <v>0.375</v>
      </c>
      <c r="F205" s="34" t="n">
        <v>0.75</v>
      </c>
      <c r="G205" s="28" t="n">
        <v>1</v>
      </c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inlineStr">
        <is>
          <t>정상</t>
        </is>
      </c>
      <c r="M205" s="18" t="n"/>
      <c r="N205" s="22" t="n"/>
    </row>
    <row r="206">
      <c r="A206" s="19" t="n">
        <v>46235</v>
      </c>
      <c r="B206" s="25">
        <f>IF(A206="","",CHOOSE(WEEKDAY(A206,2),"월","화","수","목","금","토","일"))</f>
        <v/>
      </c>
      <c r="C206" s="18" t="inlineStr">
        <is>
          <t>M001</t>
        </is>
      </c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42" t="inlineStr">
        <is>
          <t>주말</t>
        </is>
      </c>
    </row>
    <row r="207">
      <c r="A207" s="19" t="n">
        <v>46236</v>
      </c>
      <c r="B207" s="25">
        <f>IF(A207="","",CHOOSE(WEEKDAY(A207,2),"월","화","수","목","금","토","일"))</f>
        <v/>
      </c>
      <c r="C207" s="18" t="inlineStr">
        <is>
          <t>M001</t>
        </is>
      </c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42" t="inlineStr">
        <is>
          <t>주말</t>
        </is>
      </c>
    </row>
    <row r="208">
      <c r="A208" s="19" t="n">
        <v>46237</v>
      </c>
      <c r="B208" s="25">
        <f>IF(A208="","",CHOOSE(WEEKDAY(A208,2),"월","화","수","목","금","토","일"))</f>
        <v/>
      </c>
      <c r="C208" s="18" t="inlineStr">
        <is>
          <t>M001</t>
        </is>
      </c>
      <c r="D208" s="25">
        <f>IFERROR(IF(C208="","",INDEX(직원명부!$B$5:$B$24,MATCH(C208,직원명부!$A$5:$A$24,0))),"사번 확인")</f>
        <v/>
      </c>
      <c r="E208" s="34" t="n">
        <v>0.375</v>
      </c>
      <c r="F208" s="34" t="n">
        <v>0.75</v>
      </c>
      <c r="G208" s="28" t="n">
        <v>1</v>
      </c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inlineStr">
        <is>
          <t>정상</t>
        </is>
      </c>
      <c r="M208" s="18" t="n"/>
      <c r="N208" s="22" t="n"/>
    </row>
    <row r="209">
      <c r="A209" s="19" t="n">
        <v>46238</v>
      </c>
      <c r="B209" s="25">
        <f>IF(A209="","",CHOOSE(WEEKDAY(A209,2),"월","화","수","목","금","토","일"))</f>
        <v/>
      </c>
      <c r="C209" s="18" t="inlineStr">
        <is>
          <t>M001</t>
        </is>
      </c>
      <c r="D209" s="25">
        <f>IFERROR(IF(C209="","",INDEX(직원명부!$B$5:$B$24,MATCH(C209,직원명부!$A$5:$A$24,0))),"사번 확인")</f>
        <v/>
      </c>
      <c r="E209" s="34" t="n">
        <v>0.375</v>
      </c>
      <c r="F209" s="34" t="n">
        <v>0.75</v>
      </c>
      <c r="G209" s="28" t="n">
        <v>1</v>
      </c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inlineStr">
        <is>
          <t>정상</t>
        </is>
      </c>
      <c r="M209" s="18" t="n"/>
      <c r="N209" s="22" t="n"/>
    </row>
    <row r="210">
      <c r="A210" s="19" t="n">
        <v>46239</v>
      </c>
      <c r="B210" s="25">
        <f>IF(A210="","",CHOOSE(WEEKDAY(A210,2),"월","화","수","목","금","토","일"))</f>
        <v/>
      </c>
      <c r="C210" s="18" t="inlineStr">
        <is>
          <t>M001</t>
        </is>
      </c>
      <c r="D210" s="25">
        <f>IFERROR(IF(C210="","",INDEX(직원명부!$B$5:$B$24,MATCH(C210,직원명부!$A$5:$A$24,0))),"사번 확인")</f>
        <v/>
      </c>
      <c r="E210" s="34" t="n">
        <v>0.375</v>
      </c>
      <c r="F210" s="34" t="n">
        <v>0.75</v>
      </c>
      <c r="G210" s="28" t="n">
        <v>1</v>
      </c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inlineStr">
        <is>
          <t>정상</t>
        </is>
      </c>
      <c r="M210" s="18" t="n"/>
      <c r="N210" s="22" t="n"/>
    </row>
    <row r="211">
      <c r="A211" s="19" t="n">
        <v>46240</v>
      </c>
      <c r="B211" s="25">
        <f>IF(A211="","",CHOOSE(WEEKDAY(A211,2),"월","화","수","목","금","토","일"))</f>
        <v/>
      </c>
      <c r="C211" s="18" t="inlineStr">
        <is>
          <t>M001</t>
        </is>
      </c>
      <c r="D211" s="25">
        <f>IFERROR(IF(C211="","",INDEX(직원명부!$B$5:$B$24,MATCH(C211,직원명부!$A$5:$A$24,0))),"사번 확인")</f>
        <v/>
      </c>
      <c r="E211" s="34" t="n">
        <v>0.375</v>
      </c>
      <c r="F211" s="34" t="n">
        <v>0.75</v>
      </c>
      <c r="G211" s="28" t="n">
        <v>1</v>
      </c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inlineStr">
        <is>
          <t>정상</t>
        </is>
      </c>
      <c r="M211" s="18" t="n"/>
      <c r="N211" s="22" t="n"/>
    </row>
    <row r="212">
      <c r="A212" s="19" t="n">
        <v>46241</v>
      </c>
      <c r="B212" s="25">
        <f>IF(A212="","",CHOOSE(WEEKDAY(A212,2),"월","화","수","목","금","토","일"))</f>
        <v/>
      </c>
      <c r="C212" s="18" t="inlineStr">
        <is>
          <t>M001</t>
        </is>
      </c>
      <c r="D212" s="25">
        <f>IFERROR(IF(C212="","",INDEX(직원명부!$B$5:$B$24,MATCH(C212,직원명부!$A$5:$A$24,0))),"사번 확인")</f>
        <v/>
      </c>
      <c r="E212" s="34" t="n">
        <v>0.375</v>
      </c>
      <c r="F212" s="34" t="n">
        <v>0.75</v>
      </c>
      <c r="G212" s="28" t="n">
        <v>1</v>
      </c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inlineStr">
        <is>
          <t>정상</t>
        </is>
      </c>
      <c r="M212" s="18" t="n"/>
      <c r="N212" s="22" t="n"/>
    </row>
    <row r="213">
      <c r="A213" s="19" t="n">
        <v>46242</v>
      </c>
      <c r="B213" s="25">
        <f>IF(A213="","",CHOOSE(WEEKDAY(A213,2),"월","화","수","목","금","토","일"))</f>
        <v/>
      </c>
      <c r="C213" s="18" t="inlineStr">
        <is>
          <t>M001</t>
        </is>
      </c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42" t="inlineStr">
        <is>
          <t>주말</t>
        </is>
      </c>
    </row>
    <row r="214">
      <c r="A214" s="19" t="n">
        <v>46243</v>
      </c>
      <c r="B214" s="25">
        <f>IF(A214="","",CHOOSE(WEEKDAY(A214,2),"월","화","수","목","금","토","일"))</f>
        <v/>
      </c>
      <c r="C214" s="18" t="inlineStr">
        <is>
          <t>M001</t>
        </is>
      </c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42" t="inlineStr">
        <is>
          <t>주말</t>
        </is>
      </c>
    </row>
    <row r="215">
      <c r="A215" s="19" t="n">
        <v>46244</v>
      </c>
      <c r="B215" s="25">
        <f>IF(A215="","",CHOOSE(WEEKDAY(A215,2),"월","화","수","목","금","토","일"))</f>
        <v/>
      </c>
      <c r="C215" s="18" t="inlineStr">
        <is>
          <t>M001</t>
        </is>
      </c>
      <c r="D215" s="25">
        <f>IFERROR(IF(C215="","",INDEX(직원명부!$B$5:$B$24,MATCH(C215,직원명부!$A$5:$A$24,0))),"사번 확인")</f>
        <v/>
      </c>
      <c r="E215" s="34" t="n">
        <v>0.375</v>
      </c>
      <c r="F215" s="34" t="n">
        <v>0.75</v>
      </c>
      <c r="G215" s="28" t="n">
        <v>1</v>
      </c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inlineStr">
        <is>
          <t>정상</t>
        </is>
      </c>
      <c r="M215" s="18" t="n"/>
      <c r="N215" s="22" t="n"/>
    </row>
    <row r="216">
      <c r="A216" s="19" t="n">
        <v>46245</v>
      </c>
      <c r="B216" s="25">
        <f>IF(A216="","",CHOOSE(WEEKDAY(A216,2),"월","화","수","목","금","토","일"))</f>
        <v/>
      </c>
      <c r="C216" s="18" t="inlineStr">
        <is>
          <t>M001</t>
        </is>
      </c>
      <c r="D216" s="25">
        <f>IFERROR(IF(C216="","",INDEX(직원명부!$B$5:$B$24,MATCH(C216,직원명부!$A$5:$A$24,0))),"사번 확인")</f>
        <v/>
      </c>
      <c r="E216" s="34" t="n">
        <v>0.375</v>
      </c>
      <c r="F216" s="34" t="n">
        <v>0.75</v>
      </c>
      <c r="G216" s="28" t="n">
        <v>1</v>
      </c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inlineStr">
        <is>
          <t>정상</t>
        </is>
      </c>
      <c r="M216" s="18" t="n"/>
      <c r="N216" s="22" t="n"/>
    </row>
    <row r="217">
      <c r="A217" s="19" t="n">
        <v>46246</v>
      </c>
      <c r="B217" s="25">
        <f>IF(A217="","",CHOOSE(WEEKDAY(A217,2),"월","화","수","목","금","토","일"))</f>
        <v/>
      </c>
      <c r="C217" s="18" t="inlineStr">
        <is>
          <t>M001</t>
        </is>
      </c>
      <c r="D217" s="25">
        <f>IFERROR(IF(C217="","",INDEX(직원명부!$B$5:$B$24,MATCH(C217,직원명부!$A$5:$A$24,0))),"사번 확인")</f>
        <v/>
      </c>
      <c r="E217" s="34" t="n">
        <v>0.375</v>
      </c>
      <c r="F217" s="34" t="n">
        <v>0.75</v>
      </c>
      <c r="G217" s="28" t="n">
        <v>1</v>
      </c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inlineStr">
        <is>
          <t>정상</t>
        </is>
      </c>
      <c r="M217" s="18" t="n"/>
      <c r="N217" s="22" t="n"/>
    </row>
    <row r="218">
      <c r="A218" s="19" t="n">
        <v>46247</v>
      </c>
      <c r="B218" s="25">
        <f>IF(A218="","",CHOOSE(WEEKDAY(A218,2),"월","화","수","목","금","토","일"))</f>
        <v/>
      </c>
      <c r="C218" s="18" t="inlineStr">
        <is>
          <t>M001</t>
        </is>
      </c>
      <c r="D218" s="25">
        <f>IFERROR(IF(C218="","",INDEX(직원명부!$B$5:$B$24,MATCH(C218,직원명부!$A$5:$A$24,0))),"사번 확인")</f>
        <v/>
      </c>
      <c r="E218" s="34" t="n">
        <v>0.375</v>
      </c>
      <c r="F218" s="34" t="n">
        <v>0.75</v>
      </c>
      <c r="G218" s="28" t="n">
        <v>1</v>
      </c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inlineStr">
        <is>
          <t>정상</t>
        </is>
      </c>
      <c r="M218" s="18" t="n"/>
      <c r="N218" s="22" t="n"/>
    </row>
    <row r="219">
      <c r="A219" s="19" t="n">
        <v>46248</v>
      </c>
      <c r="B219" s="25">
        <f>IF(A219="","",CHOOSE(WEEKDAY(A219,2),"월","화","수","목","금","토","일"))</f>
        <v/>
      </c>
      <c r="C219" s="18" t="inlineStr">
        <is>
          <t>M001</t>
        </is>
      </c>
      <c r="D219" s="25">
        <f>IFERROR(IF(C219="","",INDEX(직원명부!$B$5:$B$24,MATCH(C219,직원명부!$A$5:$A$24,0))),"사번 확인")</f>
        <v/>
      </c>
      <c r="E219" s="34" t="n">
        <v>0.375</v>
      </c>
      <c r="F219" s="34" t="n">
        <v>0.75</v>
      </c>
      <c r="G219" s="28" t="n">
        <v>1</v>
      </c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inlineStr">
        <is>
          <t>정상</t>
        </is>
      </c>
      <c r="M219" s="18" t="n"/>
      <c r="N219" s="22" t="n"/>
    </row>
    <row r="220">
      <c r="A220" s="19" t="n">
        <v>46249</v>
      </c>
      <c r="B220" s="25">
        <f>IF(A220="","",CHOOSE(WEEKDAY(A220,2),"월","화","수","목","금","토","일"))</f>
        <v/>
      </c>
      <c r="C220" s="18" t="inlineStr">
        <is>
          <t>M001</t>
        </is>
      </c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42" t="inlineStr">
        <is>
          <t>광복절</t>
        </is>
      </c>
    </row>
    <row r="221">
      <c r="A221" s="19" t="n">
        <v>46250</v>
      </c>
      <c r="B221" s="25">
        <f>IF(A221="","",CHOOSE(WEEKDAY(A221,2),"월","화","수","목","금","토","일"))</f>
        <v/>
      </c>
      <c r="C221" s="18" t="inlineStr">
        <is>
          <t>M001</t>
        </is>
      </c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42" t="inlineStr">
        <is>
          <t>주말</t>
        </is>
      </c>
    </row>
    <row r="222">
      <c r="A222" s="19" t="n">
        <v>46251</v>
      </c>
      <c r="B222" s="25">
        <f>IF(A222="","",CHOOSE(WEEKDAY(A222,2),"월","화","수","목","금","토","일"))</f>
        <v/>
      </c>
      <c r="C222" s="18" t="inlineStr">
        <is>
          <t>M001</t>
        </is>
      </c>
      <c r="D222" s="25">
        <f>IFERROR(IF(C222="","",INDEX(직원명부!$B$5:$B$24,MATCH(C222,직원명부!$A$5:$A$24,0))),"사번 확인")</f>
        <v/>
      </c>
      <c r="E222" s="34" t="n">
        <v>0.375</v>
      </c>
      <c r="F222" s="34" t="n">
        <v>0.75</v>
      </c>
      <c r="G222" s="28" t="n">
        <v>1</v>
      </c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inlineStr">
        <is>
          <t>정상</t>
        </is>
      </c>
      <c r="M222" s="18" t="n"/>
      <c r="N222" s="42" t="inlineStr">
        <is>
          <t>광복절 대체공휴일</t>
        </is>
      </c>
    </row>
    <row r="223">
      <c r="A223" s="19" t="n">
        <v>46252</v>
      </c>
      <c r="B223" s="25">
        <f>IF(A223="","",CHOOSE(WEEKDAY(A223,2),"월","화","수","목","금","토","일"))</f>
        <v/>
      </c>
      <c r="C223" s="18" t="inlineStr">
        <is>
          <t>M001</t>
        </is>
      </c>
      <c r="D223" s="25">
        <f>IFERROR(IF(C223="","",INDEX(직원명부!$B$5:$B$24,MATCH(C223,직원명부!$A$5:$A$24,0))),"사번 확인")</f>
        <v/>
      </c>
      <c r="E223" s="34" t="n">
        <v>0.375</v>
      </c>
      <c r="F223" s="34" t="n">
        <v>0.75</v>
      </c>
      <c r="G223" s="28" t="n">
        <v>1</v>
      </c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inlineStr">
        <is>
          <t>정상</t>
        </is>
      </c>
      <c r="M223" s="18" t="n"/>
      <c r="N223" s="22" t="n"/>
    </row>
    <row r="224">
      <c r="A224" s="19" t="n">
        <v>46253</v>
      </c>
      <c r="B224" s="25">
        <f>IF(A224="","",CHOOSE(WEEKDAY(A224,2),"월","화","수","목","금","토","일"))</f>
        <v/>
      </c>
      <c r="C224" s="18" t="inlineStr">
        <is>
          <t>M001</t>
        </is>
      </c>
      <c r="D224" s="25">
        <f>IFERROR(IF(C224="","",INDEX(직원명부!$B$5:$B$24,MATCH(C224,직원명부!$A$5:$A$24,0))),"사번 확인")</f>
        <v/>
      </c>
      <c r="E224" s="34" t="n">
        <v>0.375</v>
      </c>
      <c r="F224" s="34" t="n">
        <v>0.75</v>
      </c>
      <c r="G224" s="28" t="n">
        <v>1</v>
      </c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inlineStr">
        <is>
          <t>정상</t>
        </is>
      </c>
      <c r="M224" s="18" t="n"/>
      <c r="N224" s="22" t="n"/>
    </row>
    <row r="225">
      <c r="A225" s="19" t="n">
        <v>46254</v>
      </c>
      <c r="B225" s="25">
        <f>IF(A225="","",CHOOSE(WEEKDAY(A225,2),"월","화","수","목","금","토","일"))</f>
        <v/>
      </c>
      <c r="C225" s="18" t="inlineStr">
        <is>
          <t>M001</t>
        </is>
      </c>
      <c r="D225" s="25">
        <f>IFERROR(IF(C225="","",INDEX(직원명부!$B$5:$B$24,MATCH(C225,직원명부!$A$5:$A$24,0))),"사번 확인")</f>
        <v/>
      </c>
      <c r="E225" s="34" t="n">
        <v>0.375</v>
      </c>
      <c r="F225" s="34" t="n">
        <v>0.75</v>
      </c>
      <c r="G225" s="28" t="n">
        <v>1</v>
      </c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inlineStr">
        <is>
          <t>정상</t>
        </is>
      </c>
      <c r="M225" s="18" t="n"/>
      <c r="N225" s="22" t="n"/>
    </row>
    <row r="226">
      <c r="A226" s="19" t="n">
        <v>46255</v>
      </c>
      <c r="B226" s="25">
        <f>IF(A226="","",CHOOSE(WEEKDAY(A226,2),"월","화","수","목","금","토","일"))</f>
        <v/>
      </c>
      <c r="C226" s="18" t="inlineStr">
        <is>
          <t>M001</t>
        </is>
      </c>
      <c r="D226" s="25">
        <f>IFERROR(IF(C226="","",INDEX(직원명부!$B$5:$B$24,MATCH(C226,직원명부!$A$5:$A$24,0))),"사번 확인")</f>
        <v/>
      </c>
      <c r="E226" s="34" t="n">
        <v>0.375</v>
      </c>
      <c r="F226" s="34" t="n">
        <v>0.75</v>
      </c>
      <c r="G226" s="28" t="n">
        <v>1</v>
      </c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inlineStr">
        <is>
          <t>정상</t>
        </is>
      </c>
      <c r="M226" s="18" t="n"/>
      <c r="N226" s="22" t="n"/>
    </row>
    <row r="227">
      <c r="A227" s="19" t="n">
        <v>46256</v>
      </c>
      <c r="B227" s="25">
        <f>IF(A227="","",CHOOSE(WEEKDAY(A227,2),"월","화","수","목","금","토","일"))</f>
        <v/>
      </c>
      <c r="C227" s="18" t="inlineStr">
        <is>
          <t>M001</t>
        </is>
      </c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42" t="inlineStr">
        <is>
          <t>주말</t>
        </is>
      </c>
    </row>
    <row r="228">
      <c r="A228" s="19" t="n">
        <v>46257</v>
      </c>
      <c r="B228" s="25">
        <f>IF(A228="","",CHOOSE(WEEKDAY(A228,2),"월","화","수","목","금","토","일"))</f>
        <v/>
      </c>
      <c r="C228" s="18" t="inlineStr">
        <is>
          <t>M001</t>
        </is>
      </c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42" t="inlineStr">
        <is>
          <t>주말</t>
        </is>
      </c>
    </row>
    <row r="229">
      <c r="A229" s="19" t="n">
        <v>46258</v>
      </c>
      <c r="B229" s="25">
        <f>IF(A229="","",CHOOSE(WEEKDAY(A229,2),"월","화","수","목","금","토","일"))</f>
        <v/>
      </c>
      <c r="C229" s="18" t="inlineStr">
        <is>
          <t>M001</t>
        </is>
      </c>
      <c r="D229" s="25">
        <f>IFERROR(IF(C229="","",INDEX(직원명부!$B$5:$B$24,MATCH(C229,직원명부!$A$5:$A$24,0))),"사번 확인")</f>
        <v/>
      </c>
      <c r="E229" s="34" t="n">
        <v>0.375</v>
      </c>
      <c r="F229" s="34" t="n">
        <v>0.75</v>
      </c>
      <c r="G229" s="28" t="n">
        <v>1</v>
      </c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inlineStr">
        <is>
          <t>정상</t>
        </is>
      </c>
      <c r="M229" s="18" t="n"/>
      <c r="N229" s="22" t="n"/>
    </row>
    <row r="230">
      <c r="A230" s="19" t="n">
        <v>46259</v>
      </c>
      <c r="B230" s="25">
        <f>IF(A230="","",CHOOSE(WEEKDAY(A230,2),"월","화","수","목","금","토","일"))</f>
        <v/>
      </c>
      <c r="C230" s="18" t="inlineStr">
        <is>
          <t>M001</t>
        </is>
      </c>
      <c r="D230" s="25">
        <f>IFERROR(IF(C230="","",INDEX(직원명부!$B$5:$B$24,MATCH(C230,직원명부!$A$5:$A$24,0))),"사번 확인")</f>
        <v/>
      </c>
      <c r="E230" s="34" t="n">
        <v>0.375</v>
      </c>
      <c r="F230" s="34" t="n">
        <v>0.75</v>
      </c>
      <c r="G230" s="28" t="n">
        <v>1</v>
      </c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inlineStr">
        <is>
          <t>정상</t>
        </is>
      </c>
      <c r="M230" s="18" t="n"/>
      <c r="N230" s="22" t="n"/>
    </row>
    <row r="231">
      <c r="A231" s="19" t="n">
        <v>46260</v>
      </c>
      <c r="B231" s="25">
        <f>IF(A231="","",CHOOSE(WEEKDAY(A231,2),"월","화","수","목","금","토","일"))</f>
        <v/>
      </c>
      <c r="C231" s="18" t="inlineStr">
        <is>
          <t>M001</t>
        </is>
      </c>
      <c r="D231" s="25">
        <f>IFERROR(IF(C231="","",INDEX(직원명부!$B$5:$B$24,MATCH(C231,직원명부!$A$5:$A$24,0))),"사번 확인")</f>
        <v/>
      </c>
      <c r="E231" s="34" t="n">
        <v>0.375</v>
      </c>
      <c r="F231" s="34" t="n">
        <v>0.75</v>
      </c>
      <c r="G231" s="28" t="n">
        <v>1</v>
      </c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inlineStr">
        <is>
          <t>정상</t>
        </is>
      </c>
      <c r="M231" s="18" t="n"/>
      <c r="N231" s="22" t="n"/>
    </row>
    <row r="232">
      <c r="A232" s="19" t="n">
        <v>46261</v>
      </c>
      <c r="B232" s="25">
        <f>IF(A232="","",CHOOSE(WEEKDAY(A232,2),"월","화","수","목","금","토","일"))</f>
        <v/>
      </c>
      <c r="C232" s="18" t="inlineStr">
        <is>
          <t>M001</t>
        </is>
      </c>
      <c r="D232" s="25">
        <f>IFERROR(IF(C232="","",INDEX(직원명부!$B$5:$B$24,MATCH(C232,직원명부!$A$5:$A$24,0))),"사번 확인")</f>
        <v/>
      </c>
      <c r="E232" s="34" t="n">
        <v>0.375</v>
      </c>
      <c r="F232" s="34" t="n">
        <v>0.75</v>
      </c>
      <c r="G232" s="28" t="n">
        <v>1</v>
      </c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inlineStr">
        <is>
          <t>정상</t>
        </is>
      </c>
      <c r="M232" s="18" t="n"/>
      <c r="N232" s="22" t="n"/>
    </row>
    <row r="233">
      <c r="A233" s="19" t="n">
        <v>46262</v>
      </c>
      <c r="B233" s="25">
        <f>IF(A233="","",CHOOSE(WEEKDAY(A233,2),"월","화","수","목","금","토","일"))</f>
        <v/>
      </c>
      <c r="C233" s="18" t="inlineStr">
        <is>
          <t>M001</t>
        </is>
      </c>
      <c r="D233" s="25">
        <f>IFERROR(IF(C233="","",INDEX(직원명부!$B$5:$B$24,MATCH(C233,직원명부!$A$5:$A$24,0))),"사번 확인")</f>
        <v/>
      </c>
      <c r="E233" s="34" t="n">
        <v>0.375</v>
      </c>
      <c r="F233" s="34" t="n">
        <v>0.75</v>
      </c>
      <c r="G233" s="28" t="n">
        <v>1</v>
      </c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inlineStr">
        <is>
          <t>정상</t>
        </is>
      </c>
      <c r="M233" s="18" t="n"/>
      <c r="N233" s="22" t="n"/>
    </row>
    <row r="234">
      <c r="A234" s="19" t="n">
        <v>46263</v>
      </c>
      <c r="B234" s="25">
        <f>IF(A234="","",CHOOSE(WEEKDAY(A234,2),"월","화","수","목","금","토","일"))</f>
        <v/>
      </c>
      <c r="C234" s="18" t="inlineStr">
        <is>
          <t>M001</t>
        </is>
      </c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42" t="inlineStr">
        <is>
          <t>주말</t>
        </is>
      </c>
    </row>
    <row r="235">
      <c r="A235" s="19" t="n">
        <v>46264</v>
      </c>
      <c r="B235" s="25">
        <f>IF(A235="","",CHOOSE(WEEKDAY(A235,2),"월","화","수","목","금","토","일"))</f>
        <v/>
      </c>
      <c r="C235" s="18" t="inlineStr">
        <is>
          <t>M001</t>
        </is>
      </c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42" t="inlineStr">
        <is>
          <t>주말</t>
        </is>
      </c>
    </row>
    <row r="236">
      <c r="A236" s="19" t="n">
        <v>46265</v>
      </c>
      <c r="B236" s="25">
        <f>IF(A236="","",CHOOSE(WEEKDAY(A236,2),"월","화","수","목","금","토","일"))</f>
        <v/>
      </c>
      <c r="C236" s="18" t="inlineStr">
        <is>
          <t>M001</t>
        </is>
      </c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>
        <v>46266</v>
      </c>
      <c r="B237" s="25">
        <f>IF(A237="","",CHOOSE(WEEKDAY(A237,2),"월","화","수","목","금","토","일"))</f>
        <v/>
      </c>
      <c r="C237" s="18" t="inlineStr">
        <is>
          <t>M001</t>
        </is>
      </c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>
        <v>46267</v>
      </c>
      <c r="B238" s="25">
        <f>IF(A238="","",CHOOSE(WEEKDAY(A238,2),"월","화","수","목","금","토","일"))</f>
        <v/>
      </c>
      <c r="C238" s="18" t="inlineStr">
        <is>
          <t>M001</t>
        </is>
      </c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>
        <v>46268</v>
      </c>
      <c r="B239" s="25">
        <f>IF(A239="","",CHOOSE(WEEKDAY(A239,2),"월","화","수","목","금","토","일"))</f>
        <v/>
      </c>
      <c r="C239" s="18" t="inlineStr">
        <is>
          <t>M001</t>
        </is>
      </c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>
        <v>46269</v>
      </c>
      <c r="B240" s="25">
        <f>IF(A240="","",CHOOSE(WEEKDAY(A240,2),"월","화","수","목","금","토","일"))</f>
        <v/>
      </c>
      <c r="C240" s="18" t="inlineStr">
        <is>
          <t>M001</t>
        </is>
      </c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>
        <v>46270</v>
      </c>
      <c r="B241" s="25">
        <f>IF(A241="","",CHOOSE(WEEKDAY(A241,2),"월","화","수","목","금","토","일"))</f>
        <v/>
      </c>
      <c r="C241" s="18" t="inlineStr">
        <is>
          <t>M001</t>
        </is>
      </c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42" t="inlineStr">
        <is>
          <t>주말</t>
        </is>
      </c>
    </row>
    <row r="242">
      <c r="A242" s="19" t="n">
        <v>46271</v>
      </c>
      <c r="B242" s="25">
        <f>IF(A242="","",CHOOSE(WEEKDAY(A242,2),"월","화","수","목","금","토","일"))</f>
        <v/>
      </c>
      <c r="C242" s="18" t="inlineStr">
        <is>
          <t>M001</t>
        </is>
      </c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42" t="inlineStr">
        <is>
          <t>주말</t>
        </is>
      </c>
    </row>
    <row r="243">
      <c r="A243" s="19" t="n">
        <v>46272</v>
      </c>
      <c r="B243" s="25">
        <f>IF(A243="","",CHOOSE(WEEKDAY(A243,2),"월","화","수","목","금","토","일"))</f>
        <v/>
      </c>
      <c r="C243" s="18" t="inlineStr">
        <is>
          <t>M001</t>
        </is>
      </c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>
        <v>46273</v>
      </c>
      <c r="B244" s="25">
        <f>IF(A244="","",CHOOSE(WEEKDAY(A244,2),"월","화","수","목","금","토","일"))</f>
        <v/>
      </c>
      <c r="C244" s="18" t="inlineStr">
        <is>
          <t>M001</t>
        </is>
      </c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>
        <v>46274</v>
      </c>
      <c r="B245" s="25">
        <f>IF(A245="","",CHOOSE(WEEKDAY(A245,2),"월","화","수","목","금","토","일"))</f>
        <v/>
      </c>
      <c r="C245" s="18" t="inlineStr">
        <is>
          <t>M001</t>
        </is>
      </c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>
        <v>46275</v>
      </c>
      <c r="B246" s="25">
        <f>IF(A246="","",CHOOSE(WEEKDAY(A246,2),"월","화","수","목","금","토","일"))</f>
        <v/>
      </c>
      <c r="C246" s="18" t="inlineStr">
        <is>
          <t>M001</t>
        </is>
      </c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>
        <v>46276</v>
      </c>
      <c r="B247" s="25">
        <f>IF(A247="","",CHOOSE(WEEKDAY(A247,2),"월","화","수","목","금","토","일"))</f>
        <v/>
      </c>
      <c r="C247" s="18" t="inlineStr">
        <is>
          <t>M001</t>
        </is>
      </c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>
        <v>46277</v>
      </c>
      <c r="B248" s="25">
        <f>IF(A248="","",CHOOSE(WEEKDAY(A248,2),"월","화","수","목","금","토","일"))</f>
        <v/>
      </c>
      <c r="C248" s="18" t="inlineStr">
        <is>
          <t>M001</t>
        </is>
      </c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42" t="inlineStr">
        <is>
          <t>주말</t>
        </is>
      </c>
    </row>
    <row r="249">
      <c r="A249" s="19" t="n">
        <v>46278</v>
      </c>
      <c r="B249" s="25">
        <f>IF(A249="","",CHOOSE(WEEKDAY(A249,2),"월","화","수","목","금","토","일"))</f>
        <v/>
      </c>
      <c r="C249" s="18" t="inlineStr">
        <is>
          <t>M001</t>
        </is>
      </c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42" t="inlineStr">
        <is>
          <t>주말</t>
        </is>
      </c>
    </row>
    <row r="250">
      <c r="A250" s="19" t="n">
        <v>46279</v>
      </c>
      <c r="B250" s="25">
        <f>IF(A250="","",CHOOSE(WEEKDAY(A250,2),"월","화","수","목","금","토","일"))</f>
        <v/>
      </c>
      <c r="C250" s="18" t="inlineStr">
        <is>
          <t>M001</t>
        </is>
      </c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>
        <v>46280</v>
      </c>
      <c r="B251" s="25">
        <f>IF(A251="","",CHOOSE(WEEKDAY(A251,2),"월","화","수","목","금","토","일"))</f>
        <v/>
      </c>
      <c r="C251" s="18" t="inlineStr">
        <is>
          <t>M001</t>
        </is>
      </c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>
        <v>46281</v>
      </c>
      <c r="B252" s="25">
        <f>IF(A252="","",CHOOSE(WEEKDAY(A252,2),"월","화","수","목","금","토","일"))</f>
        <v/>
      </c>
      <c r="C252" s="18" t="inlineStr">
        <is>
          <t>M001</t>
        </is>
      </c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>
        <v>46282</v>
      </c>
      <c r="B253" s="25">
        <f>IF(A253="","",CHOOSE(WEEKDAY(A253,2),"월","화","수","목","금","토","일"))</f>
        <v/>
      </c>
      <c r="C253" s="18" t="inlineStr">
        <is>
          <t>M001</t>
        </is>
      </c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>
        <v>46283</v>
      </c>
      <c r="B254" s="25">
        <f>IF(A254="","",CHOOSE(WEEKDAY(A254,2),"월","화","수","목","금","토","일"))</f>
        <v/>
      </c>
      <c r="C254" s="18" t="inlineStr">
        <is>
          <t>M001</t>
        </is>
      </c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>
        <v>46284</v>
      </c>
      <c r="B255" s="25">
        <f>IF(A255="","",CHOOSE(WEEKDAY(A255,2),"월","화","수","목","금","토","일"))</f>
        <v/>
      </c>
      <c r="C255" s="18" t="inlineStr">
        <is>
          <t>M001</t>
        </is>
      </c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42" t="inlineStr">
        <is>
          <t>주말</t>
        </is>
      </c>
    </row>
    <row r="256">
      <c r="A256" s="19" t="n">
        <v>46285</v>
      </c>
      <c r="B256" s="25">
        <f>IF(A256="","",CHOOSE(WEEKDAY(A256,2),"월","화","수","목","금","토","일"))</f>
        <v/>
      </c>
      <c r="C256" s="18" t="inlineStr">
        <is>
          <t>M001</t>
        </is>
      </c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42" t="inlineStr">
        <is>
          <t>주말</t>
        </is>
      </c>
    </row>
    <row r="257">
      <c r="A257" s="19" t="n">
        <v>46286</v>
      </c>
      <c r="B257" s="25">
        <f>IF(A257="","",CHOOSE(WEEKDAY(A257,2),"월","화","수","목","금","토","일"))</f>
        <v/>
      </c>
      <c r="C257" s="18" t="inlineStr">
        <is>
          <t>M001</t>
        </is>
      </c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>
        <v>46287</v>
      </c>
      <c r="B258" s="25">
        <f>IF(A258="","",CHOOSE(WEEKDAY(A258,2),"월","화","수","목","금","토","일"))</f>
        <v/>
      </c>
      <c r="C258" s="18" t="inlineStr">
        <is>
          <t>M001</t>
        </is>
      </c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>
        <v>46288</v>
      </c>
      <c r="B259" s="25">
        <f>IF(A259="","",CHOOSE(WEEKDAY(A259,2),"월","화","수","목","금","토","일"))</f>
        <v/>
      </c>
      <c r="C259" s="18" t="inlineStr">
        <is>
          <t>M001</t>
        </is>
      </c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>
        <v>46289</v>
      </c>
      <c r="B260" s="25">
        <f>IF(A260="","",CHOOSE(WEEKDAY(A260,2),"월","화","수","목","금","토","일"))</f>
        <v/>
      </c>
      <c r="C260" s="18" t="inlineStr">
        <is>
          <t>M001</t>
        </is>
      </c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42" t="inlineStr">
        <is>
          <t>추석 연휴</t>
        </is>
      </c>
    </row>
    <row r="261">
      <c r="A261" s="19" t="n">
        <v>46290</v>
      </c>
      <c r="B261" s="25">
        <f>IF(A261="","",CHOOSE(WEEKDAY(A261,2),"월","화","수","목","금","토","일"))</f>
        <v/>
      </c>
      <c r="C261" s="18" t="inlineStr">
        <is>
          <t>M001</t>
        </is>
      </c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42" t="inlineStr">
        <is>
          <t>추석</t>
        </is>
      </c>
    </row>
    <row r="262">
      <c r="A262" s="19" t="n">
        <v>46291</v>
      </c>
      <c r="B262" s="25">
        <f>IF(A262="","",CHOOSE(WEEKDAY(A262,2),"월","화","수","목","금","토","일"))</f>
        <v/>
      </c>
      <c r="C262" s="18" t="inlineStr">
        <is>
          <t>M001</t>
        </is>
      </c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42" t="inlineStr">
        <is>
          <t>추석 연휴</t>
        </is>
      </c>
    </row>
    <row r="263">
      <c r="A263" s="19" t="n">
        <v>46292</v>
      </c>
      <c r="B263" s="25">
        <f>IF(A263="","",CHOOSE(WEEKDAY(A263,2),"월","화","수","목","금","토","일"))</f>
        <v/>
      </c>
      <c r="C263" s="18" t="inlineStr">
        <is>
          <t>M001</t>
        </is>
      </c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42" t="inlineStr">
        <is>
          <t>주말</t>
        </is>
      </c>
    </row>
    <row r="264">
      <c r="A264" s="19" t="n">
        <v>46293</v>
      </c>
      <c r="B264" s="25">
        <f>IF(A264="","",CHOOSE(WEEKDAY(A264,2),"월","화","수","목","금","토","일"))</f>
        <v/>
      </c>
      <c r="C264" s="18" t="inlineStr">
        <is>
          <t>M001</t>
        </is>
      </c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>
        <v>46294</v>
      </c>
      <c r="B265" s="25">
        <f>IF(A265="","",CHOOSE(WEEKDAY(A265,2),"월","화","수","목","금","토","일"))</f>
        <v/>
      </c>
      <c r="C265" s="18" t="inlineStr">
        <is>
          <t>M001</t>
        </is>
      </c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>
        <v>46295</v>
      </c>
      <c r="B266" s="25">
        <f>IF(A266="","",CHOOSE(WEEKDAY(A266,2),"월","화","수","목","금","토","일"))</f>
        <v/>
      </c>
      <c r="C266" s="18" t="inlineStr">
        <is>
          <t>M001</t>
        </is>
      </c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>
        <v>46296</v>
      </c>
      <c r="B267" s="25">
        <f>IF(A267="","",CHOOSE(WEEKDAY(A267,2),"월","화","수","목","금","토","일"))</f>
        <v/>
      </c>
      <c r="C267" s="18" t="inlineStr">
        <is>
          <t>M001</t>
        </is>
      </c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>
        <v>46297</v>
      </c>
      <c r="B268" s="25">
        <f>IF(A268="","",CHOOSE(WEEKDAY(A268,2),"월","화","수","목","금","토","일"))</f>
        <v/>
      </c>
      <c r="C268" s="18" t="inlineStr">
        <is>
          <t>M001</t>
        </is>
      </c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>
        <v>46298</v>
      </c>
      <c r="B269" s="25">
        <f>IF(A269="","",CHOOSE(WEEKDAY(A269,2),"월","화","수","목","금","토","일"))</f>
        <v/>
      </c>
      <c r="C269" s="18" t="inlineStr">
        <is>
          <t>M001</t>
        </is>
      </c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42" t="inlineStr">
        <is>
          <t>개천절</t>
        </is>
      </c>
    </row>
    <row r="270">
      <c r="A270" s="19" t="n">
        <v>46299</v>
      </c>
      <c r="B270" s="25">
        <f>IF(A270="","",CHOOSE(WEEKDAY(A270,2),"월","화","수","목","금","토","일"))</f>
        <v/>
      </c>
      <c r="C270" s="18" t="inlineStr">
        <is>
          <t>M001</t>
        </is>
      </c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42" t="inlineStr">
        <is>
          <t>주말</t>
        </is>
      </c>
    </row>
    <row r="271">
      <c r="A271" s="19" t="n">
        <v>46300</v>
      </c>
      <c r="B271" s="25">
        <f>IF(A271="","",CHOOSE(WEEKDAY(A271,2),"월","화","수","목","금","토","일"))</f>
        <v/>
      </c>
      <c r="C271" s="18" t="inlineStr">
        <is>
          <t>M001</t>
        </is>
      </c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42" t="inlineStr">
        <is>
          <t>개천절 대체공휴일</t>
        </is>
      </c>
    </row>
    <row r="272">
      <c r="A272" s="19" t="n">
        <v>46301</v>
      </c>
      <c r="B272" s="25">
        <f>IF(A272="","",CHOOSE(WEEKDAY(A272,2),"월","화","수","목","금","토","일"))</f>
        <v/>
      </c>
      <c r="C272" s="18" t="inlineStr">
        <is>
          <t>M001</t>
        </is>
      </c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>
        <v>46302</v>
      </c>
      <c r="B273" s="25">
        <f>IF(A273="","",CHOOSE(WEEKDAY(A273,2),"월","화","수","목","금","토","일"))</f>
        <v/>
      </c>
      <c r="C273" s="18" t="inlineStr">
        <is>
          <t>M001</t>
        </is>
      </c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>
        <v>46303</v>
      </c>
      <c r="B274" s="25">
        <f>IF(A274="","",CHOOSE(WEEKDAY(A274,2),"월","화","수","목","금","토","일"))</f>
        <v/>
      </c>
      <c r="C274" s="18" t="inlineStr">
        <is>
          <t>M001</t>
        </is>
      </c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>
        <v>46304</v>
      </c>
      <c r="B275" s="25">
        <f>IF(A275="","",CHOOSE(WEEKDAY(A275,2),"월","화","수","목","금","토","일"))</f>
        <v/>
      </c>
      <c r="C275" s="18" t="inlineStr">
        <is>
          <t>M001</t>
        </is>
      </c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42" t="inlineStr">
        <is>
          <t>한글날</t>
        </is>
      </c>
    </row>
    <row r="276">
      <c r="A276" s="19" t="n">
        <v>46305</v>
      </c>
      <c r="B276" s="25">
        <f>IF(A276="","",CHOOSE(WEEKDAY(A276,2),"월","화","수","목","금","토","일"))</f>
        <v/>
      </c>
      <c r="C276" s="18" t="inlineStr">
        <is>
          <t>M001</t>
        </is>
      </c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42" t="inlineStr">
        <is>
          <t>주말</t>
        </is>
      </c>
    </row>
    <row r="277">
      <c r="A277" s="19" t="n">
        <v>46306</v>
      </c>
      <c r="B277" s="25">
        <f>IF(A277="","",CHOOSE(WEEKDAY(A277,2),"월","화","수","목","금","토","일"))</f>
        <v/>
      </c>
      <c r="C277" s="18" t="inlineStr">
        <is>
          <t>M001</t>
        </is>
      </c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42" t="inlineStr">
        <is>
          <t>주말</t>
        </is>
      </c>
    </row>
    <row r="278">
      <c r="A278" s="19" t="n">
        <v>46307</v>
      </c>
      <c r="B278" s="25">
        <f>IF(A278="","",CHOOSE(WEEKDAY(A278,2),"월","화","수","목","금","토","일"))</f>
        <v/>
      </c>
      <c r="C278" s="18" t="inlineStr">
        <is>
          <t>M001</t>
        </is>
      </c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>
        <v>46308</v>
      </c>
      <c r="B279" s="25">
        <f>IF(A279="","",CHOOSE(WEEKDAY(A279,2),"월","화","수","목","금","토","일"))</f>
        <v/>
      </c>
      <c r="C279" s="18" t="inlineStr">
        <is>
          <t>M001</t>
        </is>
      </c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>
        <v>46309</v>
      </c>
      <c r="B280" s="25">
        <f>IF(A280="","",CHOOSE(WEEKDAY(A280,2),"월","화","수","목","금","토","일"))</f>
        <v/>
      </c>
      <c r="C280" s="18" t="inlineStr">
        <is>
          <t>M001</t>
        </is>
      </c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>
        <v>46310</v>
      </c>
      <c r="B281" s="25">
        <f>IF(A281="","",CHOOSE(WEEKDAY(A281,2),"월","화","수","목","금","토","일"))</f>
        <v/>
      </c>
      <c r="C281" s="18" t="inlineStr">
        <is>
          <t>M001</t>
        </is>
      </c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>
        <v>46311</v>
      </c>
      <c r="B282" s="25">
        <f>IF(A282="","",CHOOSE(WEEKDAY(A282,2),"월","화","수","목","금","토","일"))</f>
        <v/>
      </c>
      <c r="C282" s="18" t="inlineStr">
        <is>
          <t>M001</t>
        </is>
      </c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>
        <v>46312</v>
      </c>
      <c r="B283" s="25">
        <f>IF(A283="","",CHOOSE(WEEKDAY(A283,2),"월","화","수","목","금","토","일"))</f>
        <v/>
      </c>
      <c r="C283" s="18" t="inlineStr">
        <is>
          <t>M001</t>
        </is>
      </c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42" t="inlineStr">
        <is>
          <t>주말</t>
        </is>
      </c>
    </row>
    <row r="284">
      <c r="A284" s="19" t="n">
        <v>46313</v>
      </c>
      <c r="B284" s="25">
        <f>IF(A284="","",CHOOSE(WEEKDAY(A284,2),"월","화","수","목","금","토","일"))</f>
        <v/>
      </c>
      <c r="C284" s="18" t="inlineStr">
        <is>
          <t>M001</t>
        </is>
      </c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42" t="inlineStr">
        <is>
          <t>주말</t>
        </is>
      </c>
    </row>
    <row r="285">
      <c r="A285" s="19" t="n">
        <v>46314</v>
      </c>
      <c r="B285" s="25">
        <f>IF(A285="","",CHOOSE(WEEKDAY(A285,2),"월","화","수","목","금","토","일"))</f>
        <v/>
      </c>
      <c r="C285" s="18" t="inlineStr">
        <is>
          <t>M001</t>
        </is>
      </c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>
        <v>46315</v>
      </c>
      <c r="B286" s="25">
        <f>IF(A286="","",CHOOSE(WEEKDAY(A286,2),"월","화","수","목","금","토","일"))</f>
        <v/>
      </c>
      <c r="C286" s="18" t="inlineStr">
        <is>
          <t>M001</t>
        </is>
      </c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>
        <v>46316</v>
      </c>
      <c r="B287" s="25">
        <f>IF(A287="","",CHOOSE(WEEKDAY(A287,2),"월","화","수","목","금","토","일"))</f>
        <v/>
      </c>
      <c r="C287" s="18" t="inlineStr">
        <is>
          <t>M001</t>
        </is>
      </c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>
        <v>46317</v>
      </c>
      <c r="B288" s="25">
        <f>IF(A288="","",CHOOSE(WEEKDAY(A288,2),"월","화","수","목","금","토","일"))</f>
        <v/>
      </c>
      <c r="C288" s="18" t="inlineStr">
        <is>
          <t>M001</t>
        </is>
      </c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>
        <v>46318</v>
      </c>
      <c r="B289" s="25">
        <f>IF(A289="","",CHOOSE(WEEKDAY(A289,2),"월","화","수","목","금","토","일"))</f>
        <v/>
      </c>
      <c r="C289" s="18" t="inlineStr">
        <is>
          <t>M001</t>
        </is>
      </c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>
        <v>46319</v>
      </c>
      <c r="B290" s="25">
        <f>IF(A290="","",CHOOSE(WEEKDAY(A290,2),"월","화","수","목","금","토","일"))</f>
        <v/>
      </c>
      <c r="C290" s="18" t="inlineStr">
        <is>
          <t>M001</t>
        </is>
      </c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42" t="inlineStr">
        <is>
          <t>주말</t>
        </is>
      </c>
    </row>
    <row r="291">
      <c r="A291" s="19" t="n">
        <v>46320</v>
      </c>
      <c r="B291" s="25">
        <f>IF(A291="","",CHOOSE(WEEKDAY(A291,2),"월","화","수","목","금","토","일"))</f>
        <v/>
      </c>
      <c r="C291" s="18" t="inlineStr">
        <is>
          <t>M001</t>
        </is>
      </c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42" t="inlineStr">
        <is>
          <t>주말</t>
        </is>
      </c>
    </row>
    <row r="292">
      <c r="A292" s="19" t="n">
        <v>46321</v>
      </c>
      <c r="B292" s="25">
        <f>IF(A292="","",CHOOSE(WEEKDAY(A292,2),"월","화","수","목","금","토","일"))</f>
        <v/>
      </c>
      <c r="C292" s="18" t="inlineStr">
        <is>
          <t>M001</t>
        </is>
      </c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>
        <v>46322</v>
      </c>
      <c r="B293" s="25">
        <f>IF(A293="","",CHOOSE(WEEKDAY(A293,2),"월","화","수","목","금","토","일"))</f>
        <v/>
      </c>
      <c r="C293" s="18" t="inlineStr">
        <is>
          <t>M001</t>
        </is>
      </c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>
        <v>46323</v>
      </c>
      <c r="B294" s="25">
        <f>IF(A294="","",CHOOSE(WEEKDAY(A294,2),"월","화","수","목","금","토","일"))</f>
        <v/>
      </c>
      <c r="C294" s="18" t="inlineStr">
        <is>
          <t>M001</t>
        </is>
      </c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>
        <v>46324</v>
      </c>
      <c r="B295" s="25">
        <f>IF(A295="","",CHOOSE(WEEKDAY(A295,2),"월","화","수","목","금","토","일"))</f>
        <v/>
      </c>
      <c r="C295" s="18" t="inlineStr">
        <is>
          <t>M001</t>
        </is>
      </c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>
        <v>46325</v>
      </c>
      <c r="B296" s="25">
        <f>IF(A296="","",CHOOSE(WEEKDAY(A296,2),"월","화","수","목","금","토","일"))</f>
        <v/>
      </c>
      <c r="C296" s="18" t="inlineStr">
        <is>
          <t>M001</t>
        </is>
      </c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>
        <v>46326</v>
      </c>
      <c r="B297" s="25">
        <f>IF(A297="","",CHOOSE(WEEKDAY(A297,2),"월","화","수","목","금","토","일"))</f>
        <v/>
      </c>
      <c r="C297" s="18" t="inlineStr">
        <is>
          <t>M001</t>
        </is>
      </c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42" t="inlineStr">
        <is>
          <t>주말</t>
        </is>
      </c>
    </row>
    <row r="298">
      <c r="A298" s="19" t="n">
        <v>46327</v>
      </c>
      <c r="B298" s="25">
        <f>IF(A298="","",CHOOSE(WEEKDAY(A298,2),"월","화","수","목","금","토","일"))</f>
        <v/>
      </c>
      <c r="C298" s="18" t="inlineStr">
        <is>
          <t>M001</t>
        </is>
      </c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42" t="inlineStr">
        <is>
          <t>주말</t>
        </is>
      </c>
    </row>
    <row r="299">
      <c r="A299" s="19" t="n">
        <v>46328</v>
      </c>
      <c r="B299" s="25">
        <f>IF(A299="","",CHOOSE(WEEKDAY(A299,2),"월","화","수","목","금","토","일"))</f>
        <v/>
      </c>
      <c r="C299" s="18" t="inlineStr">
        <is>
          <t>M001</t>
        </is>
      </c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>
        <v>46329</v>
      </c>
      <c r="B300" s="25">
        <f>IF(A300="","",CHOOSE(WEEKDAY(A300,2),"월","화","수","목","금","토","일"))</f>
        <v/>
      </c>
      <c r="C300" s="18" t="inlineStr">
        <is>
          <t>M001</t>
        </is>
      </c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>
        <v>46330</v>
      </c>
      <c r="B301" s="25">
        <f>IF(A301="","",CHOOSE(WEEKDAY(A301,2),"월","화","수","목","금","토","일"))</f>
        <v/>
      </c>
      <c r="C301" s="18" t="inlineStr">
        <is>
          <t>M001</t>
        </is>
      </c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>
        <v>46331</v>
      </c>
      <c r="B302" s="25">
        <f>IF(A302="","",CHOOSE(WEEKDAY(A302,2),"월","화","수","목","금","토","일"))</f>
        <v/>
      </c>
      <c r="C302" s="18" t="inlineStr">
        <is>
          <t>M001</t>
        </is>
      </c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>
        <v>46332</v>
      </c>
      <c r="B303" s="25">
        <f>IF(A303="","",CHOOSE(WEEKDAY(A303,2),"월","화","수","목","금","토","일"))</f>
        <v/>
      </c>
      <c r="C303" s="18" t="inlineStr">
        <is>
          <t>M001</t>
        </is>
      </c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>
        <v>46333</v>
      </c>
      <c r="B304" s="25">
        <f>IF(A304="","",CHOOSE(WEEKDAY(A304,2),"월","화","수","목","금","토","일"))</f>
        <v/>
      </c>
      <c r="C304" s="18" t="inlineStr">
        <is>
          <t>M001</t>
        </is>
      </c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42" t="inlineStr">
        <is>
          <t>주말</t>
        </is>
      </c>
    </row>
    <row r="305">
      <c r="A305" s="19" t="n">
        <v>46334</v>
      </c>
      <c r="B305" s="25">
        <f>IF(A305="","",CHOOSE(WEEKDAY(A305,2),"월","화","수","목","금","토","일"))</f>
        <v/>
      </c>
      <c r="C305" s="18" t="inlineStr">
        <is>
          <t>M001</t>
        </is>
      </c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42" t="inlineStr">
        <is>
          <t>주말</t>
        </is>
      </c>
    </row>
    <row r="306">
      <c r="A306" s="19" t="n">
        <v>46335</v>
      </c>
      <c r="B306" s="25">
        <f>IF(A306="","",CHOOSE(WEEKDAY(A306,2),"월","화","수","목","금","토","일"))</f>
        <v/>
      </c>
      <c r="C306" s="18" t="inlineStr">
        <is>
          <t>M001</t>
        </is>
      </c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>
        <v>46336</v>
      </c>
      <c r="B307" s="25">
        <f>IF(A307="","",CHOOSE(WEEKDAY(A307,2),"월","화","수","목","금","토","일"))</f>
        <v/>
      </c>
      <c r="C307" s="18" t="inlineStr">
        <is>
          <t>M001</t>
        </is>
      </c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>
        <v>46337</v>
      </c>
      <c r="B308" s="25">
        <f>IF(A308="","",CHOOSE(WEEKDAY(A308,2),"월","화","수","목","금","토","일"))</f>
        <v/>
      </c>
      <c r="C308" s="18" t="inlineStr">
        <is>
          <t>M001</t>
        </is>
      </c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>
        <v>46338</v>
      </c>
      <c r="B309" s="25">
        <f>IF(A309="","",CHOOSE(WEEKDAY(A309,2),"월","화","수","목","금","토","일"))</f>
        <v/>
      </c>
      <c r="C309" s="18" t="inlineStr">
        <is>
          <t>M001</t>
        </is>
      </c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>
        <v>46339</v>
      </c>
      <c r="B310" s="25">
        <f>IF(A310="","",CHOOSE(WEEKDAY(A310,2),"월","화","수","목","금","토","일"))</f>
        <v/>
      </c>
      <c r="C310" s="18" t="inlineStr">
        <is>
          <t>M001</t>
        </is>
      </c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>
        <v>46340</v>
      </c>
      <c r="B311" s="25">
        <f>IF(A311="","",CHOOSE(WEEKDAY(A311,2),"월","화","수","목","금","토","일"))</f>
        <v/>
      </c>
      <c r="C311" s="18" t="inlineStr">
        <is>
          <t>M001</t>
        </is>
      </c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42" t="inlineStr">
        <is>
          <t>주말</t>
        </is>
      </c>
    </row>
    <row r="312">
      <c r="A312" s="19" t="n">
        <v>46341</v>
      </c>
      <c r="B312" s="25">
        <f>IF(A312="","",CHOOSE(WEEKDAY(A312,2),"월","화","수","목","금","토","일"))</f>
        <v/>
      </c>
      <c r="C312" s="18" t="inlineStr">
        <is>
          <t>M001</t>
        </is>
      </c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42" t="inlineStr">
        <is>
          <t>주말</t>
        </is>
      </c>
    </row>
    <row r="313">
      <c r="A313" s="19" t="n">
        <v>46342</v>
      </c>
      <c r="B313" s="25">
        <f>IF(A313="","",CHOOSE(WEEKDAY(A313,2),"월","화","수","목","금","토","일"))</f>
        <v/>
      </c>
      <c r="C313" s="18" t="inlineStr">
        <is>
          <t>M001</t>
        </is>
      </c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>
        <v>46343</v>
      </c>
      <c r="B314" s="25">
        <f>IF(A314="","",CHOOSE(WEEKDAY(A314,2),"월","화","수","목","금","토","일"))</f>
        <v/>
      </c>
      <c r="C314" s="18" t="inlineStr">
        <is>
          <t>M001</t>
        </is>
      </c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>
        <v>46344</v>
      </c>
      <c r="B315" s="25">
        <f>IF(A315="","",CHOOSE(WEEKDAY(A315,2),"월","화","수","목","금","토","일"))</f>
        <v/>
      </c>
      <c r="C315" s="18" t="inlineStr">
        <is>
          <t>M001</t>
        </is>
      </c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>
        <v>46345</v>
      </c>
      <c r="B316" s="25">
        <f>IF(A316="","",CHOOSE(WEEKDAY(A316,2),"월","화","수","목","금","토","일"))</f>
        <v/>
      </c>
      <c r="C316" s="18" t="inlineStr">
        <is>
          <t>M001</t>
        </is>
      </c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>
        <v>46346</v>
      </c>
      <c r="B317" s="25">
        <f>IF(A317="","",CHOOSE(WEEKDAY(A317,2),"월","화","수","목","금","토","일"))</f>
        <v/>
      </c>
      <c r="C317" s="18" t="inlineStr">
        <is>
          <t>M001</t>
        </is>
      </c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>
        <v>46347</v>
      </c>
      <c r="B318" s="25">
        <f>IF(A318="","",CHOOSE(WEEKDAY(A318,2),"월","화","수","목","금","토","일"))</f>
        <v/>
      </c>
      <c r="C318" s="18" t="inlineStr">
        <is>
          <t>M001</t>
        </is>
      </c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42" t="inlineStr">
        <is>
          <t>주말</t>
        </is>
      </c>
    </row>
    <row r="319">
      <c r="A319" s="19" t="n">
        <v>46348</v>
      </c>
      <c r="B319" s="25">
        <f>IF(A319="","",CHOOSE(WEEKDAY(A319,2),"월","화","수","목","금","토","일"))</f>
        <v/>
      </c>
      <c r="C319" s="18" t="inlineStr">
        <is>
          <t>M001</t>
        </is>
      </c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42" t="inlineStr">
        <is>
          <t>주말</t>
        </is>
      </c>
    </row>
    <row r="320">
      <c r="A320" s="19" t="n">
        <v>46349</v>
      </c>
      <c r="B320" s="25">
        <f>IF(A320="","",CHOOSE(WEEKDAY(A320,2),"월","화","수","목","금","토","일"))</f>
        <v/>
      </c>
      <c r="C320" s="18" t="inlineStr">
        <is>
          <t>M001</t>
        </is>
      </c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>
        <v>46350</v>
      </c>
      <c r="B321" s="25">
        <f>IF(A321="","",CHOOSE(WEEKDAY(A321,2),"월","화","수","목","금","토","일"))</f>
        <v/>
      </c>
      <c r="C321" s="18" t="inlineStr">
        <is>
          <t>M001</t>
        </is>
      </c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>
        <v>46351</v>
      </c>
      <c r="B322" s="25">
        <f>IF(A322="","",CHOOSE(WEEKDAY(A322,2),"월","화","수","목","금","토","일"))</f>
        <v/>
      </c>
      <c r="C322" s="18" t="inlineStr">
        <is>
          <t>M001</t>
        </is>
      </c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>
        <v>46352</v>
      </c>
      <c r="B323" s="25">
        <f>IF(A323="","",CHOOSE(WEEKDAY(A323,2),"월","화","수","목","금","토","일"))</f>
        <v/>
      </c>
      <c r="C323" s="18" t="inlineStr">
        <is>
          <t>M001</t>
        </is>
      </c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>
        <v>46353</v>
      </c>
      <c r="B324" s="25">
        <f>IF(A324="","",CHOOSE(WEEKDAY(A324,2),"월","화","수","목","금","토","일"))</f>
        <v/>
      </c>
      <c r="C324" s="18" t="inlineStr">
        <is>
          <t>M001</t>
        </is>
      </c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>
        <v>46354</v>
      </c>
      <c r="B325" s="25">
        <f>IF(A325="","",CHOOSE(WEEKDAY(A325,2),"월","화","수","목","금","토","일"))</f>
        <v/>
      </c>
      <c r="C325" s="18" t="inlineStr">
        <is>
          <t>M001</t>
        </is>
      </c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42" t="inlineStr">
        <is>
          <t>주말</t>
        </is>
      </c>
    </row>
    <row r="326">
      <c r="A326" s="19" t="n">
        <v>46355</v>
      </c>
      <c r="B326" s="25">
        <f>IF(A326="","",CHOOSE(WEEKDAY(A326,2),"월","화","수","목","금","토","일"))</f>
        <v/>
      </c>
      <c r="C326" s="18" t="inlineStr">
        <is>
          <t>M001</t>
        </is>
      </c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42" t="inlineStr">
        <is>
          <t>주말</t>
        </is>
      </c>
    </row>
    <row r="327">
      <c r="A327" s="19" t="n">
        <v>46356</v>
      </c>
      <c r="B327" s="25">
        <f>IF(A327="","",CHOOSE(WEEKDAY(A327,2),"월","화","수","목","금","토","일"))</f>
        <v/>
      </c>
      <c r="C327" s="18" t="inlineStr">
        <is>
          <t>M001</t>
        </is>
      </c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>
        <v>46357</v>
      </c>
      <c r="B328" s="25">
        <f>IF(A328="","",CHOOSE(WEEKDAY(A328,2),"월","화","수","목","금","토","일"))</f>
        <v/>
      </c>
      <c r="C328" s="18" t="inlineStr">
        <is>
          <t>M001</t>
        </is>
      </c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>
        <v>46358</v>
      </c>
      <c r="B329" s="25">
        <f>IF(A329="","",CHOOSE(WEEKDAY(A329,2),"월","화","수","목","금","토","일"))</f>
        <v/>
      </c>
      <c r="C329" s="18" t="inlineStr">
        <is>
          <t>M001</t>
        </is>
      </c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>
        <v>46359</v>
      </c>
      <c r="B330" s="25">
        <f>IF(A330="","",CHOOSE(WEEKDAY(A330,2),"월","화","수","목","금","토","일"))</f>
        <v/>
      </c>
      <c r="C330" s="18" t="inlineStr">
        <is>
          <t>M001</t>
        </is>
      </c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>
        <v>46360</v>
      </c>
      <c r="B331" s="25">
        <f>IF(A331="","",CHOOSE(WEEKDAY(A331,2),"월","화","수","목","금","토","일"))</f>
        <v/>
      </c>
      <c r="C331" s="18" t="inlineStr">
        <is>
          <t>M001</t>
        </is>
      </c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>
        <v>46361</v>
      </c>
      <c r="B332" s="25">
        <f>IF(A332="","",CHOOSE(WEEKDAY(A332,2),"월","화","수","목","금","토","일"))</f>
        <v/>
      </c>
      <c r="C332" s="18" t="inlineStr">
        <is>
          <t>M001</t>
        </is>
      </c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42" t="inlineStr">
        <is>
          <t>주말</t>
        </is>
      </c>
    </row>
    <row r="333">
      <c r="A333" s="19" t="n">
        <v>46362</v>
      </c>
      <c r="B333" s="25">
        <f>IF(A333="","",CHOOSE(WEEKDAY(A333,2),"월","화","수","목","금","토","일"))</f>
        <v/>
      </c>
      <c r="C333" s="18" t="inlineStr">
        <is>
          <t>M001</t>
        </is>
      </c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42" t="inlineStr">
        <is>
          <t>주말</t>
        </is>
      </c>
    </row>
    <row r="334">
      <c r="A334" s="19" t="n">
        <v>46363</v>
      </c>
      <c r="B334" s="25">
        <f>IF(A334="","",CHOOSE(WEEKDAY(A334,2),"월","화","수","목","금","토","일"))</f>
        <v/>
      </c>
      <c r="C334" s="18" t="inlineStr">
        <is>
          <t>M001</t>
        </is>
      </c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>
        <v>46364</v>
      </c>
      <c r="B335" s="25">
        <f>IF(A335="","",CHOOSE(WEEKDAY(A335,2),"월","화","수","목","금","토","일"))</f>
        <v/>
      </c>
      <c r="C335" s="18" t="inlineStr">
        <is>
          <t>M001</t>
        </is>
      </c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>
        <v>46365</v>
      </c>
      <c r="B336" s="25">
        <f>IF(A336="","",CHOOSE(WEEKDAY(A336,2),"월","화","수","목","금","토","일"))</f>
        <v/>
      </c>
      <c r="C336" s="18" t="inlineStr">
        <is>
          <t>M001</t>
        </is>
      </c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>
        <v>46366</v>
      </c>
      <c r="B337" s="25">
        <f>IF(A337="","",CHOOSE(WEEKDAY(A337,2),"월","화","수","목","금","토","일"))</f>
        <v/>
      </c>
      <c r="C337" s="18" t="inlineStr">
        <is>
          <t>M001</t>
        </is>
      </c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>
        <v>46367</v>
      </c>
      <c r="B338" s="25">
        <f>IF(A338="","",CHOOSE(WEEKDAY(A338,2),"월","화","수","목","금","토","일"))</f>
        <v/>
      </c>
      <c r="C338" s="18" t="inlineStr">
        <is>
          <t>M001</t>
        </is>
      </c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>
        <v>46368</v>
      </c>
      <c r="B339" s="25">
        <f>IF(A339="","",CHOOSE(WEEKDAY(A339,2),"월","화","수","목","금","토","일"))</f>
        <v/>
      </c>
      <c r="C339" s="18" t="inlineStr">
        <is>
          <t>M001</t>
        </is>
      </c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42" t="inlineStr">
        <is>
          <t>주말</t>
        </is>
      </c>
    </row>
    <row r="340">
      <c r="A340" s="19" t="n">
        <v>46369</v>
      </c>
      <c r="B340" s="25">
        <f>IF(A340="","",CHOOSE(WEEKDAY(A340,2),"월","화","수","목","금","토","일"))</f>
        <v/>
      </c>
      <c r="C340" s="18" t="inlineStr">
        <is>
          <t>M001</t>
        </is>
      </c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42" t="inlineStr">
        <is>
          <t>주말</t>
        </is>
      </c>
    </row>
    <row r="341">
      <c r="A341" s="19" t="n">
        <v>46370</v>
      </c>
      <c r="B341" s="25">
        <f>IF(A341="","",CHOOSE(WEEKDAY(A341,2),"월","화","수","목","금","토","일"))</f>
        <v/>
      </c>
      <c r="C341" s="18" t="inlineStr">
        <is>
          <t>M001</t>
        </is>
      </c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>
        <v>46371</v>
      </c>
      <c r="B342" s="25">
        <f>IF(A342="","",CHOOSE(WEEKDAY(A342,2),"월","화","수","목","금","토","일"))</f>
        <v/>
      </c>
      <c r="C342" s="18" t="inlineStr">
        <is>
          <t>M001</t>
        </is>
      </c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>
        <v>46372</v>
      </c>
      <c r="B343" s="25">
        <f>IF(A343="","",CHOOSE(WEEKDAY(A343,2),"월","화","수","목","금","토","일"))</f>
        <v/>
      </c>
      <c r="C343" s="18" t="inlineStr">
        <is>
          <t>M001</t>
        </is>
      </c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>
        <v>46373</v>
      </c>
      <c r="B344" s="25">
        <f>IF(A344="","",CHOOSE(WEEKDAY(A344,2),"월","화","수","목","금","토","일"))</f>
        <v/>
      </c>
      <c r="C344" s="18" t="inlineStr">
        <is>
          <t>M001</t>
        </is>
      </c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>
        <v>46374</v>
      </c>
      <c r="B345" s="25">
        <f>IF(A345="","",CHOOSE(WEEKDAY(A345,2),"월","화","수","목","금","토","일"))</f>
        <v/>
      </c>
      <c r="C345" s="18" t="inlineStr">
        <is>
          <t>M001</t>
        </is>
      </c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>
        <v>46375</v>
      </c>
      <c r="B346" s="25">
        <f>IF(A346="","",CHOOSE(WEEKDAY(A346,2),"월","화","수","목","금","토","일"))</f>
        <v/>
      </c>
      <c r="C346" s="18" t="inlineStr">
        <is>
          <t>M001</t>
        </is>
      </c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42" t="inlineStr">
        <is>
          <t>주말</t>
        </is>
      </c>
    </row>
    <row r="347">
      <c r="A347" s="19" t="n">
        <v>46376</v>
      </c>
      <c r="B347" s="25">
        <f>IF(A347="","",CHOOSE(WEEKDAY(A347,2),"월","화","수","목","금","토","일"))</f>
        <v/>
      </c>
      <c r="C347" s="18" t="inlineStr">
        <is>
          <t>M001</t>
        </is>
      </c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42" t="inlineStr">
        <is>
          <t>주말</t>
        </is>
      </c>
    </row>
    <row r="348">
      <c r="A348" s="19" t="n">
        <v>46377</v>
      </c>
      <c r="B348" s="25">
        <f>IF(A348="","",CHOOSE(WEEKDAY(A348,2),"월","화","수","목","금","토","일"))</f>
        <v/>
      </c>
      <c r="C348" s="18" t="inlineStr">
        <is>
          <t>M001</t>
        </is>
      </c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>
        <v>46378</v>
      </c>
      <c r="B349" s="25">
        <f>IF(A349="","",CHOOSE(WEEKDAY(A349,2),"월","화","수","목","금","토","일"))</f>
        <v/>
      </c>
      <c r="C349" s="18" t="inlineStr">
        <is>
          <t>M001</t>
        </is>
      </c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>
        <v>46379</v>
      </c>
      <c r="B350" s="25">
        <f>IF(A350="","",CHOOSE(WEEKDAY(A350,2),"월","화","수","목","금","토","일"))</f>
        <v/>
      </c>
      <c r="C350" s="18" t="inlineStr">
        <is>
          <t>M001</t>
        </is>
      </c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>
        <v>46380</v>
      </c>
      <c r="B351" s="25">
        <f>IF(A351="","",CHOOSE(WEEKDAY(A351,2),"월","화","수","목","금","토","일"))</f>
        <v/>
      </c>
      <c r="C351" s="18" t="inlineStr">
        <is>
          <t>M001</t>
        </is>
      </c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>
        <v>46381</v>
      </c>
      <c r="B352" s="25">
        <f>IF(A352="","",CHOOSE(WEEKDAY(A352,2),"월","화","수","목","금","토","일"))</f>
        <v/>
      </c>
      <c r="C352" s="18" t="inlineStr">
        <is>
          <t>M001</t>
        </is>
      </c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42" t="inlineStr">
        <is>
          <t>성탄절</t>
        </is>
      </c>
    </row>
    <row r="353">
      <c r="A353" s="19" t="n">
        <v>46382</v>
      </c>
      <c r="B353" s="25">
        <f>IF(A353="","",CHOOSE(WEEKDAY(A353,2),"월","화","수","목","금","토","일"))</f>
        <v/>
      </c>
      <c r="C353" s="18" t="inlineStr">
        <is>
          <t>M001</t>
        </is>
      </c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42" t="inlineStr">
        <is>
          <t>주말</t>
        </is>
      </c>
    </row>
    <row r="354">
      <c r="A354" s="19" t="n">
        <v>46383</v>
      </c>
      <c r="B354" s="25">
        <f>IF(A354="","",CHOOSE(WEEKDAY(A354,2),"월","화","수","목","금","토","일"))</f>
        <v/>
      </c>
      <c r="C354" s="18" t="inlineStr">
        <is>
          <t>M001</t>
        </is>
      </c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42" t="inlineStr">
        <is>
          <t>주말</t>
        </is>
      </c>
    </row>
    <row r="355">
      <c r="A355" s="19" t="n">
        <v>46384</v>
      </c>
      <c r="B355" s="25">
        <f>IF(A355="","",CHOOSE(WEEKDAY(A355,2),"월","화","수","목","금","토","일"))</f>
        <v/>
      </c>
      <c r="C355" s="18" t="inlineStr">
        <is>
          <t>M001</t>
        </is>
      </c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>
        <v>46385</v>
      </c>
      <c r="B356" s="25">
        <f>IF(A356="","",CHOOSE(WEEKDAY(A356,2),"월","화","수","목","금","토","일"))</f>
        <v/>
      </c>
      <c r="C356" s="18" t="inlineStr">
        <is>
          <t>M001</t>
        </is>
      </c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>
        <v>46386</v>
      </c>
      <c r="B357" s="25">
        <f>IF(A357="","",CHOOSE(WEEKDAY(A357,2),"월","화","수","목","금","토","일"))</f>
        <v/>
      </c>
      <c r="C357" s="18" t="inlineStr">
        <is>
          <t>M001</t>
        </is>
      </c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>
        <v>46387</v>
      </c>
      <c r="B358" s="25">
        <f>IF(A358="","",CHOOSE(WEEKDAY(A358,2),"월","화","수","목","금","토","일"))</f>
        <v/>
      </c>
      <c r="C358" s="18" t="inlineStr">
        <is>
          <t>M001</t>
        </is>
      </c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  <row r="2011">
      <c r="A2011" s="2" t="inlineStr">
        <is>
          <t>· 「조퇴」는 사원이 사정이 생겨 먼저 간 날입니다. 회사가 먼저 가라고 한 날은 「단축근무」로 적으세요. 임금은 소정근로시간 전부를 지급하며 연차에서 차감하지 않습니다. 둘을 섞어 적으면 월별집계의 조퇴 건수가 사원의 잘못처럼 보입니다.</t>
        </is>
      </c>
    </row>
  </sheetData>
  <dataValidations count="1">
    <dataValidation sqref="L5:L2004" showDropDown="0" showInputMessage="0" showErrorMessage="0" allowBlank="1" type="list">
      <formula1>=코드표!$C$5:$C$14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46266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46327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3" customWidth="1" min="4" max="4"/>
    <col width="34" customWidth="1" min="5" max="5"/>
    <col width="26" customWidth="1" min="6" max="6"/>
    <col width="16" customWidth="1" min="7" max="7"/>
    <col width="13" customWidth="1" min="8" max="8"/>
    <col width="14" customWidth="1" min="9" max="9"/>
    <col width="13" customWidth="1" min="10" max="10"/>
    <col width="12" customWidth="1" min="11" max="11"/>
  </cols>
  <sheetData>
    <row r="1">
      <c r="A1" s="1" t="inlineStr">
        <is>
          <t>근로자명부</t>
        </is>
      </c>
    </row>
    <row r="2">
      <c r="A2" s="2" t="inlineStr">
        <is>
          <t>근로기준법 제41조 · 시행령 제20조가 정한 법정 서류입니다. 퇴직일부터 3년간 보존합니다. (제42조)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1" t="inlineStr">
        <is>
          <t>성명</t>
        </is>
      </c>
      <c r="C4" s="10" t="inlineStr">
        <is>
          <t>성별</t>
        </is>
      </c>
      <c r="D4" s="10" t="inlineStr">
        <is>
          <t>생년월일</t>
        </is>
      </c>
      <c r="E4" s="10" t="inlineStr">
        <is>
          <t>주소</t>
        </is>
      </c>
      <c r="F4" s="10" t="inlineStr">
        <is>
          <t>이력</t>
        </is>
      </c>
      <c r="G4" s="10" t="inlineStr">
        <is>
          <t>종사하는 업무</t>
        </is>
      </c>
      <c r="H4" s="11" t="inlineStr">
        <is>
          <t>고용연월일</t>
        </is>
      </c>
      <c r="I4" s="10" t="inlineStr">
        <is>
          <t>계약기간</t>
        </is>
      </c>
      <c r="J4" s="11" t="inlineStr">
        <is>
          <t>퇴직일</t>
        </is>
      </c>
      <c r="K4" s="10" t="inlineStr">
        <is>
          <t>퇴직사유</t>
        </is>
      </c>
    </row>
    <row r="5">
      <c r="A5" s="18" t="n"/>
      <c r="B5" s="25">
        <f>IFERROR(IF(A5="","",IF(INDEX(직원명부!$B$5:$B$24,MATCH(A5,직원명부!$A$5:$A$24,0))=0,"",INDEX(직원명부!$B$5:$B$24,MATCH(A5,직원명부!$A$5:$A$24,0)))),"사번 확인")</f>
        <v/>
      </c>
      <c r="C5" s="18" t="n"/>
      <c r="D5" s="19" t="n"/>
      <c r="E5" s="22" t="n"/>
      <c r="F5" s="22" t="n"/>
      <c r="G5" s="22" t="n"/>
      <c r="H5" s="26">
        <f>IFERROR(IF(A5="","",IF(INDEX(직원명부!$C$5:$C$24,MATCH(A5,직원명부!$A$5:$A$24,0))=0,"",INDEX(직원명부!$C$5:$C$24,MATCH(A5,직원명부!$A$5:$A$24,0)))),"")</f>
        <v/>
      </c>
      <c r="I5" s="18" t="n"/>
      <c r="J5" s="26">
        <f>IFERROR(IF(A5="","",IF(INDEX(직원명부!$G$5:$G$24,MATCH(A5,직원명부!$A$5:$A$24,0))=0,"",INDEX(직원명부!$G$5:$G$24,MATCH(A5,직원명부!$A$5:$A$24,0)))),"")</f>
        <v/>
      </c>
      <c r="K5" s="18" t="n"/>
    </row>
    <row r="6">
      <c r="A6" s="18" t="n"/>
      <c r="B6" s="25">
        <f>IFERROR(IF(A6="","",IF(INDEX(직원명부!$B$5:$B$24,MATCH(A6,직원명부!$A$5:$A$24,0))=0,"",INDEX(직원명부!$B$5:$B$24,MATCH(A6,직원명부!$A$5:$A$24,0)))),"사번 확인")</f>
        <v/>
      </c>
      <c r="C6" s="18" t="n"/>
      <c r="D6" s="19" t="n"/>
      <c r="E6" s="22" t="n"/>
      <c r="F6" s="22" t="n"/>
      <c r="G6" s="22" t="n"/>
      <c r="H6" s="26">
        <f>IFERROR(IF(A6="","",IF(INDEX(직원명부!$C$5:$C$24,MATCH(A6,직원명부!$A$5:$A$24,0))=0,"",INDEX(직원명부!$C$5:$C$24,MATCH(A6,직원명부!$A$5:$A$24,0)))),"")</f>
        <v/>
      </c>
      <c r="I6" s="18" t="n"/>
      <c r="J6" s="26">
        <f>IFERROR(IF(A6="","",IF(INDEX(직원명부!$G$5:$G$24,MATCH(A6,직원명부!$A$5:$A$24,0))=0,"",INDEX(직원명부!$G$5:$G$24,MATCH(A6,직원명부!$A$5:$A$24,0)))),"")</f>
        <v/>
      </c>
      <c r="K6" s="18" t="n"/>
    </row>
    <row r="7">
      <c r="A7" s="18" t="n"/>
      <c r="B7" s="25">
        <f>IFERROR(IF(A7="","",IF(INDEX(직원명부!$B$5:$B$24,MATCH(A7,직원명부!$A$5:$A$24,0))=0,"",INDEX(직원명부!$B$5:$B$24,MATCH(A7,직원명부!$A$5:$A$24,0)))),"사번 확인")</f>
        <v/>
      </c>
      <c r="C7" s="18" t="n"/>
      <c r="D7" s="19" t="n"/>
      <c r="E7" s="22" t="n"/>
      <c r="F7" s="22" t="n"/>
      <c r="G7" s="22" t="n"/>
      <c r="H7" s="26">
        <f>IFERROR(IF(A7="","",IF(INDEX(직원명부!$C$5:$C$24,MATCH(A7,직원명부!$A$5:$A$24,0))=0,"",INDEX(직원명부!$C$5:$C$24,MATCH(A7,직원명부!$A$5:$A$24,0)))),"")</f>
        <v/>
      </c>
      <c r="I7" s="18" t="n"/>
      <c r="J7" s="26">
        <f>IFERROR(IF(A7="","",IF(INDEX(직원명부!$G$5:$G$24,MATCH(A7,직원명부!$A$5:$A$24,0))=0,"",INDEX(직원명부!$G$5:$G$24,MATCH(A7,직원명부!$A$5:$A$24,0)))),"")</f>
        <v/>
      </c>
      <c r="K7" s="18" t="n"/>
    </row>
    <row r="8">
      <c r="A8" s="18" t="n"/>
      <c r="B8" s="25">
        <f>IFERROR(IF(A8="","",IF(INDEX(직원명부!$B$5:$B$24,MATCH(A8,직원명부!$A$5:$A$24,0))=0,"",INDEX(직원명부!$B$5:$B$24,MATCH(A8,직원명부!$A$5:$A$24,0)))),"사번 확인")</f>
        <v/>
      </c>
      <c r="C8" s="18" t="n"/>
      <c r="D8" s="19" t="n"/>
      <c r="E8" s="22" t="n"/>
      <c r="F8" s="22" t="n"/>
      <c r="G8" s="22" t="n"/>
      <c r="H8" s="26">
        <f>IFERROR(IF(A8="","",IF(INDEX(직원명부!$C$5:$C$24,MATCH(A8,직원명부!$A$5:$A$24,0))=0,"",INDEX(직원명부!$C$5:$C$24,MATCH(A8,직원명부!$A$5:$A$24,0)))),"")</f>
        <v/>
      </c>
      <c r="I8" s="18" t="n"/>
      <c r="J8" s="26">
        <f>IFERROR(IF(A8="","",IF(INDEX(직원명부!$G$5:$G$24,MATCH(A8,직원명부!$A$5:$A$24,0))=0,"",INDEX(직원명부!$G$5:$G$24,MATCH(A8,직원명부!$A$5:$A$24,0)))),"")</f>
        <v/>
      </c>
      <c r="K8" s="18" t="n"/>
    </row>
    <row r="9">
      <c r="A9" s="18" t="n"/>
      <c r="B9" s="25">
        <f>IFERROR(IF(A9="","",IF(INDEX(직원명부!$B$5:$B$24,MATCH(A9,직원명부!$A$5:$A$24,0))=0,"",INDEX(직원명부!$B$5:$B$24,MATCH(A9,직원명부!$A$5:$A$24,0)))),"사번 확인")</f>
        <v/>
      </c>
      <c r="C9" s="18" t="n"/>
      <c r="D9" s="19" t="n"/>
      <c r="E9" s="22" t="n"/>
      <c r="F9" s="22" t="n"/>
      <c r="G9" s="22" t="n"/>
      <c r="H9" s="26">
        <f>IFERROR(IF(A9="","",IF(INDEX(직원명부!$C$5:$C$24,MATCH(A9,직원명부!$A$5:$A$24,0))=0,"",INDEX(직원명부!$C$5:$C$24,MATCH(A9,직원명부!$A$5:$A$24,0)))),"")</f>
        <v/>
      </c>
      <c r="I9" s="18" t="n"/>
      <c r="J9" s="26">
        <f>IFERROR(IF(A9="","",IF(INDEX(직원명부!$G$5:$G$24,MATCH(A9,직원명부!$A$5:$A$24,0))=0,"",INDEX(직원명부!$G$5:$G$24,MATCH(A9,직원명부!$A$5:$A$24,0)))),"")</f>
        <v/>
      </c>
      <c r="K9" s="18" t="n"/>
    </row>
    <row r="10">
      <c r="A10" s="18" t="n"/>
      <c r="B10" s="25">
        <f>IFERROR(IF(A10="","",IF(INDEX(직원명부!$B$5:$B$24,MATCH(A10,직원명부!$A$5:$A$24,0))=0,"",INDEX(직원명부!$B$5:$B$24,MATCH(A10,직원명부!$A$5:$A$24,0)))),"사번 확인")</f>
        <v/>
      </c>
      <c r="C10" s="18" t="n"/>
      <c r="D10" s="19" t="n"/>
      <c r="E10" s="22" t="n"/>
      <c r="F10" s="22" t="n"/>
      <c r="G10" s="22" t="n"/>
      <c r="H10" s="26">
        <f>IFERROR(IF(A10="","",IF(INDEX(직원명부!$C$5:$C$24,MATCH(A10,직원명부!$A$5:$A$24,0))=0,"",INDEX(직원명부!$C$5:$C$24,MATCH(A10,직원명부!$A$5:$A$24,0)))),"")</f>
        <v/>
      </c>
      <c r="I10" s="18" t="n"/>
      <c r="J10" s="26">
        <f>IFERROR(IF(A10="","",IF(INDEX(직원명부!$G$5:$G$24,MATCH(A10,직원명부!$A$5:$A$24,0))=0,"",INDEX(직원명부!$G$5:$G$24,MATCH(A10,직원명부!$A$5:$A$24,0)))),"")</f>
        <v/>
      </c>
      <c r="K10" s="18" t="n"/>
    </row>
    <row r="11">
      <c r="A11" s="18" t="n"/>
      <c r="B11" s="25">
        <f>IFERROR(IF(A11="","",IF(INDEX(직원명부!$B$5:$B$24,MATCH(A11,직원명부!$A$5:$A$24,0))=0,"",INDEX(직원명부!$B$5:$B$24,MATCH(A11,직원명부!$A$5:$A$24,0)))),"사번 확인")</f>
        <v/>
      </c>
      <c r="C11" s="18" t="n"/>
      <c r="D11" s="19" t="n"/>
      <c r="E11" s="22" t="n"/>
      <c r="F11" s="22" t="n"/>
      <c r="G11" s="22" t="n"/>
      <c r="H11" s="26">
        <f>IFERROR(IF(A11="","",IF(INDEX(직원명부!$C$5:$C$24,MATCH(A11,직원명부!$A$5:$A$24,0))=0,"",INDEX(직원명부!$C$5:$C$24,MATCH(A11,직원명부!$A$5:$A$24,0)))),"")</f>
        <v/>
      </c>
      <c r="I11" s="18" t="n"/>
      <c r="J11" s="26">
        <f>IFERROR(IF(A11="","",IF(INDEX(직원명부!$G$5:$G$24,MATCH(A11,직원명부!$A$5:$A$24,0))=0,"",INDEX(직원명부!$G$5:$G$24,MATCH(A11,직원명부!$A$5:$A$24,0)))),"")</f>
        <v/>
      </c>
      <c r="K11" s="18" t="n"/>
    </row>
    <row r="12">
      <c r="A12" s="18" t="n"/>
      <c r="B12" s="25">
        <f>IFERROR(IF(A12="","",IF(INDEX(직원명부!$B$5:$B$24,MATCH(A12,직원명부!$A$5:$A$24,0))=0,"",INDEX(직원명부!$B$5:$B$24,MATCH(A12,직원명부!$A$5:$A$24,0)))),"사번 확인")</f>
        <v/>
      </c>
      <c r="C12" s="18" t="n"/>
      <c r="D12" s="19" t="n"/>
      <c r="E12" s="22" t="n"/>
      <c r="F12" s="22" t="n"/>
      <c r="G12" s="22" t="n"/>
      <c r="H12" s="26">
        <f>IFERROR(IF(A12="","",IF(INDEX(직원명부!$C$5:$C$24,MATCH(A12,직원명부!$A$5:$A$24,0))=0,"",INDEX(직원명부!$C$5:$C$24,MATCH(A12,직원명부!$A$5:$A$24,0)))),"")</f>
        <v/>
      </c>
      <c r="I12" s="18" t="n"/>
      <c r="J12" s="26">
        <f>IFERROR(IF(A12="","",IF(INDEX(직원명부!$G$5:$G$24,MATCH(A12,직원명부!$A$5:$A$24,0))=0,"",INDEX(직원명부!$G$5:$G$24,MATCH(A12,직원명부!$A$5:$A$24,0)))),"")</f>
        <v/>
      </c>
      <c r="K12" s="18" t="n"/>
    </row>
    <row r="13">
      <c r="A13" s="18" t="n"/>
      <c r="B13" s="25">
        <f>IFERROR(IF(A13="","",IF(INDEX(직원명부!$B$5:$B$24,MATCH(A13,직원명부!$A$5:$A$24,0))=0,"",INDEX(직원명부!$B$5:$B$24,MATCH(A13,직원명부!$A$5:$A$24,0)))),"사번 확인")</f>
        <v/>
      </c>
      <c r="C13" s="18" t="n"/>
      <c r="D13" s="19" t="n"/>
      <c r="E13" s="22" t="n"/>
      <c r="F13" s="22" t="n"/>
      <c r="G13" s="22" t="n"/>
      <c r="H13" s="26">
        <f>IFERROR(IF(A13="","",IF(INDEX(직원명부!$C$5:$C$24,MATCH(A13,직원명부!$A$5:$A$24,0))=0,"",INDEX(직원명부!$C$5:$C$24,MATCH(A13,직원명부!$A$5:$A$24,0)))),"")</f>
        <v/>
      </c>
      <c r="I13" s="18" t="n"/>
      <c r="J13" s="26">
        <f>IFERROR(IF(A13="","",IF(INDEX(직원명부!$G$5:$G$24,MATCH(A13,직원명부!$A$5:$A$24,0))=0,"",INDEX(직원명부!$G$5:$G$24,MATCH(A13,직원명부!$A$5:$A$24,0)))),"")</f>
        <v/>
      </c>
      <c r="K13" s="18" t="n"/>
    </row>
    <row r="14">
      <c r="A14" s="18" t="n"/>
      <c r="B14" s="25">
        <f>IFERROR(IF(A14="","",IF(INDEX(직원명부!$B$5:$B$24,MATCH(A14,직원명부!$A$5:$A$24,0))=0,"",INDEX(직원명부!$B$5:$B$24,MATCH(A14,직원명부!$A$5:$A$24,0)))),"사번 확인")</f>
        <v/>
      </c>
      <c r="C14" s="18" t="n"/>
      <c r="D14" s="19" t="n"/>
      <c r="E14" s="22" t="n"/>
      <c r="F14" s="22" t="n"/>
      <c r="G14" s="22" t="n"/>
      <c r="H14" s="26">
        <f>IFERROR(IF(A14="","",IF(INDEX(직원명부!$C$5:$C$24,MATCH(A14,직원명부!$A$5:$A$24,0))=0,"",INDEX(직원명부!$C$5:$C$24,MATCH(A14,직원명부!$A$5:$A$24,0)))),"")</f>
        <v/>
      </c>
      <c r="I14" s="18" t="n"/>
      <c r="J14" s="26">
        <f>IFERROR(IF(A14="","",IF(INDEX(직원명부!$G$5:$G$24,MATCH(A14,직원명부!$A$5:$A$24,0))=0,"",INDEX(직원명부!$G$5:$G$24,MATCH(A14,직원명부!$A$5:$A$24,0)))),"")</f>
        <v/>
      </c>
      <c r="K14" s="18" t="n"/>
    </row>
    <row r="15">
      <c r="A15" s="18" t="n"/>
      <c r="B15" s="25">
        <f>IFERROR(IF(A15="","",IF(INDEX(직원명부!$B$5:$B$24,MATCH(A15,직원명부!$A$5:$A$24,0))=0,"",INDEX(직원명부!$B$5:$B$24,MATCH(A15,직원명부!$A$5:$A$24,0)))),"사번 확인")</f>
        <v/>
      </c>
      <c r="C15" s="18" t="n"/>
      <c r="D15" s="19" t="n"/>
      <c r="E15" s="22" t="n"/>
      <c r="F15" s="22" t="n"/>
      <c r="G15" s="22" t="n"/>
      <c r="H15" s="26">
        <f>IFERROR(IF(A15="","",IF(INDEX(직원명부!$C$5:$C$24,MATCH(A15,직원명부!$A$5:$A$24,0))=0,"",INDEX(직원명부!$C$5:$C$24,MATCH(A15,직원명부!$A$5:$A$24,0)))),"")</f>
        <v/>
      </c>
      <c r="I15" s="18" t="n"/>
      <c r="J15" s="26">
        <f>IFERROR(IF(A15="","",IF(INDEX(직원명부!$G$5:$G$24,MATCH(A15,직원명부!$A$5:$A$24,0))=0,"",INDEX(직원명부!$G$5:$G$24,MATCH(A15,직원명부!$A$5:$A$24,0)))),"")</f>
        <v/>
      </c>
      <c r="K15" s="18" t="n"/>
    </row>
    <row r="16">
      <c r="A16" s="18" t="n"/>
      <c r="B16" s="25">
        <f>IFERROR(IF(A16="","",IF(INDEX(직원명부!$B$5:$B$24,MATCH(A16,직원명부!$A$5:$A$24,0))=0,"",INDEX(직원명부!$B$5:$B$24,MATCH(A16,직원명부!$A$5:$A$24,0)))),"사번 확인")</f>
        <v/>
      </c>
      <c r="C16" s="18" t="n"/>
      <c r="D16" s="19" t="n"/>
      <c r="E16" s="22" t="n"/>
      <c r="F16" s="22" t="n"/>
      <c r="G16" s="22" t="n"/>
      <c r="H16" s="26">
        <f>IFERROR(IF(A16="","",IF(INDEX(직원명부!$C$5:$C$24,MATCH(A16,직원명부!$A$5:$A$24,0))=0,"",INDEX(직원명부!$C$5:$C$24,MATCH(A16,직원명부!$A$5:$A$24,0)))),"")</f>
        <v/>
      </c>
      <c r="I16" s="18" t="n"/>
      <c r="J16" s="26">
        <f>IFERROR(IF(A16="","",IF(INDEX(직원명부!$G$5:$G$24,MATCH(A16,직원명부!$A$5:$A$24,0))=0,"",INDEX(직원명부!$G$5:$G$24,MATCH(A16,직원명부!$A$5:$A$24,0)))),"")</f>
        <v/>
      </c>
      <c r="K16" s="18" t="n"/>
    </row>
    <row r="17">
      <c r="A17" s="18" t="n"/>
      <c r="B17" s="25">
        <f>IFERROR(IF(A17="","",IF(INDEX(직원명부!$B$5:$B$24,MATCH(A17,직원명부!$A$5:$A$24,0))=0,"",INDEX(직원명부!$B$5:$B$24,MATCH(A17,직원명부!$A$5:$A$24,0)))),"사번 확인")</f>
        <v/>
      </c>
      <c r="C17" s="18" t="n"/>
      <c r="D17" s="19" t="n"/>
      <c r="E17" s="22" t="n"/>
      <c r="F17" s="22" t="n"/>
      <c r="G17" s="22" t="n"/>
      <c r="H17" s="26">
        <f>IFERROR(IF(A17="","",IF(INDEX(직원명부!$C$5:$C$24,MATCH(A17,직원명부!$A$5:$A$24,0))=0,"",INDEX(직원명부!$C$5:$C$24,MATCH(A17,직원명부!$A$5:$A$24,0)))),"")</f>
        <v/>
      </c>
      <c r="I17" s="18" t="n"/>
      <c r="J17" s="26">
        <f>IFERROR(IF(A17="","",IF(INDEX(직원명부!$G$5:$G$24,MATCH(A17,직원명부!$A$5:$A$24,0))=0,"",INDEX(직원명부!$G$5:$G$24,MATCH(A17,직원명부!$A$5:$A$24,0)))),"")</f>
        <v/>
      </c>
      <c r="K17" s="18" t="n"/>
    </row>
    <row r="18">
      <c r="A18" s="18" t="n"/>
      <c r="B18" s="25">
        <f>IFERROR(IF(A18="","",IF(INDEX(직원명부!$B$5:$B$24,MATCH(A18,직원명부!$A$5:$A$24,0))=0,"",INDEX(직원명부!$B$5:$B$24,MATCH(A18,직원명부!$A$5:$A$24,0)))),"사번 확인")</f>
        <v/>
      </c>
      <c r="C18" s="18" t="n"/>
      <c r="D18" s="19" t="n"/>
      <c r="E18" s="22" t="n"/>
      <c r="F18" s="22" t="n"/>
      <c r="G18" s="22" t="n"/>
      <c r="H18" s="26">
        <f>IFERROR(IF(A18="","",IF(INDEX(직원명부!$C$5:$C$24,MATCH(A18,직원명부!$A$5:$A$24,0))=0,"",INDEX(직원명부!$C$5:$C$24,MATCH(A18,직원명부!$A$5:$A$24,0)))),"")</f>
        <v/>
      </c>
      <c r="I18" s="18" t="n"/>
      <c r="J18" s="26">
        <f>IFERROR(IF(A18="","",IF(INDEX(직원명부!$G$5:$G$24,MATCH(A18,직원명부!$A$5:$A$24,0))=0,"",INDEX(직원명부!$G$5:$G$24,MATCH(A18,직원명부!$A$5:$A$24,0)))),"")</f>
        <v/>
      </c>
      <c r="K18" s="18" t="n"/>
    </row>
    <row r="19">
      <c r="A19" s="18" t="n"/>
      <c r="B19" s="25">
        <f>IFERROR(IF(A19="","",IF(INDEX(직원명부!$B$5:$B$24,MATCH(A19,직원명부!$A$5:$A$24,0))=0,"",INDEX(직원명부!$B$5:$B$24,MATCH(A19,직원명부!$A$5:$A$24,0)))),"사번 확인")</f>
        <v/>
      </c>
      <c r="C19" s="18" t="n"/>
      <c r="D19" s="19" t="n"/>
      <c r="E19" s="22" t="n"/>
      <c r="F19" s="22" t="n"/>
      <c r="G19" s="22" t="n"/>
      <c r="H19" s="26">
        <f>IFERROR(IF(A19="","",IF(INDEX(직원명부!$C$5:$C$24,MATCH(A19,직원명부!$A$5:$A$24,0))=0,"",INDEX(직원명부!$C$5:$C$24,MATCH(A19,직원명부!$A$5:$A$24,0)))),"")</f>
        <v/>
      </c>
      <c r="I19" s="18" t="n"/>
      <c r="J19" s="26">
        <f>IFERROR(IF(A19="","",IF(INDEX(직원명부!$G$5:$G$24,MATCH(A19,직원명부!$A$5:$A$24,0))=0,"",INDEX(직원명부!$G$5:$G$24,MATCH(A19,직원명부!$A$5:$A$24,0)))),"")</f>
        <v/>
      </c>
      <c r="K19" s="18" t="n"/>
    </row>
    <row r="20">
      <c r="A20" s="18" t="n"/>
      <c r="B20" s="25">
        <f>IFERROR(IF(A20="","",IF(INDEX(직원명부!$B$5:$B$24,MATCH(A20,직원명부!$A$5:$A$24,0))=0,"",INDEX(직원명부!$B$5:$B$24,MATCH(A20,직원명부!$A$5:$A$24,0)))),"사번 확인")</f>
        <v/>
      </c>
      <c r="C20" s="18" t="n"/>
      <c r="D20" s="19" t="n"/>
      <c r="E20" s="22" t="n"/>
      <c r="F20" s="22" t="n"/>
      <c r="G20" s="22" t="n"/>
      <c r="H20" s="26">
        <f>IFERROR(IF(A20="","",IF(INDEX(직원명부!$C$5:$C$24,MATCH(A20,직원명부!$A$5:$A$24,0))=0,"",INDEX(직원명부!$C$5:$C$24,MATCH(A20,직원명부!$A$5:$A$24,0)))),"")</f>
        <v/>
      </c>
      <c r="I20" s="18" t="n"/>
      <c r="J20" s="26">
        <f>IFERROR(IF(A20="","",IF(INDEX(직원명부!$G$5:$G$24,MATCH(A20,직원명부!$A$5:$A$24,0))=0,"",INDEX(직원명부!$G$5:$G$24,MATCH(A20,직원명부!$A$5:$A$24,0)))),"")</f>
        <v/>
      </c>
      <c r="K20" s="18" t="n"/>
    </row>
    <row r="21">
      <c r="A21" s="18" t="n"/>
      <c r="B21" s="25">
        <f>IFERROR(IF(A21="","",IF(INDEX(직원명부!$B$5:$B$24,MATCH(A21,직원명부!$A$5:$A$24,0))=0,"",INDEX(직원명부!$B$5:$B$24,MATCH(A21,직원명부!$A$5:$A$24,0)))),"사번 확인")</f>
        <v/>
      </c>
      <c r="C21" s="18" t="n"/>
      <c r="D21" s="19" t="n"/>
      <c r="E21" s="22" t="n"/>
      <c r="F21" s="22" t="n"/>
      <c r="G21" s="22" t="n"/>
      <c r="H21" s="26">
        <f>IFERROR(IF(A21="","",IF(INDEX(직원명부!$C$5:$C$24,MATCH(A21,직원명부!$A$5:$A$24,0))=0,"",INDEX(직원명부!$C$5:$C$24,MATCH(A21,직원명부!$A$5:$A$24,0)))),"")</f>
        <v/>
      </c>
      <c r="I21" s="18" t="n"/>
      <c r="J21" s="26">
        <f>IFERROR(IF(A21="","",IF(INDEX(직원명부!$G$5:$G$24,MATCH(A21,직원명부!$A$5:$A$24,0))=0,"",INDEX(직원명부!$G$5:$G$24,MATCH(A21,직원명부!$A$5:$A$24,0)))),"")</f>
        <v/>
      </c>
      <c r="K21" s="18" t="n"/>
    </row>
    <row r="22">
      <c r="A22" s="18" t="n"/>
      <c r="B22" s="25">
        <f>IFERROR(IF(A22="","",IF(INDEX(직원명부!$B$5:$B$24,MATCH(A22,직원명부!$A$5:$A$24,0))=0,"",INDEX(직원명부!$B$5:$B$24,MATCH(A22,직원명부!$A$5:$A$24,0)))),"사번 확인")</f>
        <v/>
      </c>
      <c r="C22" s="18" t="n"/>
      <c r="D22" s="19" t="n"/>
      <c r="E22" s="22" t="n"/>
      <c r="F22" s="22" t="n"/>
      <c r="G22" s="22" t="n"/>
      <c r="H22" s="26">
        <f>IFERROR(IF(A22="","",IF(INDEX(직원명부!$C$5:$C$24,MATCH(A22,직원명부!$A$5:$A$24,0))=0,"",INDEX(직원명부!$C$5:$C$24,MATCH(A22,직원명부!$A$5:$A$24,0)))),"")</f>
        <v/>
      </c>
      <c r="I22" s="18" t="n"/>
      <c r="J22" s="26">
        <f>IFERROR(IF(A22="","",IF(INDEX(직원명부!$G$5:$G$24,MATCH(A22,직원명부!$A$5:$A$24,0))=0,"",INDEX(직원명부!$G$5:$G$24,MATCH(A22,직원명부!$A$5:$A$24,0)))),"")</f>
        <v/>
      </c>
      <c r="K22" s="18" t="n"/>
    </row>
    <row r="23">
      <c r="A23" s="18" t="n"/>
      <c r="B23" s="25">
        <f>IFERROR(IF(A23="","",IF(INDEX(직원명부!$B$5:$B$24,MATCH(A23,직원명부!$A$5:$A$24,0))=0,"",INDEX(직원명부!$B$5:$B$24,MATCH(A23,직원명부!$A$5:$A$24,0)))),"사번 확인")</f>
        <v/>
      </c>
      <c r="C23" s="18" t="n"/>
      <c r="D23" s="19" t="n"/>
      <c r="E23" s="22" t="n"/>
      <c r="F23" s="22" t="n"/>
      <c r="G23" s="22" t="n"/>
      <c r="H23" s="26">
        <f>IFERROR(IF(A23="","",IF(INDEX(직원명부!$C$5:$C$24,MATCH(A23,직원명부!$A$5:$A$24,0))=0,"",INDEX(직원명부!$C$5:$C$24,MATCH(A23,직원명부!$A$5:$A$24,0)))),"")</f>
        <v/>
      </c>
      <c r="I23" s="18" t="n"/>
      <c r="J23" s="26">
        <f>IFERROR(IF(A23="","",IF(INDEX(직원명부!$G$5:$G$24,MATCH(A23,직원명부!$A$5:$A$24,0))=0,"",INDEX(직원명부!$G$5:$G$24,MATCH(A23,직원명부!$A$5:$A$24,0)))),"")</f>
        <v/>
      </c>
      <c r="K23" s="18" t="n"/>
    </row>
    <row r="24">
      <c r="A24" s="18" t="n"/>
      <c r="B24" s="25">
        <f>IFERROR(IF(A24="","",IF(INDEX(직원명부!$B$5:$B$24,MATCH(A24,직원명부!$A$5:$A$24,0))=0,"",INDEX(직원명부!$B$5:$B$24,MATCH(A24,직원명부!$A$5:$A$24,0)))),"사번 확인")</f>
        <v/>
      </c>
      <c r="C24" s="18" t="n"/>
      <c r="D24" s="19" t="n"/>
      <c r="E24" s="22" t="n"/>
      <c r="F24" s="22" t="n"/>
      <c r="G24" s="22" t="n"/>
      <c r="H24" s="26">
        <f>IFERROR(IF(A24="","",IF(INDEX(직원명부!$C$5:$C$24,MATCH(A24,직원명부!$A$5:$A$24,0))=0,"",INDEX(직원명부!$C$5:$C$24,MATCH(A24,직원명부!$A$5:$A$24,0)))),"")</f>
        <v/>
      </c>
      <c r="I24" s="18" t="n"/>
      <c r="J24" s="26">
        <f>IFERROR(IF(A24="","",IF(INDEX(직원명부!$G$5:$G$24,MATCH(A24,직원명부!$A$5:$A$24,0))=0,"",INDEX(직원명부!$G$5:$G$24,MATCH(A24,직원명부!$A$5:$A$24,0)))),"")</f>
        <v/>
      </c>
      <c r="K24" s="18" t="n"/>
    </row>
    <row r="25"/>
    <row r="26">
      <c r="A26" s="2" t="inlineStr">
        <is>
          <t>· 성별·생년월일·주소·이력·종사하는 업무는 시행령 제20조가 정한 기재사항입니다. 비워 두면 명부로 인정되지 않습니다.</t>
        </is>
      </c>
    </row>
    <row r="27">
      <c r="A27" s="2" t="inlineStr">
        <is>
          <t>· 「이력」은 최종 학력과 주요 경력을 한 줄로 적으면 충분합니다. (예: ○○대 시각디자인 졸 · ○○스튜디오 1년)</t>
        </is>
      </c>
    </row>
    <row r="28">
      <c r="A28" s="2" t="inlineStr">
        <is>
          <t>· 「계약기간」은 기간을 정한 근로계약인 경우에만 적습니다. 정규사원은 비워 둡니다.</t>
        </is>
      </c>
    </row>
    <row r="29">
      <c r="A29" s="2" t="inlineStr">
        <is>
          <t>· 성명·고용연월일·퇴직일은 직원명부에서 사번으로 끌어옵니다. 직접 고치지 마세요.</t>
        </is>
      </c>
    </row>
    <row r="30">
      <c r="A30" s="2" t="inlineStr">
        <is>
          <t>· 이 시트에는 주소와 생년월일이 들어 있습니다. 공유 범위를 대표로 한정하세요. (개인정보 보호법 제29조)</t>
        </is>
      </c>
    </row>
    <row r="31">
      <c r="A31" s="2" t="inlineStr">
        <is>
          <t>· 퇴직한 사원의 명부도 퇴직일부터 3년간 지우지 않습니다. (근로기준법 제42조)</t>
        </is>
      </c>
    </row>
  </sheetData>
  <dataValidations count="2">
    <dataValidation sqref="C5:C24" showDropDown="0" showInputMessage="0" showErrorMessage="0" allowBlank="1" type="list">
      <formula1>=코드표!$E$5:$E$6</formula1>
    </dataValidation>
    <dataValidation sqref="K5:K24" showDropDown="0" showInputMessage="0" showErrorMessage="0" allowBlank="1" type="list">
      <formula1>=코드표!$F$5:$F$10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1" customWidth="1" min="3" max="3"/>
    <col width="13" customWidth="1" min="4" max="4"/>
    <col width="13" customWidth="1" min="5" max="5"/>
    <col width="14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3" customWidth="1" min="13" max="13"/>
    <col width="13" customWidth="1" min="14" max="14"/>
    <col width="12" customWidth="1" min="15" max="15"/>
    <col width="14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3" customWidth="1" min="23" max="23"/>
    <col width="14" customWidth="1" min="24" max="24"/>
  </cols>
  <sheetData>
    <row r="1">
      <c r="A1" s="1" t="inlineStr">
        <is>
          <t>임금대장</t>
        </is>
      </c>
    </row>
    <row r="2">
      <c r="A2" s="2" t="inlineStr">
        <is>
          <t>근로기준법 제48조제1항 · 시행령 제27조가 정한 법정 서류입니다. 3년간 보존합니다. (제42조)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지급년월은 그 달 1일 날짜로 넣으세요. 근로일수·시간은 근태기록에서 자동으로 모입니다.</t>
        </is>
      </c>
    </row>
    <row r="4" ht="30" customHeight="1">
      <c r="A4" s="10" t="inlineStr">
        <is>
          <t>지급년월</t>
        </is>
      </c>
      <c r="B4" s="10" t="inlineStr">
        <is>
          <t>사번</t>
        </is>
      </c>
      <c r="C4" s="11" t="inlineStr">
        <is>
          <t>성명</t>
        </is>
      </c>
      <c r="D4" s="11" t="inlineStr">
        <is>
          <t>생년월일</t>
        </is>
      </c>
      <c r="E4" s="11" t="inlineStr">
        <is>
          <t>고용연월일</t>
        </is>
      </c>
      <c r="F4" s="11" t="inlineStr">
        <is>
          <t>종사업무</t>
        </is>
      </c>
      <c r="G4" s="11" t="inlineStr">
        <is>
          <t>근로일수</t>
        </is>
      </c>
      <c r="H4" s="11" t="inlineStr">
        <is>
          <t>근로시간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휴일시간</t>
        </is>
      </c>
      <c r="L4" s="10" t="inlineStr">
        <is>
          <t>기본급</t>
        </is>
      </c>
      <c r="M4" s="10" t="inlineStr">
        <is>
          <t>식대 (비과세)</t>
        </is>
      </c>
      <c r="N4" s="10" t="inlineStr">
        <is>
          <t>연장·야간수당</t>
        </is>
      </c>
      <c r="O4" s="10" t="inlineStr">
        <is>
          <t>기타수당</t>
        </is>
      </c>
      <c r="P4" s="11" t="inlineStr">
        <is>
          <t>지급액 계</t>
        </is>
      </c>
      <c r="Q4" s="10" t="inlineStr">
        <is>
          <t>소득세</t>
        </is>
      </c>
      <c r="R4" s="10" t="inlineStr">
        <is>
          <t>지방소득세</t>
        </is>
      </c>
      <c r="S4" s="10" t="inlineStr">
        <is>
          <t>국민연금</t>
        </is>
      </c>
      <c r="T4" s="10" t="inlineStr">
        <is>
          <t>건강보험</t>
        </is>
      </c>
      <c r="U4" s="10" t="inlineStr">
        <is>
          <t>장기요양</t>
        </is>
      </c>
      <c r="V4" s="10" t="inlineStr">
        <is>
          <t>고용보험</t>
        </is>
      </c>
      <c r="W4" s="11" t="inlineStr">
        <is>
          <t>공제액 계</t>
        </is>
      </c>
      <c r="X4" s="11" t="inlineStr">
        <is>
          <t>실지급액</t>
        </is>
      </c>
    </row>
    <row r="5">
      <c r="A5" s="43" t="n"/>
      <c r="B5" s="18" t="n"/>
      <c r="C5" s="25">
        <f>IFERROR(IF($B5="","",IF(INDEX(직원명부!$B$5:$B$24,MATCH($B5,직원명부!$A$5:$A$24,0))=0,"",INDEX(직원명부!$B$5:$B$24,MATCH($B5,직원명부!$A$5:$A$24,0)))),"사번 확인")</f>
        <v/>
      </c>
      <c r="D5" s="26">
        <f>IFERROR(IF($B5="","",IF(INDEX(근로자명부!$D$5:$D$24,MATCH($B5,근로자명부!$A$5:$A$24,0))=0,"",INDEX(근로자명부!$D$5:$D$24,MATCH($B5,근로자명부!$A$5:$A$24,0)))),"")</f>
        <v/>
      </c>
      <c r="E5" s="26">
        <f>IFERROR(IF($B5="","",IF(INDEX(직원명부!$C$5:$C$24,MATCH($B5,직원명부!$A$5:$A$24,0))=0,"",INDEX(직원명부!$C$5:$C$24,MATCH($B5,직원명부!$A$5:$A$24,0)))),"")</f>
        <v/>
      </c>
      <c r="F5" s="44">
        <f>IFERROR(IF($B5="","",IF(INDEX(근로자명부!$G$5:$G$24,MATCH($B5,근로자명부!$A$5:$A$24,0))=0,"",INDEX(근로자명부!$G$5:$G$24,MATCH($B5,근로자명부!$A$5:$A$24,0)))),"")</f>
        <v/>
      </c>
      <c r="G5" s="30">
        <f>IF(OR($A5="",$B5=""),"",COUNTIFS(근태기록!$C$5:$C$2004,$B5,근태기록!$A$5:$A$2004,"&gt;="&amp;$A5,근태기록!$A$5:$A$2004,"&lt;="&amp;EOMONTH($A5,0),근태기록!$H$5:$H$2004,"&gt;0"))</f>
        <v/>
      </c>
      <c r="H5" s="33">
        <f>IF(OR($A5="",$B5=""),"",SUMIFS(근태기록!$H$5:$H$2004,근태기록!$C$5:$C$2004,$B5,근태기록!$A$5:$A$2004,"&gt;="&amp;$A5,근태기록!$A$5:$A$2004,"&lt;="&amp;EOMONTH($A5,0)))</f>
        <v/>
      </c>
      <c r="I5" s="33">
        <f>IF(OR($A5="",$B5=""),"",SUMIFS(근태기록!$I$5:$I$2004,근태기록!$C$5:$C$2004,$B5,근태기록!$A$5:$A$2004,"&gt;="&amp;$A5,근태기록!$A$5:$A$2004,"&lt;="&amp;EOMONTH($A5,0)))</f>
        <v/>
      </c>
      <c r="J5" s="33">
        <f>IF(OR($A5="",$B5=""),"",SUMIFS(근태기록!$J$5:$J$2004,근태기록!$C$5:$C$2004,$B5,근태기록!$A$5:$A$2004,"&gt;="&amp;$A5,근태기록!$A$5:$A$2004,"&lt;="&amp;EOMONTH($A5,0)))</f>
        <v/>
      </c>
      <c r="K5" s="33">
        <f>IF(OR($A5="",$B5=""),"",SUMIFS(근태기록!$H$5:$H$2004,근태기록!$C$5:$C$2004,$B5,근태기록!$A$5:$A$2004,"&gt;="&amp;$A5,근태기록!$A$5:$A$2004,"&lt;="&amp;EOMONTH($A5,0),근태기록!$L$5:$L$2004,"휴일근로"))</f>
        <v/>
      </c>
      <c r="L5" s="20" t="n"/>
      <c r="M5" s="20" t="n"/>
      <c r="N5" s="20" t="n"/>
      <c r="O5" s="20" t="n"/>
      <c r="P5" s="15">
        <f>IF(OR($A5="",$B5=""),"",SUM(L5:O5))</f>
        <v/>
      </c>
      <c r="Q5" s="20" t="n"/>
      <c r="R5" s="20" t="n"/>
      <c r="S5" s="20" t="n"/>
      <c r="T5" s="20" t="n"/>
      <c r="U5" s="20" t="n"/>
      <c r="V5" s="20" t="n"/>
      <c r="W5" s="15">
        <f>IF(OR($A5="",$B5=""),"",SUM(Q5:V5))</f>
        <v/>
      </c>
      <c r="X5" s="15">
        <f>IF(OR($A5="",$B5=""),"",N(P5)-N(W5))</f>
        <v/>
      </c>
    </row>
    <row r="6">
      <c r="A6" s="43" t="n"/>
      <c r="B6" s="18" t="n"/>
      <c r="C6" s="25">
        <f>IFERROR(IF($B6="","",IF(INDEX(직원명부!$B$5:$B$24,MATCH($B6,직원명부!$A$5:$A$24,0))=0,"",INDEX(직원명부!$B$5:$B$24,MATCH($B6,직원명부!$A$5:$A$24,0)))),"사번 확인")</f>
        <v/>
      </c>
      <c r="D6" s="26">
        <f>IFERROR(IF($B6="","",IF(INDEX(근로자명부!$D$5:$D$24,MATCH($B6,근로자명부!$A$5:$A$24,0))=0,"",INDEX(근로자명부!$D$5:$D$24,MATCH($B6,근로자명부!$A$5:$A$24,0)))),"")</f>
        <v/>
      </c>
      <c r="E6" s="26">
        <f>IFERROR(IF($B6="","",IF(INDEX(직원명부!$C$5:$C$24,MATCH($B6,직원명부!$A$5:$A$24,0))=0,"",INDEX(직원명부!$C$5:$C$24,MATCH($B6,직원명부!$A$5:$A$24,0)))),"")</f>
        <v/>
      </c>
      <c r="F6" s="44">
        <f>IFERROR(IF($B6="","",IF(INDEX(근로자명부!$G$5:$G$24,MATCH($B6,근로자명부!$A$5:$A$24,0))=0,"",INDEX(근로자명부!$G$5:$G$24,MATCH($B6,근로자명부!$A$5:$A$24,0)))),"")</f>
        <v/>
      </c>
      <c r="G6" s="30">
        <f>IF(OR($A6="",$B6=""),"",COUNTIFS(근태기록!$C$5:$C$2004,$B6,근태기록!$A$5:$A$2004,"&gt;="&amp;$A6,근태기록!$A$5:$A$2004,"&lt;="&amp;EOMONTH($A6,0),근태기록!$H$5:$H$2004,"&gt;0"))</f>
        <v/>
      </c>
      <c r="H6" s="33">
        <f>IF(OR($A6="",$B6=""),"",SUMIFS(근태기록!$H$5:$H$2004,근태기록!$C$5:$C$2004,$B6,근태기록!$A$5:$A$2004,"&gt;="&amp;$A6,근태기록!$A$5:$A$2004,"&lt;="&amp;EOMONTH($A6,0)))</f>
        <v/>
      </c>
      <c r="I6" s="33">
        <f>IF(OR($A6="",$B6=""),"",SUMIFS(근태기록!$I$5:$I$2004,근태기록!$C$5:$C$2004,$B6,근태기록!$A$5:$A$2004,"&gt;="&amp;$A6,근태기록!$A$5:$A$2004,"&lt;="&amp;EOMONTH($A6,0)))</f>
        <v/>
      </c>
      <c r="J6" s="33">
        <f>IF(OR($A6="",$B6=""),"",SUMIFS(근태기록!$J$5:$J$2004,근태기록!$C$5:$C$2004,$B6,근태기록!$A$5:$A$2004,"&gt;="&amp;$A6,근태기록!$A$5:$A$2004,"&lt;="&amp;EOMONTH($A6,0)))</f>
        <v/>
      </c>
      <c r="K6" s="33">
        <f>IF(OR($A6="",$B6=""),"",SUMIFS(근태기록!$H$5:$H$2004,근태기록!$C$5:$C$2004,$B6,근태기록!$A$5:$A$2004,"&gt;="&amp;$A6,근태기록!$A$5:$A$2004,"&lt;="&amp;EOMONTH($A6,0),근태기록!$L$5:$L$2004,"휴일근로"))</f>
        <v/>
      </c>
      <c r="L6" s="20" t="n"/>
      <c r="M6" s="20" t="n"/>
      <c r="N6" s="20" t="n"/>
      <c r="O6" s="20" t="n"/>
      <c r="P6" s="15">
        <f>IF(OR($A6="",$B6=""),"",SUM(L6:O6))</f>
        <v/>
      </c>
      <c r="Q6" s="20" t="n"/>
      <c r="R6" s="20" t="n"/>
      <c r="S6" s="20" t="n"/>
      <c r="T6" s="20" t="n"/>
      <c r="U6" s="20" t="n"/>
      <c r="V6" s="20" t="n"/>
      <c r="W6" s="15">
        <f>IF(OR($A6="",$B6=""),"",SUM(Q6:V6))</f>
        <v/>
      </c>
      <c r="X6" s="15">
        <f>IF(OR($A6="",$B6=""),"",N(P6)-N(W6))</f>
        <v/>
      </c>
    </row>
    <row r="7">
      <c r="A7" s="43" t="n"/>
      <c r="B7" s="18" t="n"/>
      <c r="C7" s="25">
        <f>IFERROR(IF($B7="","",IF(INDEX(직원명부!$B$5:$B$24,MATCH($B7,직원명부!$A$5:$A$24,0))=0,"",INDEX(직원명부!$B$5:$B$24,MATCH($B7,직원명부!$A$5:$A$24,0)))),"사번 확인")</f>
        <v/>
      </c>
      <c r="D7" s="26">
        <f>IFERROR(IF($B7="","",IF(INDEX(근로자명부!$D$5:$D$24,MATCH($B7,근로자명부!$A$5:$A$24,0))=0,"",INDEX(근로자명부!$D$5:$D$24,MATCH($B7,근로자명부!$A$5:$A$24,0)))),"")</f>
        <v/>
      </c>
      <c r="E7" s="26">
        <f>IFERROR(IF($B7="","",IF(INDEX(직원명부!$C$5:$C$24,MATCH($B7,직원명부!$A$5:$A$24,0))=0,"",INDEX(직원명부!$C$5:$C$24,MATCH($B7,직원명부!$A$5:$A$24,0)))),"")</f>
        <v/>
      </c>
      <c r="F7" s="44">
        <f>IFERROR(IF($B7="","",IF(INDEX(근로자명부!$G$5:$G$24,MATCH($B7,근로자명부!$A$5:$A$24,0))=0,"",INDEX(근로자명부!$G$5:$G$24,MATCH($B7,근로자명부!$A$5:$A$24,0)))),"")</f>
        <v/>
      </c>
      <c r="G7" s="30">
        <f>IF(OR($A7="",$B7=""),"",COUNTIFS(근태기록!$C$5:$C$2004,$B7,근태기록!$A$5:$A$2004,"&gt;="&amp;$A7,근태기록!$A$5:$A$2004,"&lt;="&amp;EOMONTH($A7,0),근태기록!$H$5:$H$2004,"&gt;0"))</f>
        <v/>
      </c>
      <c r="H7" s="33">
        <f>IF(OR($A7="",$B7=""),"",SUMIFS(근태기록!$H$5:$H$2004,근태기록!$C$5:$C$2004,$B7,근태기록!$A$5:$A$2004,"&gt;="&amp;$A7,근태기록!$A$5:$A$2004,"&lt;="&amp;EOMONTH($A7,0)))</f>
        <v/>
      </c>
      <c r="I7" s="33">
        <f>IF(OR($A7="",$B7=""),"",SUMIFS(근태기록!$I$5:$I$2004,근태기록!$C$5:$C$2004,$B7,근태기록!$A$5:$A$2004,"&gt;="&amp;$A7,근태기록!$A$5:$A$2004,"&lt;="&amp;EOMONTH($A7,0)))</f>
        <v/>
      </c>
      <c r="J7" s="33">
        <f>IF(OR($A7="",$B7=""),"",SUMIFS(근태기록!$J$5:$J$2004,근태기록!$C$5:$C$2004,$B7,근태기록!$A$5:$A$2004,"&gt;="&amp;$A7,근태기록!$A$5:$A$2004,"&lt;="&amp;EOMONTH($A7,0)))</f>
        <v/>
      </c>
      <c r="K7" s="33">
        <f>IF(OR($A7="",$B7=""),"",SUMIFS(근태기록!$H$5:$H$2004,근태기록!$C$5:$C$2004,$B7,근태기록!$A$5:$A$2004,"&gt;="&amp;$A7,근태기록!$A$5:$A$2004,"&lt;="&amp;EOMONTH($A7,0),근태기록!$L$5:$L$2004,"휴일근로"))</f>
        <v/>
      </c>
      <c r="L7" s="20" t="n"/>
      <c r="M7" s="20" t="n"/>
      <c r="N7" s="20" t="n"/>
      <c r="O7" s="20" t="n"/>
      <c r="P7" s="15">
        <f>IF(OR($A7="",$B7=""),"",SUM(L7:O7))</f>
        <v/>
      </c>
      <c r="Q7" s="20" t="n"/>
      <c r="R7" s="20" t="n"/>
      <c r="S7" s="20" t="n"/>
      <c r="T7" s="20" t="n"/>
      <c r="U7" s="20" t="n"/>
      <c r="V7" s="20" t="n"/>
      <c r="W7" s="15">
        <f>IF(OR($A7="",$B7=""),"",SUM(Q7:V7))</f>
        <v/>
      </c>
      <c r="X7" s="15">
        <f>IF(OR($A7="",$B7=""),"",N(P7)-N(W7))</f>
        <v/>
      </c>
    </row>
    <row r="8">
      <c r="A8" s="43" t="n"/>
      <c r="B8" s="18" t="n"/>
      <c r="C8" s="25">
        <f>IFERROR(IF($B8="","",IF(INDEX(직원명부!$B$5:$B$24,MATCH($B8,직원명부!$A$5:$A$24,0))=0,"",INDEX(직원명부!$B$5:$B$24,MATCH($B8,직원명부!$A$5:$A$24,0)))),"사번 확인")</f>
        <v/>
      </c>
      <c r="D8" s="26">
        <f>IFERROR(IF($B8="","",IF(INDEX(근로자명부!$D$5:$D$24,MATCH($B8,근로자명부!$A$5:$A$24,0))=0,"",INDEX(근로자명부!$D$5:$D$24,MATCH($B8,근로자명부!$A$5:$A$24,0)))),"")</f>
        <v/>
      </c>
      <c r="E8" s="26">
        <f>IFERROR(IF($B8="","",IF(INDEX(직원명부!$C$5:$C$24,MATCH($B8,직원명부!$A$5:$A$24,0))=0,"",INDEX(직원명부!$C$5:$C$24,MATCH($B8,직원명부!$A$5:$A$24,0)))),"")</f>
        <v/>
      </c>
      <c r="F8" s="44">
        <f>IFERROR(IF($B8="","",IF(INDEX(근로자명부!$G$5:$G$24,MATCH($B8,근로자명부!$A$5:$A$24,0))=0,"",INDEX(근로자명부!$G$5:$G$24,MATCH($B8,근로자명부!$A$5:$A$24,0)))),"")</f>
        <v/>
      </c>
      <c r="G8" s="30">
        <f>IF(OR($A8="",$B8=""),"",COUNTIFS(근태기록!$C$5:$C$2004,$B8,근태기록!$A$5:$A$2004,"&gt;="&amp;$A8,근태기록!$A$5:$A$2004,"&lt;="&amp;EOMONTH($A8,0),근태기록!$H$5:$H$2004,"&gt;0"))</f>
        <v/>
      </c>
      <c r="H8" s="33">
        <f>IF(OR($A8="",$B8=""),"",SUMIFS(근태기록!$H$5:$H$2004,근태기록!$C$5:$C$2004,$B8,근태기록!$A$5:$A$2004,"&gt;="&amp;$A8,근태기록!$A$5:$A$2004,"&lt;="&amp;EOMONTH($A8,0)))</f>
        <v/>
      </c>
      <c r="I8" s="33">
        <f>IF(OR($A8="",$B8=""),"",SUMIFS(근태기록!$I$5:$I$2004,근태기록!$C$5:$C$2004,$B8,근태기록!$A$5:$A$2004,"&gt;="&amp;$A8,근태기록!$A$5:$A$2004,"&lt;="&amp;EOMONTH($A8,0)))</f>
        <v/>
      </c>
      <c r="J8" s="33">
        <f>IF(OR($A8="",$B8=""),"",SUMIFS(근태기록!$J$5:$J$2004,근태기록!$C$5:$C$2004,$B8,근태기록!$A$5:$A$2004,"&gt;="&amp;$A8,근태기록!$A$5:$A$2004,"&lt;="&amp;EOMONTH($A8,0)))</f>
        <v/>
      </c>
      <c r="K8" s="33">
        <f>IF(OR($A8="",$B8=""),"",SUMIFS(근태기록!$H$5:$H$2004,근태기록!$C$5:$C$2004,$B8,근태기록!$A$5:$A$2004,"&gt;="&amp;$A8,근태기록!$A$5:$A$2004,"&lt;="&amp;EOMONTH($A8,0),근태기록!$L$5:$L$2004,"휴일근로"))</f>
        <v/>
      </c>
      <c r="L8" s="20" t="n"/>
      <c r="M8" s="20" t="n"/>
      <c r="N8" s="20" t="n"/>
      <c r="O8" s="20" t="n"/>
      <c r="P8" s="15">
        <f>IF(OR($A8="",$B8=""),"",SUM(L8:O8))</f>
        <v/>
      </c>
      <c r="Q8" s="20" t="n"/>
      <c r="R8" s="20" t="n"/>
      <c r="S8" s="20" t="n"/>
      <c r="T8" s="20" t="n"/>
      <c r="U8" s="20" t="n"/>
      <c r="V8" s="20" t="n"/>
      <c r="W8" s="15">
        <f>IF(OR($A8="",$B8=""),"",SUM(Q8:V8))</f>
        <v/>
      </c>
      <c r="X8" s="15">
        <f>IF(OR($A8="",$B8=""),"",N(P8)-N(W8))</f>
        <v/>
      </c>
    </row>
    <row r="9">
      <c r="A9" s="43" t="n"/>
      <c r="B9" s="18" t="n"/>
      <c r="C9" s="25">
        <f>IFERROR(IF($B9="","",IF(INDEX(직원명부!$B$5:$B$24,MATCH($B9,직원명부!$A$5:$A$24,0))=0,"",INDEX(직원명부!$B$5:$B$24,MATCH($B9,직원명부!$A$5:$A$24,0)))),"사번 확인")</f>
        <v/>
      </c>
      <c r="D9" s="26">
        <f>IFERROR(IF($B9="","",IF(INDEX(근로자명부!$D$5:$D$24,MATCH($B9,근로자명부!$A$5:$A$24,0))=0,"",INDEX(근로자명부!$D$5:$D$24,MATCH($B9,근로자명부!$A$5:$A$24,0)))),"")</f>
        <v/>
      </c>
      <c r="E9" s="26">
        <f>IFERROR(IF($B9="","",IF(INDEX(직원명부!$C$5:$C$24,MATCH($B9,직원명부!$A$5:$A$24,0))=0,"",INDEX(직원명부!$C$5:$C$24,MATCH($B9,직원명부!$A$5:$A$24,0)))),"")</f>
        <v/>
      </c>
      <c r="F9" s="44">
        <f>IFERROR(IF($B9="","",IF(INDEX(근로자명부!$G$5:$G$24,MATCH($B9,근로자명부!$A$5:$A$24,0))=0,"",INDEX(근로자명부!$G$5:$G$24,MATCH($B9,근로자명부!$A$5:$A$24,0)))),"")</f>
        <v/>
      </c>
      <c r="G9" s="30">
        <f>IF(OR($A9="",$B9=""),"",COUNTIFS(근태기록!$C$5:$C$2004,$B9,근태기록!$A$5:$A$2004,"&gt;="&amp;$A9,근태기록!$A$5:$A$2004,"&lt;="&amp;EOMONTH($A9,0),근태기록!$H$5:$H$2004,"&gt;0"))</f>
        <v/>
      </c>
      <c r="H9" s="33">
        <f>IF(OR($A9="",$B9=""),"",SUMIFS(근태기록!$H$5:$H$2004,근태기록!$C$5:$C$2004,$B9,근태기록!$A$5:$A$2004,"&gt;="&amp;$A9,근태기록!$A$5:$A$2004,"&lt;="&amp;EOMONTH($A9,0)))</f>
        <v/>
      </c>
      <c r="I9" s="33">
        <f>IF(OR($A9="",$B9=""),"",SUMIFS(근태기록!$I$5:$I$2004,근태기록!$C$5:$C$2004,$B9,근태기록!$A$5:$A$2004,"&gt;="&amp;$A9,근태기록!$A$5:$A$2004,"&lt;="&amp;EOMONTH($A9,0)))</f>
        <v/>
      </c>
      <c r="J9" s="33">
        <f>IF(OR($A9="",$B9=""),"",SUMIFS(근태기록!$J$5:$J$2004,근태기록!$C$5:$C$2004,$B9,근태기록!$A$5:$A$2004,"&gt;="&amp;$A9,근태기록!$A$5:$A$2004,"&lt;="&amp;EOMONTH($A9,0)))</f>
        <v/>
      </c>
      <c r="K9" s="33">
        <f>IF(OR($A9="",$B9=""),"",SUMIFS(근태기록!$H$5:$H$2004,근태기록!$C$5:$C$2004,$B9,근태기록!$A$5:$A$2004,"&gt;="&amp;$A9,근태기록!$A$5:$A$2004,"&lt;="&amp;EOMONTH($A9,0),근태기록!$L$5:$L$2004,"휴일근로"))</f>
        <v/>
      </c>
      <c r="L9" s="20" t="n"/>
      <c r="M9" s="20" t="n"/>
      <c r="N9" s="20" t="n"/>
      <c r="O9" s="20" t="n"/>
      <c r="P9" s="15">
        <f>IF(OR($A9="",$B9=""),"",SUM(L9:O9))</f>
        <v/>
      </c>
      <c r="Q9" s="20" t="n"/>
      <c r="R9" s="20" t="n"/>
      <c r="S9" s="20" t="n"/>
      <c r="T9" s="20" t="n"/>
      <c r="U9" s="20" t="n"/>
      <c r="V9" s="20" t="n"/>
      <c r="W9" s="15">
        <f>IF(OR($A9="",$B9=""),"",SUM(Q9:V9))</f>
        <v/>
      </c>
      <c r="X9" s="15">
        <f>IF(OR($A9="",$B9=""),"",N(P9)-N(W9))</f>
        <v/>
      </c>
    </row>
    <row r="10">
      <c r="A10" s="43" t="n"/>
      <c r="B10" s="18" t="n"/>
      <c r="C10" s="25">
        <f>IFERROR(IF($B10="","",IF(INDEX(직원명부!$B$5:$B$24,MATCH($B10,직원명부!$A$5:$A$24,0))=0,"",INDEX(직원명부!$B$5:$B$24,MATCH($B10,직원명부!$A$5:$A$24,0)))),"사번 확인")</f>
        <v/>
      </c>
      <c r="D10" s="26">
        <f>IFERROR(IF($B10="","",IF(INDEX(근로자명부!$D$5:$D$24,MATCH($B10,근로자명부!$A$5:$A$24,0))=0,"",INDEX(근로자명부!$D$5:$D$24,MATCH($B10,근로자명부!$A$5:$A$24,0)))),"")</f>
        <v/>
      </c>
      <c r="E10" s="26">
        <f>IFERROR(IF($B10="","",IF(INDEX(직원명부!$C$5:$C$24,MATCH($B10,직원명부!$A$5:$A$24,0))=0,"",INDEX(직원명부!$C$5:$C$24,MATCH($B10,직원명부!$A$5:$A$24,0)))),"")</f>
        <v/>
      </c>
      <c r="F10" s="44">
        <f>IFERROR(IF($B10="","",IF(INDEX(근로자명부!$G$5:$G$24,MATCH($B10,근로자명부!$A$5:$A$24,0))=0,"",INDEX(근로자명부!$G$5:$G$24,MATCH($B10,근로자명부!$A$5:$A$24,0)))),"")</f>
        <v/>
      </c>
      <c r="G10" s="30">
        <f>IF(OR($A10="",$B10=""),"",COUNTIFS(근태기록!$C$5:$C$2004,$B10,근태기록!$A$5:$A$2004,"&gt;="&amp;$A10,근태기록!$A$5:$A$2004,"&lt;="&amp;EOMONTH($A10,0),근태기록!$H$5:$H$2004,"&gt;0"))</f>
        <v/>
      </c>
      <c r="H10" s="33">
        <f>IF(OR($A10="",$B10=""),"",SUMIFS(근태기록!$H$5:$H$2004,근태기록!$C$5:$C$2004,$B10,근태기록!$A$5:$A$2004,"&gt;="&amp;$A10,근태기록!$A$5:$A$2004,"&lt;="&amp;EOMONTH($A10,0)))</f>
        <v/>
      </c>
      <c r="I10" s="33">
        <f>IF(OR($A10="",$B10=""),"",SUMIFS(근태기록!$I$5:$I$2004,근태기록!$C$5:$C$2004,$B10,근태기록!$A$5:$A$2004,"&gt;="&amp;$A10,근태기록!$A$5:$A$2004,"&lt;="&amp;EOMONTH($A10,0)))</f>
        <v/>
      </c>
      <c r="J10" s="33">
        <f>IF(OR($A10="",$B10=""),"",SUMIFS(근태기록!$J$5:$J$2004,근태기록!$C$5:$C$2004,$B10,근태기록!$A$5:$A$2004,"&gt;="&amp;$A10,근태기록!$A$5:$A$2004,"&lt;="&amp;EOMONTH($A10,0)))</f>
        <v/>
      </c>
      <c r="K10" s="33">
        <f>IF(OR($A10="",$B10=""),"",SUMIFS(근태기록!$H$5:$H$2004,근태기록!$C$5:$C$2004,$B10,근태기록!$A$5:$A$2004,"&gt;="&amp;$A10,근태기록!$A$5:$A$2004,"&lt;="&amp;EOMONTH($A10,0),근태기록!$L$5:$L$2004,"휴일근로"))</f>
        <v/>
      </c>
      <c r="L10" s="20" t="n"/>
      <c r="M10" s="20" t="n"/>
      <c r="N10" s="20" t="n"/>
      <c r="O10" s="20" t="n"/>
      <c r="P10" s="15">
        <f>IF(OR($A10="",$B10=""),"",SUM(L10:O10))</f>
        <v/>
      </c>
      <c r="Q10" s="20" t="n"/>
      <c r="R10" s="20" t="n"/>
      <c r="S10" s="20" t="n"/>
      <c r="T10" s="20" t="n"/>
      <c r="U10" s="20" t="n"/>
      <c r="V10" s="20" t="n"/>
      <c r="W10" s="15">
        <f>IF(OR($A10="",$B10=""),"",SUM(Q10:V10))</f>
        <v/>
      </c>
      <c r="X10" s="15">
        <f>IF(OR($A10="",$B10=""),"",N(P10)-N(W10))</f>
        <v/>
      </c>
    </row>
    <row r="11">
      <c r="A11" s="43" t="n"/>
      <c r="B11" s="18" t="n"/>
      <c r="C11" s="25">
        <f>IFERROR(IF($B11="","",IF(INDEX(직원명부!$B$5:$B$24,MATCH($B11,직원명부!$A$5:$A$24,0))=0,"",INDEX(직원명부!$B$5:$B$24,MATCH($B11,직원명부!$A$5:$A$24,0)))),"사번 확인")</f>
        <v/>
      </c>
      <c r="D11" s="26">
        <f>IFERROR(IF($B11="","",IF(INDEX(근로자명부!$D$5:$D$24,MATCH($B11,근로자명부!$A$5:$A$24,0))=0,"",INDEX(근로자명부!$D$5:$D$24,MATCH($B11,근로자명부!$A$5:$A$24,0)))),"")</f>
        <v/>
      </c>
      <c r="E11" s="26">
        <f>IFERROR(IF($B11="","",IF(INDEX(직원명부!$C$5:$C$24,MATCH($B11,직원명부!$A$5:$A$24,0))=0,"",INDEX(직원명부!$C$5:$C$24,MATCH($B11,직원명부!$A$5:$A$24,0)))),"")</f>
        <v/>
      </c>
      <c r="F11" s="44">
        <f>IFERROR(IF($B11="","",IF(INDEX(근로자명부!$G$5:$G$24,MATCH($B11,근로자명부!$A$5:$A$24,0))=0,"",INDEX(근로자명부!$G$5:$G$24,MATCH($B11,근로자명부!$A$5:$A$24,0)))),"")</f>
        <v/>
      </c>
      <c r="G11" s="30">
        <f>IF(OR($A11="",$B11=""),"",COUNTIFS(근태기록!$C$5:$C$2004,$B11,근태기록!$A$5:$A$2004,"&gt;="&amp;$A11,근태기록!$A$5:$A$2004,"&lt;="&amp;EOMONTH($A11,0),근태기록!$H$5:$H$2004,"&gt;0"))</f>
        <v/>
      </c>
      <c r="H11" s="33">
        <f>IF(OR($A11="",$B11=""),"",SUMIFS(근태기록!$H$5:$H$2004,근태기록!$C$5:$C$2004,$B11,근태기록!$A$5:$A$2004,"&gt;="&amp;$A11,근태기록!$A$5:$A$2004,"&lt;="&amp;EOMONTH($A11,0)))</f>
        <v/>
      </c>
      <c r="I11" s="33">
        <f>IF(OR($A11="",$B11=""),"",SUMIFS(근태기록!$I$5:$I$2004,근태기록!$C$5:$C$2004,$B11,근태기록!$A$5:$A$2004,"&gt;="&amp;$A11,근태기록!$A$5:$A$2004,"&lt;="&amp;EOMONTH($A11,0)))</f>
        <v/>
      </c>
      <c r="J11" s="33">
        <f>IF(OR($A11="",$B11=""),"",SUMIFS(근태기록!$J$5:$J$2004,근태기록!$C$5:$C$2004,$B11,근태기록!$A$5:$A$2004,"&gt;="&amp;$A11,근태기록!$A$5:$A$2004,"&lt;="&amp;EOMONTH($A11,0)))</f>
        <v/>
      </c>
      <c r="K11" s="33">
        <f>IF(OR($A11="",$B11=""),"",SUMIFS(근태기록!$H$5:$H$2004,근태기록!$C$5:$C$2004,$B11,근태기록!$A$5:$A$2004,"&gt;="&amp;$A11,근태기록!$A$5:$A$2004,"&lt;="&amp;EOMONTH($A11,0),근태기록!$L$5:$L$2004,"휴일근로"))</f>
        <v/>
      </c>
      <c r="L11" s="20" t="n"/>
      <c r="M11" s="20" t="n"/>
      <c r="N11" s="20" t="n"/>
      <c r="O11" s="20" t="n"/>
      <c r="P11" s="15">
        <f>IF(OR($A11="",$B11=""),"",SUM(L11:O11))</f>
        <v/>
      </c>
      <c r="Q11" s="20" t="n"/>
      <c r="R11" s="20" t="n"/>
      <c r="S11" s="20" t="n"/>
      <c r="T11" s="20" t="n"/>
      <c r="U11" s="20" t="n"/>
      <c r="V11" s="20" t="n"/>
      <c r="W11" s="15">
        <f>IF(OR($A11="",$B11=""),"",SUM(Q11:V11))</f>
        <v/>
      </c>
      <c r="X11" s="15">
        <f>IF(OR($A11="",$B11=""),"",N(P11)-N(W11))</f>
        <v/>
      </c>
    </row>
    <row r="12">
      <c r="A12" s="43" t="n"/>
      <c r="B12" s="18" t="n"/>
      <c r="C12" s="25">
        <f>IFERROR(IF($B12="","",IF(INDEX(직원명부!$B$5:$B$24,MATCH($B12,직원명부!$A$5:$A$24,0))=0,"",INDEX(직원명부!$B$5:$B$24,MATCH($B12,직원명부!$A$5:$A$24,0)))),"사번 확인")</f>
        <v/>
      </c>
      <c r="D12" s="26">
        <f>IFERROR(IF($B12="","",IF(INDEX(근로자명부!$D$5:$D$24,MATCH($B12,근로자명부!$A$5:$A$24,0))=0,"",INDEX(근로자명부!$D$5:$D$24,MATCH($B12,근로자명부!$A$5:$A$24,0)))),"")</f>
        <v/>
      </c>
      <c r="E12" s="26">
        <f>IFERROR(IF($B12="","",IF(INDEX(직원명부!$C$5:$C$24,MATCH($B12,직원명부!$A$5:$A$24,0))=0,"",INDEX(직원명부!$C$5:$C$24,MATCH($B12,직원명부!$A$5:$A$24,0)))),"")</f>
        <v/>
      </c>
      <c r="F12" s="44">
        <f>IFERROR(IF($B12="","",IF(INDEX(근로자명부!$G$5:$G$24,MATCH($B12,근로자명부!$A$5:$A$24,0))=0,"",INDEX(근로자명부!$G$5:$G$24,MATCH($B12,근로자명부!$A$5:$A$24,0)))),"")</f>
        <v/>
      </c>
      <c r="G12" s="30">
        <f>IF(OR($A12="",$B12=""),"",COUNTIFS(근태기록!$C$5:$C$2004,$B12,근태기록!$A$5:$A$2004,"&gt;="&amp;$A12,근태기록!$A$5:$A$2004,"&lt;="&amp;EOMONTH($A12,0),근태기록!$H$5:$H$2004,"&gt;0"))</f>
        <v/>
      </c>
      <c r="H12" s="33">
        <f>IF(OR($A12="",$B12=""),"",SUMIFS(근태기록!$H$5:$H$2004,근태기록!$C$5:$C$2004,$B12,근태기록!$A$5:$A$2004,"&gt;="&amp;$A12,근태기록!$A$5:$A$2004,"&lt;="&amp;EOMONTH($A12,0)))</f>
        <v/>
      </c>
      <c r="I12" s="33">
        <f>IF(OR($A12="",$B12=""),"",SUMIFS(근태기록!$I$5:$I$2004,근태기록!$C$5:$C$2004,$B12,근태기록!$A$5:$A$2004,"&gt;="&amp;$A12,근태기록!$A$5:$A$2004,"&lt;="&amp;EOMONTH($A12,0)))</f>
        <v/>
      </c>
      <c r="J12" s="33">
        <f>IF(OR($A12="",$B12=""),"",SUMIFS(근태기록!$J$5:$J$2004,근태기록!$C$5:$C$2004,$B12,근태기록!$A$5:$A$2004,"&gt;="&amp;$A12,근태기록!$A$5:$A$2004,"&lt;="&amp;EOMONTH($A12,0)))</f>
        <v/>
      </c>
      <c r="K12" s="33">
        <f>IF(OR($A12="",$B12=""),"",SUMIFS(근태기록!$H$5:$H$2004,근태기록!$C$5:$C$2004,$B12,근태기록!$A$5:$A$2004,"&gt;="&amp;$A12,근태기록!$A$5:$A$2004,"&lt;="&amp;EOMONTH($A12,0),근태기록!$L$5:$L$2004,"휴일근로"))</f>
        <v/>
      </c>
      <c r="L12" s="20" t="n"/>
      <c r="M12" s="20" t="n"/>
      <c r="N12" s="20" t="n"/>
      <c r="O12" s="20" t="n"/>
      <c r="P12" s="15">
        <f>IF(OR($A12="",$B12=""),"",SUM(L12:O12))</f>
        <v/>
      </c>
      <c r="Q12" s="20" t="n"/>
      <c r="R12" s="20" t="n"/>
      <c r="S12" s="20" t="n"/>
      <c r="T12" s="20" t="n"/>
      <c r="U12" s="20" t="n"/>
      <c r="V12" s="20" t="n"/>
      <c r="W12" s="15">
        <f>IF(OR($A12="",$B12=""),"",SUM(Q12:V12))</f>
        <v/>
      </c>
      <c r="X12" s="15">
        <f>IF(OR($A12="",$B12=""),"",N(P12)-N(W12))</f>
        <v/>
      </c>
    </row>
    <row r="13">
      <c r="A13" s="43" t="n"/>
      <c r="B13" s="18" t="n"/>
      <c r="C13" s="25">
        <f>IFERROR(IF($B13="","",IF(INDEX(직원명부!$B$5:$B$24,MATCH($B13,직원명부!$A$5:$A$24,0))=0,"",INDEX(직원명부!$B$5:$B$24,MATCH($B13,직원명부!$A$5:$A$24,0)))),"사번 확인")</f>
        <v/>
      </c>
      <c r="D13" s="26">
        <f>IFERROR(IF($B13="","",IF(INDEX(근로자명부!$D$5:$D$24,MATCH($B13,근로자명부!$A$5:$A$24,0))=0,"",INDEX(근로자명부!$D$5:$D$24,MATCH($B13,근로자명부!$A$5:$A$24,0)))),"")</f>
        <v/>
      </c>
      <c r="E13" s="26">
        <f>IFERROR(IF($B13="","",IF(INDEX(직원명부!$C$5:$C$24,MATCH($B13,직원명부!$A$5:$A$24,0))=0,"",INDEX(직원명부!$C$5:$C$24,MATCH($B13,직원명부!$A$5:$A$24,0)))),"")</f>
        <v/>
      </c>
      <c r="F13" s="44">
        <f>IFERROR(IF($B13="","",IF(INDEX(근로자명부!$G$5:$G$24,MATCH($B13,근로자명부!$A$5:$A$24,0))=0,"",INDEX(근로자명부!$G$5:$G$24,MATCH($B13,근로자명부!$A$5:$A$24,0)))),"")</f>
        <v/>
      </c>
      <c r="G13" s="30">
        <f>IF(OR($A13="",$B13=""),"",COUNTIFS(근태기록!$C$5:$C$2004,$B13,근태기록!$A$5:$A$2004,"&gt;="&amp;$A13,근태기록!$A$5:$A$2004,"&lt;="&amp;EOMONTH($A13,0),근태기록!$H$5:$H$2004,"&gt;0"))</f>
        <v/>
      </c>
      <c r="H13" s="33">
        <f>IF(OR($A13="",$B13=""),"",SUMIFS(근태기록!$H$5:$H$2004,근태기록!$C$5:$C$2004,$B13,근태기록!$A$5:$A$2004,"&gt;="&amp;$A13,근태기록!$A$5:$A$2004,"&lt;="&amp;EOMONTH($A13,0)))</f>
        <v/>
      </c>
      <c r="I13" s="33">
        <f>IF(OR($A13="",$B13=""),"",SUMIFS(근태기록!$I$5:$I$2004,근태기록!$C$5:$C$2004,$B13,근태기록!$A$5:$A$2004,"&gt;="&amp;$A13,근태기록!$A$5:$A$2004,"&lt;="&amp;EOMONTH($A13,0)))</f>
        <v/>
      </c>
      <c r="J13" s="33">
        <f>IF(OR($A13="",$B13=""),"",SUMIFS(근태기록!$J$5:$J$2004,근태기록!$C$5:$C$2004,$B13,근태기록!$A$5:$A$2004,"&gt;="&amp;$A13,근태기록!$A$5:$A$2004,"&lt;="&amp;EOMONTH($A13,0)))</f>
        <v/>
      </c>
      <c r="K13" s="33">
        <f>IF(OR($A13="",$B13=""),"",SUMIFS(근태기록!$H$5:$H$2004,근태기록!$C$5:$C$2004,$B13,근태기록!$A$5:$A$2004,"&gt;="&amp;$A13,근태기록!$A$5:$A$2004,"&lt;="&amp;EOMONTH($A13,0),근태기록!$L$5:$L$2004,"휴일근로"))</f>
        <v/>
      </c>
      <c r="L13" s="20" t="n"/>
      <c r="M13" s="20" t="n"/>
      <c r="N13" s="20" t="n"/>
      <c r="O13" s="20" t="n"/>
      <c r="P13" s="15">
        <f>IF(OR($A13="",$B13=""),"",SUM(L13:O13))</f>
        <v/>
      </c>
      <c r="Q13" s="20" t="n"/>
      <c r="R13" s="20" t="n"/>
      <c r="S13" s="20" t="n"/>
      <c r="T13" s="20" t="n"/>
      <c r="U13" s="20" t="n"/>
      <c r="V13" s="20" t="n"/>
      <c r="W13" s="15">
        <f>IF(OR($A13="",$B13=""),"",SUM(Q13:V13))</f>
        <v/>
      </c>
      <c r="X13" s="15">
        <f>IF(OR($A13="",$B13=""),"",N(P13)-N(W13))</f>
        <v/>
      </c>
    </row>
    <row r="14">
      <c r="A14" s="43" t="n"/>
      <c r="B14" s="18" t="n"/>
      <c r="C14" s="25">
        <f>IFERROR(IF($B14="","",IF(INDEX(직원명부!$B$5:$B$24,MATCH($B14,직원명부!$A$5:$A$24,0))=0,"",INDEX(직원명부!$B$5:$B$24,MATCH($B14,직원명부!$A$5:$A$24,0)))),"사번 확인")</f>
        <v/>
      </c>
      <c r="D14" s="26">
        <f>IFERROR(IF($B14="","",IF(INDEX(근로자명부!$D$5:$D$24,MATCH($B14,근로자명부!$A$5:$A$24,0))=0,"",INDEX(근로자명부!$D$5:$D$24,MATCH($B14,근로자명부!$A$5:$A$24,0)))),"")</f>
        <v/>
      </c>
      <c r="E14" s="26">
        <f>IFERROR(IF($B14="","",IF(INDEX(직원명부!$C$5:$C$24,MATCH($B14,직원명부!$A$5:$A$24,0))=0,"",INDEX(직원명부!$C$5:$C$24,MATCH($B14,직원명부!$A$5:$A$24,0)))),"")</f>
        <v/>
      </c>
      <c r="F14" s="44">
        <f>IFERROR(IF($B14="","",IF(INDEX(근로자명부!$G$5:$G$24,MATCH($B14,근로자명부!$A$5:$A$24,0))=0,"",INDEX(근로자명부!$G$5:$G$24,MATCH($B14,근로자명부!$A$5:$A$24,0)))),"")</f>
        <v/>
      </c>
      <c r="G14" s="30">
        <f>IF(OR($A14="",$B14=""),"",COUNTIFS(근태기록!$C$5:$C$2004,$B14,근태기록!$A$5:$A$2004,"&gt;="&amp;$A14,근태기록!$A$5:$A$2004,"&lt;="&amp;EOMONTH($A14,0),근태기록!$H$5:$H$2004,"&gt;0"))</f>
        <v/>
      </c>
      <c r="H14" s="33">
        <f>IF(OR($A14="",$B14=""),"",SUMIFS(근태기록!$H$5:$H$2004,근태기록!$C$5:$C$2004,$B14,근태기록!$A$5:$A$2004,"&gt;="&amp;$A14,근태기록!$A$5:$A$2004,"&lt;="&amp;EOMONTH($A14,0)))</f>
        <v/>
      </c>
      <c r="I14" s="33">
        <f>IF(OR($A14="",$B14=""),"",SUMIFS(근태기록!$I$5:$I$2004,근태기록!$C$5:$C$2004,$B14,근태기록!$A$5:$A$2004,"&gt;="&amp;$A14,근태기록!$A$5:$A$2004,"&lt;="&amp;EOMONTH($A14,0)))</f>
        <v/>
      </c>
      <c r="J14" s="33">
        <f>IF(OR($A14="",$B14=""),"",SUMIFS(근태기록!$J$5:$J$2004,근태기록!$C$5:$C$2004,$B14,근태기록!$A$5:$A$2004,"&gt;="&amp;$A14,근태기록!$A$5:$A$2004,"&lt;="&amp;EOMONTH($A14,0)))</f>
        <v/>
      </c>
      <c r="K14" s="33">
        <f>IF(OR($A14="",$B14=""),"",SUMIFS(근태기록!$H$5:$H$2004,근태기록!$C$5:$C$2004,$B14,근태기록!$A$5:$A$2004,"&gt;="&amp;$A14,근태기록!$A$5:$A$2004,"&lt;="&amp;EOMONTH($A14,0),근태기록!$L$5:$L$2004,"휴일근로"))</f>
        <v/>
      </c>
      <c r="L14" s="20" t="n"/>
      <c r="M14" s="20" t="n"/>
      <c r="N14" s="20" t="n"/>
      <c r="O14" s="20" t="n"/>
      <c r="P14" s="15">
        <f>IF(OR($A14="",$B14=""),"",SUM(L14:O14))</f>
        <v/>
      </c>
      <c r="Q14" s="20" t="n"/>
      <c r="R14" s="20" t="n"/>
      <c r="S14" s="20" t="n"/>
      <c r="T14" s="20" t="n"/>
      <c r="U14" s="20" t="n"/>
      <c r="V14" s="20" t="n"/>
      <c r="W14" s="15">
        <f>IF(OR($A14="",$B14=""),"",SUM(Q14:V14))</f>
        <v/>
      </c>
      <c r="X14" s="15">
        <f>IF(OR($A14="",$B14=""),"",N(P14)-N(W14))</f>
        <v/>
      </c>
    </row>
    <row r="15">
      <c r="A15" s="43" t="n"/>
      <c r="B15" s="18" t="n"/>
      <c r="C15" s="25">
        <f>IFERROR(IF($B15="","",IF(INDEX(직원명부!$B$5:$B$24,MATCH($B15,직원명부!$A$5:$A$24,0))=0,"",INDEX(직원명부!$B$5:$B$24,MATCH($B15,직원명부!$A$5:$A$24,0)))),"사번 확인")</f>
        <v/>
      </c>
      <c r="D15" s="26">
        <f>IFERROR(IF($B15="","",IF(INDEX(근로자명부!$D$5:$D$24,MATCH($B15,근로자명부!$A$5:$A$24,0))=0,"",INDEX(근로자명부!$D$5:$D$24,MATCH($B15,근로자명부!$A$5:$A$24,0)))),"")</f>
        <v/>
      </c>
      <c r="E15" s="26">
        <f>IFERROR(IF($B15="","",IF(INDEX(직원명부!$C$5:$C$24,MATCH($B15,직원명부!$A$5:$A$24,0))=0,"",INDEX(직원명부!$C$5:$C$24,MATCH($B15,직원명부!$A$5:$A$24,0)))),"")</f>
        <v/>
      </c>
      <c r="F15" s="44">
        <f>IFERROR(IF($B15="","",IF(INDEX(근로자명부!$G$5:$G$24,MATCH($B15,근로자명부!$A$5:$A$24,0))=0,"",INDEX(근로자명부!$G$5:$G$24,MATCH($B15,근로자명부!$A$5:$A$24,0)))),"")</f>
        <v/>
      </c>
      <c r="G15" s="30">
        <f>IF(OR($A15="",$B15=""),"",COUNTIFS(근태기록!$C$5:$C$2004,$B15,근태기록!$A$5:$A$2004,"&gt;="&amp;$A15,근태기록!$A$5:$A$2004,"&lt;="&amp;EOMONTH($A15,0),근태기록!$H$5:$H$2004,"&gt;0"))</f>
        <v/>
      </c>
      <c r="H15" s="33">
        <f>IF(OR($A15="",$B15=""),"",SUMIFS(근태기록!$H$5:$H$2004,근태기록!$C$5:$C$2004,$B15,근태기록!$A$5:$A$2004,"&gt;="&amp;$A15,근태기록!$A$5:$A$2004,"&lt;="&amp;EOMONTH($A15,0)))</f>
        <v/>
      </c>
      <c r="I15" s="33">
        <f>IF(OR($A15="",$B15=""),"",SUMIFS(근태기록!$I$5:$I$2004,근태기록!$C$5:$C$2004,$B15,근태기록!$A$5:$A$2004,"&gt;="&amp;$A15,근태기록!$A$5:$A$2004,"&lt;="&amp;EOMONTH($A15,0)))</f>
        <v/>
      </c>
      <c r="J15" s="33">
        <f>IF(OR($A15="",$B15=""),"",SUMIFS(근태기록!$J$5:$J$2004,근태기록!$C$5:$C$2004,$B15,근태기록!$A$5:$A$2004,"&gt;="&amp;$A15,근태기록!$A$5:$A$2004,"&lt;="&amp;EOMONTH($A15,0)))</f>
        <v/>
      </c>
      <c r="K15" s="33">
        <f>IF(OR($A15="",$B15=""),"",SUMIFS(근태기록!$H$5:$H$2004,근태기록!$C$5:$C$2004,$B15,근태기록!$A$5:$A$2004,"&gt;="&amp;$A15,근태기록!$A$5:$A$2004,"&lt;="&amp;EOMONTH($A15,0),근태기록!$L$5:$L$2004,"휴일근로"))</f>
        <v/>
      </c>
      <c r="L15" s="20" t="n"/>
      <c r="M15" s="20" t="n"/>
      <c r="N15" s="20" t="n"/>
      <c r="O15" s="20" t="n"/>
      <c r="P15" s="15">
        <f>IF(OR($A15="",$B15=""),"",SUM(L15:O15))</f>
        <v/>
      </c>
      <c r="Q15" s="20" t="n"/>
      <c r="R15" s="20" t="n"/>
      <c r="S15" s="20" t="n"/>
      <c r="T15" s="20" t="n"/>
      <c r="U15" s="20" t="n"/>
      <c r="V15" s="20" t="n"/>
      <c r="W15" s="15">
        <f>IF(OR($A15="",$B15=""),"",SUM(Q15:V15))</f>
        <v/>
      </c>
      <c r="X15" s="15">
        <f>IF(OR($A15="",$B15=""),"",N(P15)-N(W15))</f>
        <v/>
      </c>
    </row>
    <row r="16">
      <c r="A16" s="43" t="n"/>
      <c r="B16" s="18" t="n"/>
      <c r="C16" s="25">
        <f>IFERROR(IF($B16="","",IF(INDEX(직원명부!$B$5:$B$24,MATCH($B16,직원명부!$A$5:$A$24,0))=0,"",INDEX(직원명부!$B$5:$B$24,MATCH($B16,직원명부!$A$5:$A$24,0)))),"사번 확인")</f>
        <v/>
      </c>
      <c r="D16" s="26">
        <f>IFERROR(IF($B16="","",IF(INDEX(근로자명부!$D$5:$D$24,MATCH($B16,근로자명부!$A$5:$A$24,0))=0,"",INDEX(근로자명부!$D$5:$D$24,MATCH($B16,근로자명부!$A$5:$A$24,0)))),"")</f>
        <v/>
      </c>
      <c r="E16" s="26">
        <f>IFERROR(IF($B16="","",IF(INDEX(직원명부!$C$5:$C$24,MATCH($B16,직원명부!$A$5:$A$24,0))=0,"",INDEX(직원명부!$C$5:$C$24,MATCH($B16,직원명부!$A$5:$A$24,0)))),"")</f>
        <v/>
      </c>
      <c r="F16" s="44">
        <f>IFERROR(IF($B16="","",IF(INDEX(근로자명부!$G$5:$G$24,MATCH($B16,근로자명부!$A$5:$A$24,0))=0,"",INDEX(근로자명부!$G$5:$G$24,MATCH($B16,근로자명부!$A$5:$A$24,0)))),"")</f>
        <v/>
      </c>
      <c r="G16" s="30">
        <f>IF(OR($A16="",$B16=""),"",COUNTIFS(근태기록!$C$5:$C$2004,$B16,근태기록!$A$5:$A$2004,"&gt;="&amp;$A16,근태기록!$A$5:$A$2004,"&lt;="&amp;EOMONTH($A16,0),근태기록!$H$5:$H$2004,"&gt;0"))</f>
        <v/>
      </c>
      <c r="H16" s="33">
        <f>IF(OR($A16="",$B16=""),"",SUMIFS(근태기록!$H$5:$H$2004,근태기록!$C$5:$C$2004,$B16,근태기록!$A$5:$A$2004,"&gt;="&amp;$A16,근태기록!$A$5:$A$2004,"&lt;="&amp;EOMONTH($A16,0)))</f>
        <v/>
      </c>
      <c r="I16" s="33">
        <f>IF(OR($A16="",$B16=""),"",SUMIFS(근태기록!$I$5:$I$2004,근태기록!$C$5:$C$2004,$B16,근태기록!$A$5:$A$2004,"&gt;="&amp;$A16,근태기록!$A$5:$A$2004,"&lt;="&amp;EOMONTH($A16,0)))</f>
        <v/>
      </c>
      <c r="J16" s="33">
        <f>IF(OR($A16="",$B16=""),"",SUMIFS(근태기록!$J$5:$J$2004,근태기록!$C$5:$C$2004,$B16,근태기록!$A$5:$A$2004,"&gt;="&amp;$A16,근태기록!$A$5:$A$2004,"&lt;="&amp;EOMONTH($A16,0)))</f>
        <v/>
      </c>
      <c r="K16" s="33">
        <f>IF(OR($A16="",$B16=""),"",SUMIFS(근태기록!$H$5:$H$2004,근태기록!$C$5:$C$2004,$B16,근태기록!$A$5:$A$2004,"&gt;="&amp;$A16,근태기록!$A$5:$A$2004,"&lt;="&amp;EOMONTH($A16,0),근태기록!$L$5:$L$2004,"휴일근로"))</f>
        <v/>
      </c>
      <c r="L16" s="20" t="n"/>
      <c r="M16" s="20" t="n"/>
      <c r="N16" s="20" t="n"/>
      <c r="O16" s="20" t="n"/>
      <c r="P16" s="15">
        <f>IF(OR($A16="",$B16=""),"",SUM(L16:O16))</f>
        <v/>
      </c>
      <c r="Q16" s="20" t="n"/>
      <c r="R16" s="20" t="n"/>
      <c r="S16" s="20" t="n"/>
      <c r="T16" s="20" t="n"/>
      <c r="U16" s="20" t="n"/>
      <c r="V16" s="20" t="n"/>
      <c r="W16" s="15">
        <f>IF(OR($A16="",$B16=""),"",SUM(Q16:V16))</f>
        <v/>
      </c>
      <c r="X16" s="15">
        <f>IF(OR($A16="",$B16=""),"",N(P16)-N(W16))</f>
        <v/>
      </c>
    </row>
    <row r="17">
      <c r="A17" s="43" t="n"/>
      <c r="B17" s="18" t="n"/>
      <c r="C17" s="25">
        <f>IFERROR(IF($B17="","",IF(INDEX(직원명부!$B$5:$B$24,MATCH($B17,직원명부!$A$5:$A$24,0))=0,"",INDEX(직원명부!$B$5:$B$24,MATCH($B17,직원명부!$A$5:$A$24,0)))),"사번 확인")</f>
        <v/>
      </c>
      <c r="D17" s="26">
        <f>IFERROR(IF($B17="","",IF(INDEX(근로자명부!$D$5:$D$24,MATCH($B17,근로자명부!$A$5:$A$24,0))=0,"",INDEX(근로자명부!$D$5:$D$24,MATCH($B17,근로자명부!$A$5:$A$24,0)))),"")</f>
        <v/>
      </c>
      <c r="E17" s="26">
        <f>IFERROR(IF($B17="","",IF(INDEX(직원명부!$C$5:$C$24,MATCH($B17,직원명부!$A$5:$A$24,0))=0,"",INDEX(직원명부!$C$5:$C$24,MATCH($B17,직원명부!$A$5:$A$24,0)))),"")</f>
        <v/>
      </c>
      <c r="F17" s="44">
        <f>IFERROR(IF($B17="","",IF(INDEX(근로자명부!$G$5:$G$24,MATCH($B17,근로자명부!$A$5:$A$24,0))=0,"",INDEX(근로자명부!$G$5:$G$24,MATCH($B17,근로자명부!$A$5:$A$24,0)))),"")</f>
        <v/>
      </c>
      <c r="G17" s="30">
        <f>IF(OR($A17="",$B17=""),"",COUNTIFS(근태기록!$C$5:$C$2004,$B17,근태기록!$A$5:$A$2004,"&gt;="&amp;$A17,근태기록!$A$5:$A$2004,"&lt;="&amp;EOMONTH($A17,0),근태기록!$H$5:$H$2004,"&gt;0"))</f>
        <v/>
      </c>
      <c r="H17" s="33">
        <f>IF(OR($A17="",$B17=""),"",SUMIFS(근태기록!$H$5:$H$2004,근태기록!$C$5:$C$2004,$B17,근태기록!$A$5:$A$2004,"&gt;="&amp;$A17,근태기록!$A$5:$A$2004,"&lt;="&amp;EOMONTH($A17,0)))</f>
        <v/>
      </c>
      <c r="I17" s="33">
        <f>IF(OR($A17="",$B17=""),"",SUMIFS(근태기록!$I$5:$I$2004,근태기록!$C$5:$C$2004,$B17,근태기록!$A$5:$A$2004,"&gt;="&amp;$A17,근태기록!$A$5:$A$2004,"&lt;="&amp;EOMONTH($A17,0)))</f>
        <v/>
      </c>
      <c r="J17" s="33">
        <f>IF(OR($A17="",$B17=""),"",SUMIFS(근태기록!$J$5:$J$2004,근태기록!$C$5:$C$2004,$B17,근태기록!$A$5:$A$2004,"&gt;="&amp;$A17,근태기록!$A$5:$A$2004,"&lt;="&amp;EOMONTH($A17,0)))</f>
        <v/>
      </c>
      <c r="K17" s="33">
        <f>IF(OR($A17="",$B17=""),"",SUMIFS(근태기록!$H$5:$H$2004,근태기록!$C$5:$C$2004,$B17,근태기록!$A$5:$A$2004,"&gt;="&amp;$A17,근태기록!$A$5:$A$2004,"&lt;="&amp;EOMONTH($A17,0),근태기록!$L$5:$L$2004,"휴일근로"))</f>
        <v/>
      </c>
      <c r="L17" s="20" t="n"/>
      <c r="M17" s="20" t="n"/>
      <c r="N17" s="20" t="n"/>
      <c r="O17" s="20" t="n"/>
      <c r="P17" s="15">
        <f>IF(OR($A17="",$B17=""),"",SUM(L17:O17))</f>
        <v/>
      </c>
      <c r="Q17" s="20" t="n"/>
      <c r="R17" s="20" t="n"/>
      <c r="S17" s="20" t="n"/>
      <c r="T17" s="20" t="n"/>
      <c r="U17" s="20" t="n"/>
      <c r="V17" s="20" t="n"/>
      <c r="W17" s="15">
        <f>IF(OR($A17="",$B17=""),"",SUM(Q17:V17))</f>
        <v/>
      </c>
      <c r="X17" s="15">
        <f>IF(OR($A17="",$B17=""),"",N(P17)-N(W17))</f>
        <v/>
      </c>
    </row>
    <row r="18">
      <c r="A18" s="43" t="n"/>
      <c r="B18" s="18" t="n"/>
      <c r="C18" s="25">
        <f>IFERROR(IF($B18="","",IF(INDEX(직원명부!$B$5:$B$24,MATCH($B18,직원명부!$A$5:$A$24,0))=0,"",INDEX(직원명부!$B$5:$B$24,MATCH($B18,직원명부!$A$5:$A$24,0)))),"사번 확인")</f>
        <v/>
      </c>
      <c r="D18" s="26">
        <f>IFERROR(IF($B18="","",IF(INDEX(근로자명부!$D$5:$D$24,MATCH($B18,근로자명부!$A$5:$A$24,0))=0,"",INDEX(근로자명부!$D$5:$D$24,MATCH($B18,근로자명부!$A$5:$A$24,0)))),"")</f>
        <v/>
      </c>
      <c r="E18" s="26">
        <f>IFERROR(IF($B18="","",IF(INDEX(직원명부!$C$5:$C$24,MATCH($B18,직원명부!$A$5:$A$24,0))=0,"",INDEX(직원명부!$C$5:$C$24,MATCH($B18,직원명부!$A$5:$A$24,0)))),"")</f>
        <v/>
      </c>
      <c r="F18" s="44">
        <f>IFERROR(IF($B18="","",IF(INDEX(근로자명부!$G$5:$G$24,MATCH($B18,근로자명부!$A$5:$A$24,0))=0,"",INDEX(근로자명부!$G$5:$G$24,MATCH($B18,근로자명부!$A$5:$A$24,0)))),"")</f>
        <v/>
      </c>
      <c r="G18" s="30">
        <f>IF(OR($A18="",$B18=""),"",COUNTIFS(근태기록!$C$5:$C$2004,$B18,근태기록!$A$5:$A$2004,"&gt;="&amp;$A18,근태기록!$A$5:$A$2004,"&lt;="&amp;EOMONTH($A18,0),근태기록!$H$5:$H$2004,"&gt;0"))</f>
        <v/>
      </c>
      <c r="H18" s="33">
        <f>IF(OR($A18="",$B18=""),"",SUMIFS(근태기록!$H$5:$H$2004,근태기록!$C$5:$C$2004,$B18,근태기록!$A$5:$A$2004,"&gt;="&amp;$A18,근태기록!$A$5:$A$2004,"&lt;="&amp;EOMONTH($A18,0)))</f>
        <v/>
      </c>
      <c r="I18" s="33">
        <f>IF(OR($A18="",$B18=""),"",SUMIFS(근태기록!$I$5:$I$2004,근태기록!$C$5:$C$2004,$B18,근태기록!$A$5:$A$2004,"&gt;="&amp;$A18,근태기록!$A$5:$A$2004,"&lt;="&amp;EOMONTH($A18,0)))</f>
        <v/>
      </c>
      <c r="J18" s="33">
        <f>IF(OR($A18="",$B18=""),"",SUMIFS(근태기록!$J$5:$J$2004,근태기록!$C$5:$C$2004,$B18,근태기록!$A$5:$A$2004,"&gt;="&amp;$A18,근태기록!$A$5:$A$2004,"&lt;="&amp;EOMONTH($A18,0)))</f>
        <v/>
      </c>
      <c r="K18" s="33">
        <f>IF(OR($A18="",$B18=""),"",SUMIFS(근태기록!$H$5:$H$2004,근태기록!$C$5:$C$2004,$B18,근태기록!$A$5:$A$2004,"&gt;="&amp;$A18,근태기록!$A$5:$A$2004,"&lt;="&amp;EOMONTH($A18,0),근태기록!$L$5:$L$2004,"휴일근로"))</f>
        <v/>
      </c>
      <c r="L18" s="20" t="n"/>
      <c r="M18" s="20" t="n"/>
      <c r="N18" s="20" t="n"/>
      <c r="O18" s="20" t="n"/>
      <c r="P18" s="15">
        <f>IF(OR($A18="",$B18=""),"",SUM(L18:O18))</f>
        <v/>
      </c>
      <c r="Q18" s="20" t="n"/>
      <c r="R18" s="20" t="n"/>
      <c r="S18" s="20" t="n"/>
      <c r="T18" s="20" t="n"/>
      <c r="U18" s="20" t="n"/>
      <c r="V18" s="20" t="n"/>
      <c r="W18" s="15">
        <f>IF(OR($A18="",$B18=""),"",SUM(Q18:V18))</f>
        <v/>
      </c>
      <c r="X18" s="15">
        <f>IF(OR($A18="",$B18=""),"",N(P18)-N(W18))</f>
        <v/>
      </c>
    </row>
    <row r="19">
      <c r="A19" s="43" t="n"/>
      <c r="B19" s="18" t="n"/>
      <c r="C19" s="25">
        <f>IFERROR(IF($B19="","",IF(INDEX(직원명부!$B$5:$B$24,MATCH($B19,직원명부!$A$5:$A$24,0))=0,"",INDEX(직원명부!$B$5:$B$24,MATCH($B19,직원명부!$A$5:$A$24,0)))),"사번 확인")</f>
        <v/>
      </c>
      <c r="D19" s="26">
        <f>IFERROR(IF($B19="","",IF(INDEX(근로자명부!$D$5:$D$24,MATCH($B19,근로자명부!$A$5:$A$24,0))=0,"",INDEX(근로자명부!$D$5:$D$24,MATCH($B19,근로자명부!$A$5:$A$24,0)))),"")</f>
        <v/>
      </c>
      <c r="E19" s="26">
        <f>IFERROR(IF($B19="","",IF(INDEX(직원명부!$C$5:$C$24,MATCH($B19,직원명부!$A$5:$A$24,0))=0,"",INDEX(직원명부!$C$5:$C$24,MATCH($B19,직원명부!$A$5:$A$24,0)))),"")</f>
        <v/>
      </c>
      <c r="F19" s="44">
        <f>IFERROR(IF($B19="","",IF(INDEX(근로자명부!$G$5:$G$24,MATCH($B19,근로자명부!$A$5:$A$24,0))=0,"",INDEX(근로자명부!$G$5:$G$24,MATCH($B19,근로자명부!$A$5:$A$24,0)))),"")</f>
        <v/>
      </c>
      <c r="G19" s="30">
        <f>IF(OR($A19="",$B19=""),"",COUNTIFS(근태기록!$C$5:$C$2004,$B19,근태기록!$A$5:$A$2004,"&gt;="&amp;$A19,근태기록!$A$5:$A$2004,"&lt;="&amp;EOMONTH($A19,0),근태기록!$H$5:$H$2004,"&gt;0"))</f>
        <v/>
      </c>
      <c r="H19" s="33">
        <f>IF(OR($A19="",$B19=""),"",SUMIFS(근태기록!$H$5:$H$2004,근태기록!$C$5:$C$2004,$B19,근태기록!$A$5:$A$2004,"&gt;="&amp;$A19,근태기록!$A$5:$A$2004,"&lt;="&amp;EOMONTH($A19,0)))</f>
        <v/>
      </c>
      <c r="I19" s="33">
        <f>IF(OR($A19="",$B19=""),"",SUMIFS(근태기록!$I$5:$I$2004,근태기록!$C$5:$C$2004,$B19,근태기록!$A$5:$A$2004,"&gt;="&amp;$A19,근태기록!$A$5:$A$2004,"&lt;="&amp;EOMONTH($A19,0)))</f>
        <v/>
      </c>
      <c r="J19" s="33">
        <f>IF(OR($A19="",$B19=""),"",SUMIFS(근태기록!$J$5:$J$2004,근태기록!$C$5:$C$2004,$B19,근태기록!$A$5:$A$2004,"&gt;="&amp;$A19,근태기록!$A$5:$A$2004,"&lt;="&amp;EOMONTH($A19,0)))</f>
        <v/>
      </c>
      <c r="K19" s="33">
        <f>IF(OR($A19="",$B19=""),"",SUMIFS(근태기록!$H$5:$H$2004,근태기록!$C$5:$C$2004,$B19,근태기록!$A$5:$A$2004,"&gt;="&amp;$A19,근태기록!$A$5:$A$2004,"&lt;="&amp;EOMONTH($A19,0),근태기록!$L$5:$L$2004,"휴일근로"))</f>
        <v/>
      </c>
      <c r="L19" s="20" t="n"/>
      <c r="M19" s="20" t="n"/>
      <c r="N19" s="20" t="n"/>
      <c r="O19" s="20" t="n"/>
      <c r="P19" s="15">
        <f>IF(OR($A19="",$B19=""),"",SUM(L19:O19))</f>
        <v/>
      </c>
      <c r="Q19" s="20" t="n"/>
      <c r="R19" s="20" t="n"/>
      <c r="S19" s="20" t="n"/>
      <c r="T19" s="20" t="n"/>
      <c r="U19" s="20" t="n"/>
      <c r="V19" s="20" t="n"/>
      <c r="W19" s="15">
        <f>IF(OR($A19="",$B19=""),"",SUM(Q19:V19))</f>
        <v/>
      </c>
      <c r="X19" s="15">
        <f>IF(OR($A19="",$B19=""),"",N(P19)-N(W19))</f>
        <v/>
      </c>
    </row>
    <row r="20">
      <c r="A20" s="43" t="n"/>
      <c r="B20" s="18" t="n"/>
      <c r="C20" s="25">
        <f>IFERROR(IF($B20="","",IF(INDEX(직원명부!$B$5:$B$24,MATCH($B20,직원명부!$A$5:$A$24,0))=0,"",INDEX(직원명부!$B$5:$B$24,MATCH($B20,직원명부!$A$5:$A$24,0)))),"사번 확인")</f>
        <v/>
      </c>
      <c r="D20" s="26">
        <f>IFERROR(IF($B20="","",IF(INDEX(근로자명부!$D$5:$D$24,MATCH($B20,근로자명부!$A$5:$A$24,0))=0,"",INDEX(근로자명부!$D$5:$D$24,MATCH($B20,근로자명부!$A$5:$A$24,0)))),"")</f>
        <v/>
      </c>
      <c r="E20" s="26">
        <f>IFERROR(IF($B20="","",IF(INDEX(직원명부!$C$5:$C$24,MATCH($B20,직원명부!$A$5:$A$24,0))=0,"",INDEX(직원명부!$C$5:$C$24,MATCH($B20,직원명부!$A$5:$A$24,0)))),"")</f>
        <v/>
      </c>
      <c r="F20" s="44">
        <f>IFERROR(IF($B20="","",IF(INDEX(근로자명부!$G$5:$G$24,MATCH($B20,근로자명부!$A$5:$A$24,0))=0,"",INDEX(근로자명부!$G$5:$G$24,MATCH($B20,근로자명부!$A$5:$A$24,0)))),"")</f>
        <v/>
      </c>
      <c r="G20" s="30">
        <f>IF(OR($A20="",$B20=""),"",COUNTIFS(근태기록!$C$5:$C$2004,$B20,근태기록!$A$5:$A$2004,"&gt;="&amp;$A20,근태기록!$A$5:$A$2004,"&lt;="&amp;EOMONTH($A20,0),근태기록!$H$5:$H$2004,"&gt;0"))</f>
        <v/>
      </c>
      <c r="H20" s="33">
        <f>IF(OR($A20="",$B20=""),"",SUMIFS(근태기록!$H$5:$H$2004,근태기록!$C$5:$C$2004,$B20,근태기록!$A$5:$A$2004,"&gt;="&amp;$A20,근태기록!$A$5:$A$2004,"&lt;="&amp;EOMONTH($A20,0)))</f>
        <v/>
      </c>
      <c r="I20" s="33">
        <f>IF(OR($A20="",$B20=""),"",SUMIFS(근태기록!$I$5:$I$2004,근태기록!$C$5:$C$2004,$B20,근태기록!$A$5:$A$2004,"&gt;="&amp;$A20,근태기록!$A$5:$A$2004,"&lt;="&amp;EOMONTH($A20,0)))</f>
        <v/>
      </c>
      <c r="J20" s="33">
        <f>IF(OR($A20="",$B20=""),"",SUMIFS(근태기록!$J$5:$J$2004,근태기록!$C$5:$C$2004,$B20,근태기록!$A$5:$A$2004,"&gt;="&amp;$A20,근태기록!$A$5:$A$2004,"&lt;="&amp;EOMONTH($A20,0)))</f>
        <v/>
      </c>
      <c r="K20" s="33">
        <f>IF(OR($A20="",$B20=""),"",SUMIFS(근태기록!$H$5:$H$2004,근태기록!$C$5:$C$2004,$B20,근태기록!$A$5:$A$2004,"&gt;="&amp;$A20,근태기록!$A$5:$A$2004,"&lt;="&amp;EOMONTH($A20,0),근태기록!$L$5:$L$2004,"휴일근로"))</f>
        <v/>
      </c>
      <c r="L20" s="20" t="n"/>
      <c r="M20" s="20" t="n"/>
      <c r="N20" s="20" t="n"/>
      <c r="O20" s="20" t="n"/>
      <c r="P20" s="15">
        <f>IF(OR($A20="",$B20=""),"",SUM(L20:O20))</f>
        <v/>
      </c>
      <c r="Q20" s="20" t="n"/>
      <c r="R20" s="20" t="n"/>
      <c r="S20" s="20" t="n"/>
      <c r="T20" s="20" t="n"/>
      <c r="U20" s="20" t="n"/>
      <c r="V20" s="20" t="n"/>
      <c r="W20" s="15">
        <f>IF(OR($A20="",$B20=""),"",SUM(Q20:V20))</f>
        <v/>
      </c>
      <c r="X20" s="15">
        <f>IF(OR($A20="",$B20=""),"",N(P20)-N(W20))</f>
        <v/>
      </c>
    </row>
    <row r="21">
      <c r="A21" s="43" t="n"/>
      <c r="B21" s="18" t="n"/>
      <c r="C21" s="25">
        <f>IFERROR(IF($B21="","",IF(INDEX(직원명부!$B$5:$B$24,MATCH($B21,직원명부!$A$5:$A$24,0))=0,"",INDEX(직원명부!$B$5:$B$24,MATCH($B21,직원명부!$A$5:$A$24,0)))),"사번 확인")</f>
        <v/>
      </c>
      <c r="D21" s="26">
        <f>IFERROR(IF($B21="","",IF(INDEX(근로자명부!$D$5:$D$24,MATCH($B21,근로자명부!$A$5:$A$24,0))=0,"",INDEX(근로자명부!$D$5:$D$24,MATCH($B21,근로자명부!$A$5:$A$24,0)))),"")</f>
        <v/>
      </c>
      <c r="E21" s="26">
        <f>IFERROR(IF($B21="","",IF(INDEX(직원명부!$C$5:$C$24,MATCH($B21,직원명부!$A$5:$A$24,0))=0,"",INDEX(직원명부!$C$5:$C$24,MATCH($B21,직원명부!$A$5:$A$24,0)))),"")</f>
        <v/>
      </c>
      <c r="F21" s="44">
        <f>IFERROR(IF($B21="","",IF(INDEX(근로자명부!$G$5:$G$24,MATCH($B21,근로자명부!$A$5:$A$24,0))=0,"",INDEX(근로자명부!$G$5:$G$24,MATCH($B21,근로자명부!$A$5:$A$24,0)))),"")</f>
        <v/>
      </c>
      <c r="G21" s="30">
        <f>IF(OR($A21="",$B21=""),"",COUNTIFS(근태기록!$C$5:$C$2004,$B21,근태기록!$A$5:$A$2004,"&gt;="&amp;$A21,근태기록!$A$5:$A$2004,"&lt;="&amp;EOMONTH($A21,0),근태기록!$H$5:$H$2004,"&gt;0"))</f>
        <v/>
      </c>
      <c r="H21" s="33">
        <f>IF(OR($A21="",$B21=""),"",SUMIFS(근태기록!$H$5:$H$2004,근태기록!$C$5:$C$2004,$B21,근태기록!$A$5:$A$2004,"&gt;="&amp;$A21,근태기록!$A$5:$A$2004,"&lt;="&amp;EOMONTH($A21,0)))</f>
        <v/>
      </c>
      <c r="I21" s="33">
        <f>IF(OR($A21="",$B21=""),"",SUMIFS(근태기록!$I$5:$I$2004,근태기록!$C$5:$C$2004,$B21,근태기록!$A$5:$A$2004,"&gt;="&amp;$A21,근태기록!$A$5:$A$2004,"&lt;="&amp;EOMONTH($A21,0)))</f>
        <v/>
      </c>
      <c r="J21" s="33">
        <f>IF(OR($A21="",$B21=""),"",SUMIFS(근태기록!$J$5:$J$2004,근태기록!$C$5:$C$2004,$B21,근태기록!$A$5:$A$2004,"&gt;="&amp;$A21,근태기록!$A$5:$A$2004,"&lt;="&amp;EOMONTH($A21,0)))</f>
        <v/>
      </c>
      <c r="K21" s="33">
        <f>IF(OR($A21="",$B21=""),"",SUMIFS(근태기록!$H$5:$H$2004,근태기록!$C$5:$C$2004,$B21,근태기록!$A$5:$A$2004,"&gt;="&amp;$A21,근태기록!$A$5:$A$2004,"&lt;="&amp;EOMONTH($A21,0),근태기록!$L$5:$L$2004,"휴일근로"))</f>
        <v/>
      </c>
      <c r="L21" s="20" t="n"/>
      <c r="M21" s="20" t="n"/>
      <c r="N21" s="20" t="n"/>
      <c r="O21" s="20" t="n"/>
      <c r="P21" s="15">
        <f>IF(OR($A21="",$B21=""),"",SUM(L21:O21))</f>
        <v/>
      </c>
      <c r="Q21" s="20" t="n"/>
      <c r="R21" s="20" t="n"/>
      <c r="S21" s="20" t="n"/>
      <c r="T21" s="20" t="n"/>
      <c r="U21" s="20" t="n"/>
      <c r="V21" s="20" t="n"/>
      <c r="W21" s="15">
        <f>IF(OR($A21="",$B21=""),"",SUM(Q21:V21))</f>
        <v/>
      </c>
      <c r="X21" s="15">
        <f>IF(OR($A21="",$B21=""),"",N(P21)-N(W21))</f>
        <v/>
      </c>
    </row>
    <row r="22">
      <c r="A22" s="43" t="n"/>
      <c r="B22" s="18" t="n"/>
      <c r="C22" s="25">
        <f>IFERROR(IF($B22="","",IF(INDEX(직원명부!$B$5:$B$24,MATCH($B22,직원명부!$A$5:$A$24,0))=0,"",INDEX(직원명부!$B$5:$B$24,MATCH($B22,직원명부!$A$5:$A$24,0)))),"사번 확인")</f>
        <v/>
      </c>
      <c r="D22" s="26">
        <f>IFERROR(IF($B22="","",IF(INDEX(근로자명부!$D$5:$D$24,MATCH($B22,근로자명부!$A$5:$A$24,0))=0,"",INDEX(근로자명부!$D$5:$D$24,MATCH($B22,근로자명부!$A$5:$A$24,0)))),"")</f>
        <v/>
      </c>
      <c r="E22" s="26">
        <f>IFERROR(IF($B22="","",IF(INDEX(직원명부!$C$5:$C$24,MATCH($B22,직원명부!$A$5:$A$24,0))=0,"",INDEX(직원명부!$C$5:$C$24,MATCH($B22,직원명부!$A$5:$A$24,0)))),"")</f>
        <v/>
      </c>
      <c r="F22" s="44">
        <f>IFERROR(IF($B22="","",IF(INDEX(근로자명부!$G$5:$G$24,MATCH($B22,근로자명부!$A$5:$A$24,0))=0,"",INDEX(근로자명부!$G$5:$G$24,MATCH($B22,근로자명부!$A$5:$A$24,0)))),"")</f>
        <v/>
      </c>
      <c r="G22" s="30">
        <f>IF(OR($A22="",$B22=""),"",COUNTIFS(근태기록!$C$5:$C$2004,$B22,근태기록!$A$5:$A$2004,"&gt;="&amp;$A22,근태기록!$A$5:$A$2004,"&lt;="&amp;EOMONTH($A22,0),근태기록!$H$5:$H$2004,"&gt;0"))</f>
        <v/>
      </c>
      <c r="H22" s="33">
        <f>IF(OR($A22="",$B22=""),"",SUMIFS(근태기록!$H$5:$H$2004,근태기록!$C$5:$C$2004,$B22,근태기록!$A$5:$A$2004,"&gt;="&amp;$A22,근태기록!$A$5:$A$2004,"&lt;="&amp;EOMONTH($A22,0)))</f>
        <v/>
      </c>
      <c r="I22" s="33">
        <f>IF(OR($A22="",$B22=""),"",SUMIFS(근태기록!$I$5:$I$2004,근태기록!$C$5:$C$2004,$B22,근태기록!$A$5:$A$2004,"&gt;="&amp;$A22,근태기록!$A$5:$A$2004,"&lt;="&amp;EOMONTH($A22,0)))</f>
        <v/>
      </c>
      <c r="J22" s="33">
        <f>IF(OR($A22="",$B22=""),"",SUMIFS(근태기록!$J$5:$J$2004,근태기록!$C$5:$C$2004,$B22,근태기록!$A$5:$A$2004,"&gt;="&amp;$A22,근태기록!$A$5:$A$2004,"&lt;="&amp;EOMONTH($A22,0)))</f>
        <v/>
      </c>
      <c r="K22" s="33">
        <f>IF(OR($A22="",$B22=""),"",SUMIFS(근태기록!$H$5:$H$2004,근태기록!$C$5:$C$2004,$B22,근태기록!$A$5:$A$2004,"&gt;="&amp;$A22,근태기록!$A$5:$A$2004,"&lt;="&amp;EOMONTH($A22,0),근태기록!$L$5:$L$2004,"휴일근로"))</f>
        <v/>
      </c>
      <c r="L22" s="20" t="n"/>
      <c r="M22" s="20" t="n"/>
      <c r="N22" s="20" t="n"/>
      <c r="O22" s="20" t="n"/>
      <c r="P22" s="15">
        <f>IF(OR($A22="",$B22=""),"",SUM(L22:O22))</f>
        <v/>
      </c>
      <c r="Q22" s="20" t="n"/>
      <c r="R22" s="20" t="n"/>
      <c r="S22" s="20" t="n"/>
      <c r="T22" s="20" t="n"/>
      <c r="U22" s="20" t="n"/>
      <c r="V22" s="20" t="n"/>
      <c r="W22" s="15">
        <f>IF(OR($A22="",$B22=""),"",SUM(Q22:V22))</f>
        <v/>
      </c>
      <c r="X22" s="15">
        <f>IF(OR($A22="",$B22=""),"",N(P22)-N(W22))</f>
        <v/>
      </c>
    </row>
    <row r="23">
      <c r="A23" s="43" t="n"/>
      <c r="B23" s="18" t="n"/>
      <c r="C23" s="25">
        <f>IFERROR(IF($B23="","",IF(INDEX(직원명부!$B$5:$B$24,MATCH($B23,직원명부!$A$5:$A$24,0))=0,"",INDEX(직원명부!$B$5:$B$24,MATCH($B23,직원명부!$A$5:$A$24,0)))),"사번 확인")</f>
        <v/>
      </c>
      <c r="D23" s="26">
        <f>IFERROR(IF($B23="","",IF(INDEX(근로자명부!$D$5:$D$24,MATCH($B23,근로자명부!$A$5:$A$24,0))=0,"",INDEX(근로자명부!$D$5:$D$24,MATCH($B23,근로자명부!$A$5:$A$24,0)))),"")</f>
        <v/>
      </c>
      <c r="E23" s="26">
        <f>IFERROR(IF($B23="","",IF(INDEX(직원명부!$C$5:$C$24,MATCH($B23,직원명부!$A$5:$A$24,0))=0,"",INDEX(직원명부!$C$5:$C$24,MATCH($B23,직원명부!$A$5:$A$24,0)))),"")</f>
        <v/>
      </c>
      <c r="F23" s="44">
        <f>IFERROR(IF($B23="","",IF(INDEX(근로자명부!$G$5:$G$24,MATCH($B23,근로자명부!$A$5:$A$24,0))=0,"",INDEX(근로자명부!$G$5:$G$24,MATCH($B23,근로자명부!$A$5:$A$24,0)))),"")</f>
        <v/>
      </c>
      <c r="G23" s="30">
        <f>IF(OR($A23="",$B23=""),"",COUNTIFS(근태기록!$C$5:$C$2004,$B23,근태기록!$A$5:$A$2004,"&gt;="&amp;$A23,근태기록!$A$5:$A$2004,"&lt;="&amp;EOMONTH($A23,0),근태기록!$H$5:$H$2004,"&gt;0"))</f>
        <v/>
      </c>
      <c r="H23" s="33">
        <f>IF(OR($A23="",$B23=""),"",SUMIFS(근태기록!$H$5:$H$2004,근태기록!$C$5:$C$2004,$B23,근태기록!$A$5:$A$2004,"&gt;="&amp;$A23,근태기록!$A$5:$A$2004,"&lt;="&amp;EOMONTH($A23,0)))</f>
        <v/>
      </c>
      <c r="I23" s="33">
        <f>IF(OR($A23="",$B23=""),"",SUMIFS(근태기록!$I$5:$I$2004,근태기록!$C$5:$C$2004,$B23,근태기록!$A$5:$A$2004,"&gt;="&amp;$A23,근태기록!$A$5:$A$2004,"&lt;="&amp;EOMONTH($A23,0)))</f>
        <v/>
      </c>
      <c r="J23" s="33">
        <f>IF(OR($A23="",$B23=""),"",SUMIFS(근태기록!$J$5:$J$2004,근태기록!$C$5:$C$2004,$B23,근태기록!$A$5:$A$2004,"&gt;="&amp;$A23,근태기록!$A$5:$A$2004,"&lt;="&amp;EOMONTH($A23,0)))</f>
        <v/>
      </c>
      <c r="K23" s="33">
        <f>IF(OR($A23="",$B23=""),"",SUMIFS(근태기록!$H$5:$H$2004,근태기록!$C$5:$C$2004,$B23,근태기록!$A$5:$A$2004,"&gt;="&amp;$A23,근태기록!$A$5:$A$2004,"&lt;="&amp;EOMONTH($A23,0),근태기록!$L$5:$L$2004,"휴일근로"))</f>
        <v/>
      </c>
      <c r="L23" s="20" t="n"/>
      <c r="M23" s="20" t="n"/>
      <c r="N23" s="20" t="n"/>
      <c r="O23" s="20" t="n"/>
      <c r="P23" s="15">
        <f>IF(OR($A23="",$B23=""),"",SUM(L23:O23))</f>
        <v/>
      </c>
      <c r="Q23" s="20" t="n"/>
      <c r="R23" s="20" t="n"/>
      <c r="S23" s="20" t="n"/>
      <c r="T23" s="20" t="n"/>
      <c r="U23" s="20" t="n"/>
      <c r="V23" s="20" t="n"/>
      <c r="W23" s="15">
        <f>IF(OR($A23="",$B23=""),"",SUM(Q23:V23))</f>
        <v/>
      </c>
      <c r="X23" s="15">
        <f>IF(OR($A23="",$B23=""),"",N(P23)-N(W23))</f>
        <v/>
      </c>
    </row>
    <row r="24">
      <c r="A24" s="43" t="n"/>
      <c r="B24" s="18" t="n"/>
      <c r="C24" s="25">
        <f>IFERROR(IF($B24="","",IF(INDEX(직원명부!$B$5:$B$24,MATCH($B24,직원명부!$A$5:$A$24,0))=0,"",INDEX(직원명부!$B$5:$B$24,MATCH($B24,직원명부!$A$5:$A$24,0)))),"사번 확인")</f>
        <v/>
      </c>
      <c r="D24" s="26">
        <f>IFERROR(IF($B24="","",IF(INDEX(근로자명부!$D$5:$D$24,MATCH($B24,근로자명부!$A$5:$A$24,0))=0,"",INDEX(근로자명부!$D$5:$D$24,MATCH($B24,근로자명부!$A$5:$A$24,0)))),"")</f>
        <v/>
      </c>
      <c r="E24" s="26">
        <f>IFERROR(IF($B24="","",IF(INDEX(직원명부!$C$5:$C$24,MATCH($B24,직원명부!$A$5:$A$24,0))=0,"",INDEX(직원명부!$C$5:$C$24,MATCH($B24,직원명부!$A$5:$A$24,0)))),"")</f>
        <v/>
      </c>
      <c r="F24" s="44">
        <f>IFERROR(IF($B24="","",IF(INDEX(근로자명부!$G$5:$G$24,MATCH($B24,근로자명부!$A$5:$A$24,0))=0,"",INDEX(근로자명부!$G$5:$G$24,MATCH($B24,근로자명부!$A$5:$A$24,0)))),"")</f>
        <v/>
      </c>
      <c r="G24" s="30">
        <f>IF(OR($A24="",$B24=""),"",COUNTIFS(근태기록!$C$5:$C$2004,$B24,근태기록!$A$5:$A$2004,"&gt;="&amp;$A24,근태기록!$A$5:$A$2004,"&lt;="&amp;EOMONTH($A24,0),근태기록!$H$5:$H$2004,"&gt;0"))</f>
        <v/>
      </c>
      <c r="H24" s="33">
        <f>IF(OR($A24="",$B24=""),"",SUMIFS(근태기록!$H$5:$H$2004,근태기록!$C$5:$C$2004,$B24,근태기록!$A$5:$A$2004,"&gt;="&amp;$A24,근태기록!$A$5:$A$2004,"&lt;="&amp;EOMONTH($A24,0)))</f>
        <v/>
      </c>
      <c r="I24" s="33">
        <f>IF(OR($A24="",$B24=""),"",SUMIFS(근태기록!$I$5:$I$2004,근태기록!$C$5:$C$2004,$B24,근태기록!$A$5:$A$2004,"&gt;="&amp;$A24,근태기록!$A$5:$A$2004,"&lt;="&amp;EOMONTH($A24,0)))</f>
        <v/>
      </c>
      <c r="J24" s="33">
        <f>IF(OR($A24="",$B24=""),"",SUMIFS(근태기록!$J$5:$J$2004,근태기록!$C$5:$C$2004,$B24,근태기록!$A$5:$A$2004,"&gt;="&amp;$A24,근태기록!$A$5:$A$2004,"&lt;="&amp;EOMONTH($A24,0)))</f>
        <v/>
      </c>
      <c r="K24" s="33">
        <f>IF(OR($A24="",$B24=""),"",SUMIFS(근태기록!$H$5:$H$2004,근태기록!$C$5:$C$2004,$B24,근태기록!$A$5:$A$2004,"&gt;="&amp;$A24,근태기록!$A$5:$A$2004,"&lt;="&amp;EOMONTH($A24,0),근태기록!$L$5:$L$2004,"휴일근로"))</f>
        <v/>
      </c>
      <c r="L24" s="20" t="n"/>
      <c r="M24" s="20" t="n"/>
      <c r="N24" s="20" t="n"/>
      <c r="O24" s="20" t="n"/>
      <c r="P24" s="15">
        <f>IF(OR($A24="",$B24=""),"",SUM(L24:O24))</f>
        <v/>
      </c>
      <c r="Q24" s="20" t="n"/>
      <c r="R24" s="20" t="n"/>
      <c r="S24" s="20" t="n"/>
      <c r="T24" s="20" t="n"/>
      <c r="U24" s="20" t="n"/>
      <c r="V24" s="20" t="n"/>
      <c r="W24" s="15">
        <f>IF(OR($A24="",$B24=""),"",SUM(Q24:V24))</f>
        <v/>
      </c>
      <c r="X24" s="15">
        <f>IF(OR($A24="",$B24=""),"",N(P24)-N(W24))</f>
        <v/>
      </c>
    </row>
    <row r="25">
      <c r="A25" s="43" t="n"/>
      <c r="B25" s="18" t="n"/>
      <c r="C25" s="25">
        <f>IFERROR(IF($B25="","",IF(INDEX(직원명부!$B$5:$B$24,MATCH($B25,직원명부!$A$5:$A$24,0))=0,"",INDEX(직원명부!$B$5:$B$24,MATCH($B25,직원명부!$A$5:$A$24,0)))),"사번 확인")</f>
        <v/>
      </c>
      <c r="D25" s="26">
        <f>IFERROR(IF($B25="","",IF(INDEX(근로자명부!$D$5:$D$24,MATCH($B25,근로자명부!$A$5:$A$24,0))=0,"",INDEX(근로자명부!$D$5:$D$24,MATCH($B25,근로자명부!$A$5:$A$24,0)))),"")</f>
        <v/>
      </c>
      <c r="E25" s="26">
        <f>IFERROR(IF($B25="","",IF(INDEX(직원명부!$C$5:$C$24,MATCH($B25,직원명부!$A$5:$A$24,0))=0,"",INDEX(직원명부!$C$5:$C$24,MATCH($B25,직원명부!$A$5:$A$24,0)))),"")</f>
        <v/>
      </c>
      <c r="F25" s="44">
        <f>IFERROR(IF($B25="","",IF(INDEX(근로자명부!$G$5:$G$24,MATCH($B25,근로자명부!$A$5:$A$24,0))=0,"",INDEX(근로자명부!$G$5:$G$24,MATCH($B25,근로자명부!$A$5:$A$24,0)))),"")</f>
        <v/>
      </c>
      <c r="G25" s="30">
        <f>IF(OR($A25="",$B25=""),"",COUNTIFS(근태기록!$C$5:$C$2004,$B25,근태기록!$A$5:$A$2004,"&gt;="&amp;$A25,근태기록!$A$5:$A$2004,"&lt;="&amp;EOMONTH($A25,0),근태기록!$H$5:$H$2004,"&gt;0"))</f>
        <v/>
      </c>
      <c r="H25" s="33">
        <f>IF(OR($A25="",$B25=""),"",SUMIFS(근태기록!$H$5:$H$2004,근태기록!$C$5:$C$2004,$B25,근태기록!$A$5:$A$2004,"&gt;="&amp;$A25,근태기록!$A$5:$A$2004,"&lt;="&amp;EOMONTH($A25,0)))</f>
        <v/>
      </c>
      <c r="I25" s="33">
        <f>IF(OR($A25="",$B25=""),"",SUMIFS(근태기록!$I$5:$I$2004,근태기록!$C$5:$C$2004,$B25,근태기록!$A$5:$A$2004,"&gt;="&amp;$A25,근태기록!$A$5:$A$2004,"&lt;="&amp;EOMONTH($A25,0)))</f>
        <v/>
      </c>
      <c r="J25" s="33">
        <f>IF(OR($A25="",$B25=""),"",SUMIFS(근태기록!$J$5:$J$2004,근태기록!$C$5:$C$2004,$B25,근태기록!$A$5:$A$2004,"&gt;="&amp;$A25,근태기록!$A$5:$A$2004,"&lt;="&amp;EOMONTH($A25,0)))</f>
        <v/>
      </c>
      <c r="K25" s="33">
        <f>IF(OR($A25="",$B25=""),"",SUMIFS(근태기록!$H$5:$H$2004,근태기록!$C$5:$C$2004,$B25,근태기록!$A$5:$A$2004,"&gt;="&amp;$A25,근태기록!$A$5:$A$2004,"&lt;="&amp;EOMONTH($A25,0),근태기록!$L$5:$L$2004,"휴일근로"))</f>
        <v/>
      </c>
      <c r="L25" s="20" t="n"/>
      <c r="M25" s="20" t="n"/>
      <c r="N25" s="20" t="n"/>
      <c r="O25" s="20" t="n"/>
      <c r="P25" s="15">
        <f>IF(OR($A25="",$B25=""),"",SUM(L25:O25))</f>
        <v/>
      </c>
      <c r="Q25" s="20" t="n"/>
      <c r="R25" s="20" t="n"/>
      <c r="S25" s="20" t="n"/>
      <c r="T25" s="20" t="n"/>
      <c r="U25" s="20" t="n"/>
      <c r="V25" s="20" t="n"/>
      <c r="W25" s="15">
        <f>IF(OR($A25="",$B25=""),"",SUM(Q25:V25))</f>
        <v/>
      </c>
      <c r="X25" s="15">
        <f>IF(OR($A25="",$B25=""),"",N(P25)-N(W25))</f>
        <v/>
      </c>
    </row>
    <row r="26">
      <c r="A26" s="43" t="n"/>
      <c r="B26" s="18" t="n"/>
      <c r="C26" s="25">
        <f>IFERROR(IF($B26="","",IF(INDEX(직원명부!$B$5:$B$24,MATCH($B26,직원명부!$A$5:$A$24,0))=0,"",INDEX(직원명부!$B$5:$B$24,MATCH($B26,직원명부!$A$5:$A$24,0)))),"사번 확인")</f>
        <v/>
      </c>
      <c r="D26" s="26">
        <f>IFERROR(IF($B26="","",IF(INDEX(근로자명부!$D$5:$D$24,MATCH($B26,근로자명부!$A$5:$A$24,0))=0,"",INDEX(근로자명부!$D$5:$D$24,MATCH($B26,근로자명부!$A$5:$A$24,0)))),"")</f>
        <v/>
      </c>
      <c r="E26" s="26">
        <f>IFERROR(IF($B26="","",IF(INDEX(직원명부!$C$5:$C$24,MATCH($B26,직원명부!$A$5:$A$24,0))=0,"",INDEX(직원명부!$C$5:$C$24,MATCH($B26,직원명부!$A$5:$A$24,0)))),"")</f>
        <v/>
      </c>
      <c r="F26" s="44">
        <f>IFERROR(IF($B26="","",IF(INDEX(근로자명부!$G$5:$G$24,MATCH($B26,근로자명부!$A$5:$A$24,0))=0,"",INDEX(근로자명부!$G$5:$G$24,MATCH($B26,근로자명부!$A$5:$A$24,0)))),"")</f>
        <v/>
      </c>
      <c r="G26" s="30">
        <f>IF(OR($A26="",$B26=""),"",COUNTIFS(근태기록!$C$5:$C$2004,$B26,근태기록!$A$5:$A$2004,"&gt;="&amp;$A26,근태기록!$A$5:$A$2004,"&lt;="&amp;EOMONTH($A26,0),근태기록!$H$5:$H$2004,"&gt;0"))</f>
        <v/>
      </c>
      <c r="H26" s="33">
        <f>IF(OR($A26="",$B26=""),"",SUMIFS(근태기록!$H$5:$H$2004,근태기록!$C$5:$C$2004,$B26,근태기록!$A$5:$A$2004,"&gt;="&amp;$A26,근태기록!$A$5:$A$2004,"&lt;="&amp;EOMONTH($A26,0)))</f>
        <v/>
      </c>
      <c r="I26" s="33">
        <f>IF(OR($A26="",$B26=""),"",SUMIFS(근태기록!$I$5:$I$2004,근태기록!$C$5:$C$2004,$B26,근태기록!$A$5:$A$2004,"&gt;="&amp;$A26,근태기록!$A$5:$A$2004,"&lt;="&amp;EOMONTH($A26,0)))</f>
        <v/>
      </c>
      <c r="J26" s="33">
        <f>IF(OR($A26="",$B26=""),"",SUMIFS(근태기록!$J$5:$J$2004,근태기록!$C$5:$C$2004,$B26,근태기록!$A$5:$A$2004,"&gt;="&amp;$A26,근태기록!$A$5:$A$2004,"&lt;="&amp;EOMONTH($A26,0)))</f>
        <v/>
      </c>
      <c r="K26" s="33">
        <f>IF(OR($A26="",$B26=""),"",SUMIFS(근태기록!$H$5:$H$2004,근태기록!$C$5:$C$2004,$B26,근태기록!$A$5:$A$2004,"&gt;="&amp;$A26,근태기록!$A$5:$A$2004,"&lt;="&amp;EOMONTH($A26,0),근태기록!$L$5:$L$2004,"휴일근로"))</f>
        <v/>
      </c>
      <c r="L26" s="20" t="n"/>
      <c r="M26" s="20" t="n"/>
      <c r="N26" s="20" t="n"/>
      <c r="O26" s="20" t="n"/>
      <c r="P26" s="15">
        <f>IF(OR($A26="",$B26=""),"",SUM(L26:O26))</f>
        <v/>
      </c>
      <c r="Q26" s="20" t="n"/>
      <c r="R26" s="20" t="n"/>
      <c r="S26" s="20" t="n"/>
      <c r="T26" s="20" t="n"/>
      <c r="U26" s="20" t="n"/>
      <c r="V26" s="20" t="n"/>
      <c r="W26" s="15">
        <f>IF(OR($A26="",$B26=""),"",SUM(Q26:V26))</f>
        <v/>
      </c>
      <c r="X26" s="15">
        <f>IF(OR($A26="",$B26=""),"",N(P26)-N(W26))</f>
        <v/>
      </c>
    </row>
    <row r="27">
      <c r="A27" s="43" t="n"/>
      <c r="B27" s="18" t="n"/>
      <c r="C27" s="25">
        <f>IFERROR(IF($B27="","",IF(INDEX(직원명부!$B$5:$B$24,MATCH($B27,직원명부!$A$5:$A$24,0))=0,"",INDEX(직원명부!$B$5:$B$24,MATCH($B27,직원명부!$A$5:$A$24,0)))),"사번 확인")</f>
        <v/>
      </c>
      <c r="D27" s="26">
        <f>IFERROR(IF($B27="","",IF(INDEX(근로자명부!$D$5:$D$24,MATCH($B27,근로자명부!$A$5:$A$24,0))=0,"",INDEX(근로자명부!$D$5:$D$24,MATCH($B27,근로자명부!$A$5:$A$24,0)))),"")</f>
        <v/>
      </c>
      <c r="E27" s="26">
        <f>IFERROR(IF($B27="","",IF(INDEX(직원명부!$C$5:$C$24,MATCH($B27,직원명부!$A$5:$A$24,0))=0,"",INDEX(직원명부!$C$5:$C$24,MATCH($B27,직원명부!$A$5:$A$24,0)))),"")</f>
        <v/>
      </c>
      <c r="F27" s="44">
        <f>IFERROR(IF($B27="","",IF(INDEX(근로자명부!$G$5:$G$24,MATCH($B27,근로자명부!$A$5:$A$24,0))=0,"",INDEX(근로자명부!$G$5:$G$24,MATCH($B27,근로자명부!$A$5:$A$24,0)))),"")</f>
        <v/>
      </c>
      <c r="G27" s="30">
        <f>IF(OR($A27="",$B27=""),"",COUNTIFS(근태기록!$C$5:$C$2004,$B27,근태기록!$A$5:$A$2004,"&gt;="&amp;$A27,근태기록!$A$5:$A$2004,"&lt;="&amp;EOMONTH($A27,0),근태기록!$H$5:$H$2004,"&gt;0"))</f>
        <v/>
      </c>
      <c r="H27" s="33">
        <f>IF(OR($A27="",$B27=""),"",SUMIFS(근태기록!$H$5:$H$2004,근태기록!$C$5:$C$2004,$B27,근태기록!$A$5:$A$2004,"&gt;="&amp;$A27,근태기록!$A$5:$A$2004,"&lt;="&amp;EOMONTH($A27,0)))</f>
        <v/>
      </c>
      <c r="I27" s="33">
        <f>IF(OR($A27="",$B27=""),"",SUMIFS(근태기록!$I$5:$I$2004,근태기록!$C$5:$C$2004,$B27,근태기록!$A$5:$A$2004,"&gt;="&amp;$A27,근태기록!$A$5:$A$2004,"&lt;="&amp;EOMONTH($A27,0)))</f>
        <v/>
      </c>
      <c r="J27" s="33">
        <f>IF(OR($A27="",$B27=""),"",SUMIFS(근태기록!$J$5:$J$2004,근태기록!$C$5:$C$2004,$B27,근태기록!$A$5:$A$2004,"&gt;="&amp;$A27,근태기록!$A$5:$A$2004,"&lt;="&amp;EOMONTH($A27,0)))</f>
        <v/>
      </c>
      <c r="K27" s="33">
        <f>IF(OR($A27="",$B27=""),"",SUMIFS(근태기록!$H$5:$H$2004,근태기록!$C$5:$C$2004,$B27,근태기록!$A$5:$A$2004,"&gt;="&amp;$A27,근태기록!$A$5:$A$2004,"&lt;="&amp;EOMONTH($A27,0),근태기록!$L$5:$L$2004,"휴일근로"))</f>
        <v/>
      </c>
      <c r="L27" s="20" t="n"/>
      <c r="M27" s="20" t="n"/>
      <c r="N27" s="20" t="n"/>
      <c r="O27" s="20" t="n"/>
      <c r="P27" s="15">
        <f>IF(OR($A27="",$B27=""),"",SUM(L27:O27))</f>
        <v/>
      </c>
      <c r="Q27" s="20" t="n"/>
      <c r="R27" s="20" t="n"/>
      <c r="S27" s="20" t="n"/>
      <c r="T27" s="20" t="n"/>
      <c r="U27" s="20" t="n"/>
      <c r="V27" s="20" t="n"/>
      <c r="W27" s="15">
        <f>IF(OR($A27="",$B27=""),"",SUM(Q27:V27))</f>
        <v/>
      </c>
      <c r="X27" s="15">
        <f>IF(OR($A27="",$B27=""),"",N(P27)-N(W27))</f>
        <v/>
      </c>
    </row>
    <row r="28">
      <c r="A28" s="43" t="n"/>
      <c r="B28" s="18" t="n"/>
      <c r="C28" s="25">
        <f>IFERROR(IF($B28="","",IF(INDEX(직원명부!$B$5:$B$24,MATCH($B28,직원명부!$A$5:$A$24,0))=0,"",INDEX(직원명부!$B$5:$B$24,MATCH($B28,직원명부!$A$5:$A$24,0)))),"사번 확인")</f>
        <v/>
      </c>
      <c r="D28" s="26">
        <f>IFERROR(IF($B28="","",IF(INDEX(근로자명부!$D$5:$D$24,MATCH($B28,근로자명부!$A$5:$A$24,0))=0,"",INDEX(근로자명부!$D$5:$D$24,MATCH($B28,근로자명부!$A$5:$A$24,0)))),"")</f>
        <v/>
      </c>
      <c r="E28" s="26">
        <f>IFERROR(IF($B28="","",IF(INDEX(직원명부!$C$5:$C$24,MATCH($B28,직원명부!$A$5:$A$24,0))=0,"",INDEX(직원명부!$C$5:$C$24,MATCH($B28,직원명부!$A$5:$A$24,0)))),"")</f>
        <v/>
      </c>
      <c r="F28" s="44">
        <f>IFERROR(IF($B28="","",IF(INDEX(근로자명부!$G$5:$G$24,MATCH($B28,근로자명부!$A$5:$A$24,0))=0,"",INDEX(근로자명부!$G$5:$G$24,MATCH($B28,근로자명부!$A$5:$A$24,0)))),"")</f>
        <v/>
      </c>
      <c r="G28" s="30">
        <f>IF(OR($A28="",$B28=""),"",COUNTIFS(근태기록!$C$5:$C$2004,$B28,근태기록!$A$5:$A$2004,"&gt;="&amp;$A28,근태기록!$A$5:$A$2004,"&lt;="&amp;EOMONTH($A28,0),근태기록!$H$5:$H$2004,"&gt;0"))</f>
        <v/>
      </c>
      <c r="H28" s="33">
        <f>IF(OR($A28="",$B28=""),"",SUMIFS(근태기록!$H$5:$H$2004,근태기록!$C$5:$C$2004,$B28,근태기록!$A$5:$A$2004,"&gt;="&amp;$A28,근태기록!$A$5:$A$2004,"&lt;="&amp;EOMONTH($A28,0)))</f>
        <v/>
      </c>
      <c r="I28" s="33">
        <f>IF(OR($A28="",$B28=""),"",SUMIFS(근태기록!$I$5:$I$2004,근태기록!$C$5:$C$2004,$B28,근태기록!$A$5:$A$2004,"&gt;="&amp;$A28,근태기록!$A$5:$A$2004,"&lt;="&amp;EOMONTH($A28,0)))</f>
        <v/>
      </c>
      <c r="J28" s="33">
        <f>IF(OR($A28="",$B28=""),"",SUMIFS(근태기록!$J$5:$J$2004,근태기록!$C$5:$C$2004,$B28,근태기록!$A$5:$A$2004,"&gt;="&amp;$A28,근태기록!$A$5:$A$2004,"&lt;="&amp;EOMONTH($A28,0)))</f>
        <v/>
      </c>
      <c r="K28" s="33">
        <f>IF(OR($A28="",$B28=""),"",SUMIFS(근태기록!$H$5:$H$2004,근태기록!$C$5:$C$2004,$B28,근태기록!$A$5:$A$2004,"&gt;="&amp;$A28,근태기록!$A$5:$A$2004,"&lt;="&amp;EOMONTH($A28,0),근태기록!$L$5:$L$2004,"휴일근로"))</f>
        <v/>
      </c>
      <c r="L28" s="20" t="n"/>
      <c r="M28" s="20" t="n"/>
      <c r="N28" s="20" t="n"/>
      <c r="O28" s="20" t="n"/>
      <c r="P28" s="15">
        <f>IF(OR($A28="",$B28=""),"",SUM(L28:O28))</f>
        <v/>
      </c>
      <c r="Q28" s="20" t="n"/>
      <c r="R28" s="20" t="n"/>
      <c r="S28" s="20" t="n"/>
      <c r="T28" s="20" t="n"/>
      <c r="U28" s="20" t="n"/>
      <c r="V28" s="20" t="n"/>
      <c r="W28" s="15">
        <f>IF(OR($A28="",$B28=""),"",SUM(Q28:V28))</f>
        <v/>
      </c>
      <c r="X28" s="15">
        <f>IF(OR($A28="",$B28=""),"",N(P28)-N(W28))</f>
        <v/>
      </c>
    </row>
    <row r="29">
      <c r="A29" s="43" t="n"/>
      <c r="B29" s="18" t="n"/>
      <c r="C29" s="25">
        <f>IFERROR(IF($B29="","",IF(INDEX(직원명부!$B$5:$B$24,MATCH($B29,직원명부!$A$5:$A$24,0))=0,"",INDEX(직원명부!$B$5:$B$24,MATCH($B29,직원명부!$A$5:$A$24,0)))),"사번 확인")</f>
        <v/>
      </c>
      <c r="D29" s="26">
        <f>IFERROR(IF($B29="","",IF(INDEX(근로자명부!$D$5:$D$24,MATCH($B29,근로자명부!$A$5:$A$24,0))=0,"",INDEX(근로자명부!$D$5:$D$24,MATCH($B29,근로자명부!$A$5:$A$24,0)))),"")</f>
        <v/>
      </c>
      <c r="E29" s="26">
        <f>IFERROR(IF($B29="","",IF(INDEX(직원명부!$C$5:$C$24,MATCH($B29,직원명부!$A$5:$A$24,0))=0,"",INDEX(직원명부!$C$5:$C$24,MATCH($B29,직원명부!$A$5:$A$24,0)))),"")</f>
        <v/>
      </c>
      <c r="F29" s="44">
        <f>IFERROR(IF($B29="","",IF(INDEX(근로자명부!$G$5:$G$24,MATCH($B29,근로자명부!$A$5:$A$24,0))=0,"",INDEX(근로자명부!$G$5:$G$24,MATCH($B29,근로자명부!$A$5:$A$24,0)))),"")</f>
        <v/>
      </c>
      <c r="G29" s="30">
        <f>IF(OR($A29="",$B29=""),"",COUNTIFS(근태기록!$C$5:$C$2004,$B29,근태기록!$A$5:$A$2004,"&gt;="&amp;$A29,근태기록!$A$5:$A$2004,"&lt;="&amp;EOMONTH($A29,0),근태기록!$H$5:$H$2004,"&gt;0"))</f>
        <v/>
      </c>
      <c r="H29" s="33">
        <f>IF(OR($A29="",$B29=""),"",SUMIFS(근태기록!$H$5:$H$2004,근태기록!$C$5:$C$2004,$B29,근태기록!$A$5:$A$2004,"&gt;="&amp;$A29,근태기록!$A$5:$A$2004,"&lt;="&amp;EOMONTH($A29,0)))</f>
        <v/>
      </c>
      <c r="I29" s="33">
        <f>IF(OR($A29="",$B29=""),"",SUMIFS(근태기록!$I$5:$I$2004,근태기록!$C$5:$C$2004,$B29,근태기록!$A$5:$A$2004,"&gt;="&amp;$A29,근태기록!$A$5:$A$2004,"&lt;="&amp;EOMONTH($A29,0)))</f>
        <v/>
      </c>
      <c r="J29" s="33">
        <f>IF(OR($A29="",$B29=""),"",SUMIFS(근태기록!$J$5:$J$2004,근태기록!$C$5:$C$2004,$B29,근태기록!$A$5:$A$2004,"&gt;="&amp;$A29,근태기록!$A$5:$A$2004,"&lt;="&amp;EOMONTH($A29,0)))</f>
        <v/>
      </c>
      <c r="K29" s="33">
        <f>IF(OR($A29="",$B29=""),"",SUMIFS(근태기록!$H$5:$H$2004,근태기록!$C$5:$C$2004,$B29,근태기록!$A$5:$A$2004,"&gt;="&amp;$A29,근태기록!$A$5:$A$2004,"&lt;="&amp;EOMONTH($A29,0),근태기록!$L$5:$L$2004,"휴일근로"))</f>
        <v/>
      </c>
      <c r="L29" s="20" t="n"/>
      <c r="M29" s="20" t="n"/>
      <c r="N29" s="20" t="n"/>
      <c r="O29" s="20" t="n"/>
      <c r="P29" s="15">
        <f>IF(OR($A29="",$B29=""),"",SUM(L29:O29))</f>
        <v/>
      </c>
      <c r="Q29" s="20" t="n"/>
      <c r="R29" s="20" t="n"/>
      <c r="S29" s="20" t="n"/>
      <c r="T29" s="20" t="n"/>
      <c r="U29" s="20" t="n"/>
      <c r="V29" s="20" t="n"/>
      <c r="W29" s="15">
        <f>IF(OR($A29="",$B29=""),"",SUM(Q29:V29))</f>
        <v/>
      </c>
      <c r="X29" s="15">
        <f>IF(OR($A29="",$B29=""),"",N(P29)-N(W29))</f>
        <v/>
      </c>
    </row>
    <row r="30">
      <c r="A30" s="43" t="n"/>
      <c r="B30" s="18" t="n"/>
      <c r="C30" s="25">
        <f>IFERROR(IF($B30="","",IF(INDEX(직원명부!$B$5:$B$24,MATCH($B30,직원명부!$A$5:$A$24,0))=0,"",INDEX(직원명부!$B$5:$B$24,MATCH($B30,직원명부!$A$5:$A$24,0)))),"사번 확인")</f>
        <v/>
      </c>
      <c r="D30" s="26">
        <f>IFERROR(IF($B30="","",IF(INDEX(근로자명부!$D$5:$D$24,MATCH($B30,근로자명부!$A$5:$A$24,0))=0,"",INDEX(근로자명부!$D$5:$D$24,MATCH($B30,근로자명부!$A$5:$A$24,0)))),"")</f>
        <v/>
      </c>
      <c r="E30" s="26">
        <f>IFERROR(IF($B30="","",IF(INDEX(직원명부!$C$5:$C$24,MATCH($B30,직원명부!$A$5:$A$24,0))=0,"",INDEX(직원명부!$C$5:$C$24,MATCH($B30,직원명부!$A$5:$A$24,0)))),"")</f>
        <v/>
      </c>
      <c r="F30" s="44">
        <f>IFERROR(IF($B30="","",IF(INDEX(근로자명부!$G$5:$G$24,MATCH($B30,근로자명부!$A$5:$A$24,0))=0,"",INDEX(근로자명부!$G$5:$G$24,MATCH($B30,근로자명부!$A$5:$A$24,0)))),"")</f>
        <v/>
      </c>
      <c r="G30" s="30">
        <f>IF(OR($A30="",$B30=""),"",COUNTIFS(근태기록!$C$5:$C$2004,$B30,근태기록!$A$5:$A$2004,"&gt;="&amp;$A30,근태기록!$A$5:$A$2004,"&lt;="&amp;EOMONTH($A30,0),근태기록!$H$5:$H$2004,"&gt;0"))</f>
        <v/>
      </c>
      <c r="H30" s="33">
        <f>IF(OR($A30="",$B30=""),"",SUMIFS(근태기록!$H$5:$H$2004,근태기록!$C$5:$C$2004,$B30,근태기록!$A$5:$A$2004,"&gt;="&amp;$A30,근태기록!$A$5:$A$2004,"&lt;="&amp;EOMONTH($A30,0)))</f>
        <v/>
      </c>
      <c r="I30" s="33">
        <f>IF(OR($A30="",$B30=""),"",SUMIFS(근태기록!$I$5:$I$2004,근태기록!$C$5:$C$2004,$B30,근태기록!$A$5:$A$2004,"&gt;="&amp;$A30,근태기록!$A$5:$A$2004,"&lt;="&amp;EOMONTH($A30,0)))</f>
        <v/>
      </c>
      <c r="J30" s="33">
        <f>IF(OR($A30="",$B30=""),"",SUMIFS(근태기록!$J$5:$J$2004,근태기록!$C$5:$C$2004,$B30,근태기록!$A$5:$A$2004,"&gt;="&amp;$A30,근태기록!$A$5:$A$2004,"&lt;="&amp;EOMONTH($A30,0)))</f>
        <v/>
      </c>
      <c r="K30" s="33">
        <f>IF(OR($A30="",$B30=""),"",SUMIFS(근태기록!$H$5:$H$2004,근태기록!$C$5:$C$2004,$B30,근태기록!$A$5:$A$2004,"&gt;="&amp;$A30,근태기록!$A$5:$A$2004,"&lt;="&amp;EOMONTH($A30,0),근태기록!$L$5:$L$2004,"휴일근로"))</f>
        <v/>
      </c>
      <c r="L30" s="20" t="n"/>
      <c r="M30" s="20" t="n"/>
      <c r="N30" s="20" t="n"/>
      <c r="O30" s="20" t="n"/>
      <c r="P30" s="15">
        <f>IF(OR($A30="",$B30=""),"",SUM(L30:O30))</f>
        <v/>
      </c>
      <c r="Q30" s="20" t="n"/>
      <c r="R30" s="20" t="n"/>
      <c r="S30" s="20" t="n"/>
      <c r="T30" s="20" t="n"/>
      <c r="U30" s="20" t="n"/>
      <c r="V30" s="20" t="n"/>
      <c r="W30" s="15">
        <f>IF(OR($A30="",$B30=""),"",SUM(Q30:V30))</f>
        <v/>
      </c>
      <c r="X30" s="15">
        <f>IF(OR($A30="",$B30=""),"",N(P30)-N(W30))</f>
        <v/>
      </c>
    </row>
    <row r="31">
      <c r="A31" s="43" t="n"/>
      <c r="B31" s="18" t="n"/>
      <c r="C31" s="25">
        <f>IFERROR(IF($B31="","",IF(INDEX(직원명부!$B$5:$B$24,MATCH($B31,직원명부!$A$5:$A$24,0))=0,"",INDEX(직원명부!$B$5:$B$24,MATCH($B31,직원명부!$A$5:$A$24,0)))),"사번 확인")</f>
        <v/>
      </c>
      <c r="D31" s="26">
        <f>IFERROR(IF($B31="","",IF(INDEX(근로자명부!$D$5:$D$24,MATCH($B31,근로자명부!$A$5:$A$24,0))=0,"",INDEX(근로자명부!$D$5:$D$24,MATCH($B31,근로자명부!$A$5:$A$24,0)))),"")</f>
        <v/>
      </c>
      <c r="E31" s="26">
        <f>IFERROR(IF($B31="","",IF(INDEX(직원명부!$C$5:$C$24,MATCH($B31,직원명부!$A$5:$A$24,0))=0,"",INDEX(직원명부!$C$5:$C$24,MATCH($B31,직원명부!$A$5:$A$24,0)))),"")</f>
        <v/>
      </c>
      <c r="F31" s="44">
        <f>IFERROR(IF($B31="","",IF(INDEX(근로자명부!$G$5:$G$24,MATCH($B31,근로자명부!$A$5:$A$24,0))=0,"",INDEX(근로자명부!$G$5:$G$24,MATCH($B31,근로자명부!$A$5:$A$24,0)))),"")</f>
        <v/>
      </c>
      <c r="G31" s="30">
        <f>IF(OR($A31="",$B31=""),"",COUNTIFS(근태기록!$C$5:$C$2004,$B31,근태기록!$A$5:$A$2004,"&gt;="&amp;$A31,근태기록!$A$5:$A$2004,"&lt;="&amp;EOMONTH($A31,0),근태기록!$H$5:$H$2004,"&gt;0"))</f>
        <v/>
      </c>
      <c r="H31" s="33">
        <f>IF(OR($A31="",$B31=""),"",SUMIFS(근태기록!$H$5:$H$2004,근태기록!$C$5:$C$2004,$B31,근태기록!$A$5:$A$2004,"&gt;="&amp;$A31,근태기록!$A$5:$A$2004,"&lt;="&amp;EOMONTH($A31,0)))</f>
        <v/>
      </c>
      <c r="I31" s="33">
        <f>IF(OR($A31="",$B31=""),"",SUMIFS(근태기록!$I$5:$I$2004,근태기록!$C$5:$C$2004,$B31,근태기록!$A$5:$A$2004,"&gt;="&amp;$A31,근태기록!$A$5:$A$2004,"&lt;="&amp;EOMONTH($A31,0)))</f>
        <v/>
      </c>
      <c r="J31" s="33">
        <f>IF(OR($A31="",$B31=""),"",SUMIFS(근태기록!$J$5:$J$2004,근태기록!$C$5:$C$2004,$B31,근태기록!$A$5:$A$2004,"&gt;="&amp;$A31,근태기록!$A$5:$A$2004,"&lt;="&amp;EOMONTH($A31,0)))</f>
        <v/>
      </c>
      <c r="K31" s="33">
        <f>IF(OR($A31="",$B31=""),"",SUMIFS(근태기록!$H$5:$H$2004,근태기록!$C$5:$C$2004,$B31,근태기록!$A$5:$A$2004,"&gt;="&amp;$A31,근태기록!$A$5:$A$2004,"&lt;="&amp;EOMONTH($A31,0),근태기록!$L$5:$L$2004,"휴일근로"))</f>
        <v/>
      </c>
      <c r="L31" s="20" t="n"/>
      <c r="M31" s="20" t="n"/>
      <c r="N31" s="20" t="n"/>
      <c r="O31" s="20" t="n"/>
      <c r="P31" s="15">
        <f>IF(OR($A31="",$B31=""),"",SUM(L31:O31))</f>
        <v/>
      </c>
      <c r="Q31" s="20" t="n"/>
      <c r="R31" s="20" t="n"/>
      <c r="S31" s="20" t="n"/>
      <c r="T31" s="20" t="n"/>
      <c r="U31" s="20" t="n"/>
      <c r="V31" s="20" t="n"/>
      <c r="W31" s="15">
        <f>IF(OR($A31="",$B31=""),"",SUM(Q31:V31))</f>
        <v/>
      </c>
      <c r="X31" s="15">
        <f>IF(OR($A31="",$B31=""),"",N(P31)-N(W31))</f>
        <v/>
      </c>
    </row>
    <row r="32">
      <c r="A32" s="43" t="n"/>
      <c r="B32" s="18" t="n"/>
      <c r="C32" s="25">
        <f>IFERROR(IF($B32="","",IF(INDEX(직원명부!$B$5:$B$24,MATCH($B32,직원명부!$A$5:$A$24,0))=0,"",INDEX(직원명부!$B$5:$B$24,MATCH($B32,직원명부!$A$5:$A$24,0)))),"사번 확인")</f>
        <v/>
      </c>
      <c r="D32" s="26">
        <f>IFERROR(IF($B32="","",IF(INDEX(근로자명부!$D$5:$D$24,MATCH($B32,근로자명부!$A$5:$A$24,0))=0,"",INDEX(근로자명부!$D$5:$D$24,MATCH($B32,근로자명부!$A$5:$A$24,0)))),"")</f>
        <v/>
      </c>
      <c r="E32" s="26">
        <f>IFERROR(IF($B32="","",IF(INDEX(직원명부!$C$5:$C$24,MATCH($B32,직원명부!$A$5:$A$24,0))=0,"",INDEX(직원명부!$C$5:$C$24,MATCH($B32,직원명부!$A$5:$A$24,0)))),"")</f>
        <v/>
      </c>
      <c r="F32" s="44">
        <f>IFERROR(IF($B32="","",IF(INDEX(근로자명부!$G$5:$G$24,MATCH($B32,근로자명부!$A$5:$A$24,0))=0,"",INDEX(근로자명부!$G$5:$G$24,MATCH($B32,근로자명부!$A$5:$A$24,0)))),"")</f>
        <v/>
      </c>
      <c r="G32" s="30">
        <f>IF(OR($A32="",$B32=""),"",COUNTIFS(근태기록!$C$5:$C$2004,$B32,근태기록!$A$5:$A$2004,"&gt;="&amp;$A32,근태기록!$A$5:$A$2004,"&lt;="&amp;EOMONTH($A32,0),근태기록!$H$5:$H$2004,"&gt;0"))</f>
        <v/>
      </c>
      <c r="H32" s="33">
        <f>IF(OR($A32="",$B32=""),"",SUMIFS(근태기록!$H$5:$H$2004,근태기록!$C$5:$C$2004,$B32,근태기록!$A$5:$A$2004,"&gt;="&amp;$A32,근태기록!$A$5:$A$2004,"&lt;="&amp;EOMONTH($A32,0)))</f>
        <v/>
      </c>
      <c r="I32" s="33">
        <f>IF(OR($A32="",$B32=""),"",SUMIFS(근태기록!$I$5:$I$2004,근태기록!$C$5:$C$2004,$B32,근태기록!$A$5:$A$2004,"&gt;="&amp;$A32,근태기록!$A$5:$A$2004,"&lt;="&amp;EOMONTH($A32,0)))</f>
        <v/>
      </c>
      <c r="J32" s="33">
        <f>IF(OR($A32="",$B32=""),"",SUMIFS(근태기록!$J$5:$J$2004,근태기록!$C$5:$C$2004,$B32,근태기록!$A$5:$A$2004,"&gt;="&amp;$A32,근태기록!$A$5:$A$2004,"&lt;="&amp;EOMONTH($A32,0)))</f>
        <v/>
      </c>
      <c r="K32" s="33">
        <f>IF(OR($A32="",$B32=""),"",SUMIFS(근태기록!$H$5:$H$2004,근태기록!$C$5:$C$2004,$B32,근태기록!$A$5:$A$2004,"&gt;="&amp;$A32,근태기록!$A$5:$A$2004,"&lt;="&amp;EOMONTH($A32,0),근태기록!$L$5:$L$2004,"휴일근로"))</f>
        <v/>
      </c>
      <c r="L32" s="20" t="n"/>
      <c r="M32" s="20" t="n"/>
      <c r="N32" s="20" t="n"/>
      <c r="O32" s="20" t="n"/>
      <c r="P32" s="15">
        <f>IF(OR($A32="",$B32=""),"",SUM(L32:O32))</f>
        <v/>
      </c>
      <c r="Q32" s="20" t="n"/>
      <c r="R32" s="20" t="n"/>
      <c r="S32" s="20" t="n"/>
      <c r="T32" s="20" t="n"/>
      <c r="U32" s="20" t="n"/>
      <c r="V32" s="20" t="n"/>
      <c r="W32" s="15">
        <f>IF(OR($A32="",$B32=""),"",SUM(Q32:V32))</f>
        <v/>
      </c>
      <c r="X32" s="15">
        <f>IF(OR($A32="",$B32=""),"",N(P32)-N(W32))</f>
        <v/>
      </c>
    </row>
    <row r="33">
      <c r="A33" s="43" t="n"/>
      <c r="B33" s="18" t="n"/>
      <c r="C33" s="25">
        <f>IFERROR(IF($B33="","",IF(INDEX(직원명부!$B$5:$B$24,MATCH($B33,직원명부!$A$5:$A$24,0))=0,"",INDEX(직원명부!$B$5:$B$24,MATCH($B33,직원명부!$A$5:$A$24,0)))),"사번 확인")</f>
        <v/>
      </c>
      <c r="D33" s="26">
        <f>IFERROR(IF($B33="","",IF(INDEX(근로자명부!$D$5:$D$24,MATCH($B33,근로자명부!$A$5:$A$24,0))=0,"",INDEX(근로자명부!$D$5:$D$24,MATCH($B33,근로자명부!$A$5:$A$24,0)))),"")</f>
        <v/>
      </c>
      <c r="E33" s="26">
        <f>IFERROR(IF($B33="","",IF(INDEX(직원명부!$C$5:$C$24,MATCH($B33,직원명부!$A$5:$A$24,0))=0,"",INDEX(직원명부!$C$5:$C$24,MATCH($B33,직원명부!$A$5:$A$24,0)))),"")</f>
        <v/>
      </c>
      <c r="F33" s="44">
        <f>IFERROR(IF($B33="","",IF(INDEX(근로자명부!$G$5:$G$24,MATCH($B33,근로자명부!$A$5:$A$24,0))=0,"",INDEX(근로자명부!$G$5:$G$24,MATCH($B33,근로자명부!$A$5:$A$24,0)))),"")</f>
        <v/>
      </c>
      <c r="G33" s="30">
        <f>IF(OR($A33="",$B33=""),"",COUNTIFS(근태기록!$C$5:$C$2004,$B33,근태기록!$A$5:$A$2004,"&gt;="&amp;$A33,근태기록!$A$5:$A$2004,"&lt;="&amp;EOMONTH($A33,0),근태기록!$H$5:$H$2004,"&gt;0"))</f>
        <v/>
      </c>
      <c r="H33" s="33">
        <f>IF(OR($A33="",$B33=""),"",SUMIFS(근태기록!$H$5:$H$2004,근태기록!$C$5:$C$2004,$B33,근태기록!$A$5:$A$2004,"&gt;="&amp;$A33,근태기록!$A$5:$A$2004,"&lt;="&amp;EOMONTH($A33,0)))</f>
        <v/>
      </c>
      <c r="I33" s="33">
        <f>IF(OR($A33="",$B33=""),"",SUMIFS(근태기록!$I$5:$I$2004,근태기록!$C$5:$C$2004,$B33,근태기록!$A$5:$A$2004,"&gt;="&amp;$A33,근태기록!$A$5:$A$2004,"&lt;="&amp;EOMONTH($A33,0)))</f>
        <v/>
      </c>
      <c r="J33" s="33">
        <f>IF(OR($A33="",$B33=""),"",SUMIFS(근태기록!$J$5:$J$2004,근태기록!$C$5:$C$2004,$B33,근태기록!$A$5:$A$2004,"&gt;="&amp;$A33,근태기록!$A$5:$A$2004,"&lt;="&amp;EOMONTH($A33,0)))</f>
        <v/>
      </c>
      <c r="K33" s="33">
        <f>IF(OR($A33="",$B33=""),"",SUMIFS(근태기록!$H$5:$H$2004,근태기록!$C$5:$C$2004,$B33,근태기록!$A$5:$A$2004,"&gt;="&amp;$A33,근태기록!$A$5:$A$2004,"&lt;="&amp;EOMONTH($A33,0),근태기록!$L$5:$L$2004,"휴일근로"))</f>
        <v/>
      </c>
      <c r="L33" s="20" t="n"/>
      <c r="M33" s="20" t="n"/>
      <c r="N33" s="20" t="n"/>
      <c r="O33" s="20" t="n"/>
      <c r="P33" s="15">
        <f>IF(OR($A33="",$B33=""),"",SUM(L33:O33))</f>
        <v/>
      </c>
      <c r="Q33" s="20" t="n"/>
      <c r="R33" s="20" t="n"/>
      <c r="S33" s="20" t="n"/>
      <c r="T33" s="20" t="n"/>
      <c r="U33" s="20" t="n"/>
      <c r="V33" s="20" t="n"/>
      <c r="W33" s="15">
        <f>IF(OR($A33="",$B33=""),"",SUM(Q33:V33))</f>
        <v/>
      </c>
      <c r="X33" s="15">
        <f>IF(OR($A33="",$B33=""),"",N(P33)-N(W33))</f>
        <v/>
      </c>
    </row>
    <row r="34">
      <c r="A34" s="43" t="n"/>
      <c r="B34" s="18" t="n"/>
      <c r="C34" s="25">
        <f>IFERROR(IF($B34="","",IF(INDEX(직원명부!$B$5:$B$24,MATCH($B34,직원명부!$A$5:$A$24,0))=0,"",INDEX(직원명부!$B$5:$B$24,MATCH($B34,직원명부!$A$5:$A$24,0)))),"사번 확인")</f>
        <v/>
      </c>
      <c r="D34" s="26">
        <f>IFERROR(IF($B34="","",IF(INDEX(근로자명부!$D$5:$D$24,MATCH($B34,근로자명부!$A$5:$A$24,0))=0,"",INDEX(근로자명부!$D$5:$D$24,MATCH($B34,근로자명부!$A$5:$A$24,0)))),"")</f>
        <v/>
      </c>
      <c r="E34" s="26">
        <f>IFERROR(IF($B34="","",IF(INDEX(직원명부!$C$5:$C$24,MATCH($B34,직원명부!$A$5:$A$24,0))=0,"",INDEX(직원명부!$C$5:$C$24,MATCH($B34,직원명부!$A$5:$A$24,0)))),"")</f>
        <v/>
      </c>
      <c r="F34" s="44">
        <f>IFERROR(IF($B34="","",IF(INDEX(근로자명부!$G$5:$G$24,MATCH($B34,근로자명부!$A$5:$A$24,0))=0,"",INDEX(근로자명부!$G$5:$G$24,MATCH($B34,근로자명부!$A$5:$A$24,0)))),"")</f>
        <v/>
      </c>
      <c r="G34" s="30">
        <f>IF(OR($A34="",$B34=""),"",COUNTIFS(근태기록!$C$5:$C$2004,$B34,근태기록!$A$5:$A$2004,"&gt;="&amp;$A34,근태기록!$A$5:$A$2004,"&lt;="&amp;EOMONTH($A34,0),근태기록!$H$5:$H$2004,"&gt;0"))</f>
        <v/>
      </c>
      <c r="H34" s="33">
        <f>IF(OR($A34="",$B34=""),"",SUMIFS(근태기록!$H$5:$H$2004,근태기록!$C$5:$C$2004,$B34,근태기록!$A$5:$A$2004,"&gt;="&amp;$A34,근태기록!$A$5:$A$2004,"&lt;="&amp;EOMONTH($A34,0)))</f>
        <v/>
      </c>
      <c r="I34" s="33">
        <f>IF(OR($A34="",$B34=""),"",SUMIFS(근태기록!$I$5:$I$2004,근태기록!$C$5:$C$2004,$B34,근태기록!$A$5:$A$2004,"&gt;="&amp;$A34,근태기록!$A$5:$A$2004,"&lt;="&amp;EOMONTH($A34,0)))</f>
        <v/>
      </c>
      <c r="J34" s="33">
        <f>IF(OR($A34="",$B34=""),"",SUMIFS(근태기록!$J$5:$J$2004,근태기록!$C$5:$C$2004,$B34,근태기록!$A$5:$A$2004,"&gt;="&amp;$A34,근태기록!$A$5:$A$2004,"&lt;="&amp;EOMONTH($A34,0)))</f>
        <v/>
      </c>
      <c r="K34" s="33">
        <f>IF(OR($A34="",$B34=""),"",SUMIFS(근태기록!$H$5:$H$2004,근태기록!$C$5:$C$2004,$B34,근태기록!$A$5:$A$2004,"&gt;="&amp;$A34,근태기록!$A$5:$A$2004,"&lt;="&amp;EOMONTH($A34,0),근태기록!$L$5:$L$2004,"휴일근로"))</f>
        <v/>
      </c>
      <c r="L34" s="20" t="n"/>
      <c r="M34" s="20" t="n"/>
      <c r="N34" s="20" t="n"/>
      <c r="O34" s="20" t="n"/>
      <c r="P34" s="15">
        <f>IF(OR($A34="",$B34=""),"",SUM(L34:O34))</f>
        <v/>
      </c>
      <c r="Q34" s="20" t="n"/>
      <c r="R34" s="20" t="n"/>
      <c r="S34" s="20" t="n"/>
      <c r="T34" s="20" t="n"/>
      <c r="U34" s="20" t="n"/>
      <c r="V34" s="20" t="n"/>
      <c r="W34" s="15">
        <f>IF(OR($A34="",$B34=""),"",SUM(Q34:V34))</f>
        <v/>
      </c>
      <c r="X34" s="15">
        <f>IF(OR($A34="",$B34=""),"",N(P34)-N(W34))</f>
        <v/>
      </c>
    </row>
    <row r="35">
      <c r="A35" s="43" t="n"/>
      <c r="B35" s="18" t="n"/>
      <c r="C35" s="25">
        <f>IFERROR(IF($B35="","",IF(INDEX(직원명부!$B$5:$B$24,MATCH($B35,직원명부!$A$5:$A$24,0))=0,"",INDEX(직원명부!$B$5:$B$24,MATCH($B35,직원명부!$A$5:$A$24,0)))),"사번 확인")</f>
        <v/>
      </c>
      <c r="D35" s="26">
        <f>IFERROR(IF($B35="","",IF(INDEX(근로자명부!$D$5:$D$24,MATCH($B35,근로자명부!$A$5:$A$24,0))=0,"",INDEX(근로자명부!$D$5:$D$24,MATCH($B35,근로자명부!$A$5:$A$24,0)))),"")</f>
        <v/>
      </c>
      <c r="E35" s="26">
        <f>IFERROR(IF($B35="","",IF(INDEX(직원명부!$C$5:$C$24,MATCH($B35,직원명부!$A$5:$A$24,0))=0,"",INDEX(직원명부!$C$5:$C$24,MATCH($B35,직원명부!$A$5:$A$24,0)))),"")</f>
        <v/>
      </c>
      <c r="F35" s="44">
        <f>IFERROR(IF($B35="","",IF(INDEX(근로자명부!$G$5:$G$24,MATCH($B35,근로자명부!$A$5:$A$24,0))=0,"",INDEX(근로자명부!$G$5:$G$24,MATCH($B35,근로자명부!$A$5:$A$24,0)))),"")</f>
        <v/>
      </c>
      <c r="G35" s="30">
        <f>IF(OR($A35="",$B35=""),"",COUNTIFS(근태기록!$C$5:$C$2004,$B35,근태기록!$A$5:$A$2004,"&gt;="&amp;$A35,근태기록!$A$5:$A$2004,"&lt;="&amp;EOMONTH($A35,0),근태기록!$H$5:$H$2004,"&gt;0"))</f>
        <v/>
      </c>
      <c r="H35" s="33">
        <f>IF(OR($A35="",$B35=""),"",SUMIFS(근태기록!$H$5:$H$2004,근태기록!$C$5:$C$2004,$B35,근태기록!$A$5:$A$2004,"&gt;="&amp;$A35,근태기록!$A$5:$A$2004,"&lt;="&amp;EOMONTH($A35,0)))</f>
        <v/>
      </c>
      <c r="I35" s="33">
        <f>IF(OR($A35="",$B35=""),"",SUMIFS(근태기록!$I$5:$I$2004,근태기록!$C$5:$C$2004,$B35,근태기록!$A$5:$A$2004,"&gt;="&amp;$A35,근태기록!$A$5:$A$2004,"&lt;="&amp;EOMONTH($A35,0)))</f>
        <v/>
      </c>
      <c r="J35" s="33">
        <f>IF(OR($A35="",$B35=""),"",SUMIFS(근태기록!$J$5:$J$2004,근태기록!$C$5:$C$2004,$B35,근태기록!$A$5:$A$2004,"&gt;="&amp;$A35,근태기록!$A$5:$A$2004,"&lt;="&amp;EOMONTH($A35,0)))</f>
        <v/>
      </c>
      <c r="K35" s="33">
        <f>IF(OR($A35="",$B35=""),"",SUMIFS(근태기록!$H$5:$H$2004,근태기록!$C$5:$C$2004,$B35,근태기록!$A$5:$A$2004,"&gt;="&amp;$A35,근태기록!$A$5:$A$2004,"&lt;="&amp;EOMONTH($A35,0),근태기록!$L$5:$L$2004,"휴일근로"))</f>
        <v/>
      </c>
      <c r="L35" s="20" t="n"/>
      <c r="M35" s="20" t="n"/>
      <c r="N35" s="20" t="n"/>
      <c r="O35" s="20" t="n"/>
      <c r="P35" s="15">
        <f>IF(OR($A35="",$B35=""),"",SUM(L35:O35))</f>
        <v/>
      </c>
      <c r="Q35" s="20" t="n"/>
      <c r="R35" s="20" t="n"/>
      <c r="S35" s="20" t="n"/>
      <c r="T35" s="20" t="n"/>
      <c r="U35" s="20" t="n"/>
      <c r="V35" s="20" t="n"/>
      <c r="W35" s="15">
        <f>IF(OR($A35="",$B35=""),"",SUM(Q35:V35))</f>
        <v/>
      </c>
      <c r="X35" s="15">
        <f>IF(OR($A35="",$B35=""),"",N(P35)-N(W35))</f>
        <v/>
      </c>
    </row>
    <row r="36">
      <c r="A36" s="43" t="n"/>
      <c r="B36" s="18" t="n"/>
      <c r="C36" s="25">
        <f>IFERROR(IF($B36="","",IF(INDEX(직원명부!$B$5:$B$24,MATCH($B36,직원명부!$A$5:$A$24,0))=0,"",INDEX(직원명부!$B$5:$B$24,MATCH($B36,직원명부!$A$5:$A$24,0)))),"사번 확인")</f>
        <v/>
      </c>
      <c r="D36" s="26">
        <f>IFERROR(IF($B36="","",IF(INDEX(근로자명부!$D$5:$D$24,MATCH($B36,근로자명부!$A$5:$A$24,0))=0,"",INDEX(근로자명부!$D$5:$D$24,MATCH($B36,근로자명부!$A$5:$A$24,0)))),"")</f>
        <v/>
      </c>
      <c r="E36" s="26">
        <f>IFERROR(IF($B36="","",IF(INDEX(직원명부!$C$5:$C$24,MATCH($B36,직원명부!$A$5:$A$24,0))=0,"",INDEX(직원명부!$C$5:$C$24,MATCH($B36,직원명부!$A$5:$A$24,0)))),"")</f>
        <v/>
      </c>
      <c r="F36" s="44">
        <f>IFERROR(IF($B36="","",IF(INDEX(근로자명부!$G$5:$G$24,MATCH($B36,근로자명부!$A$5:$A$24,0))=0,"",INDEX(근로자명부!$G$5:$G$24,MATCH($B36,근로자명부!$A$5:$A$24,0)))),"")</f>
        <v/>
      </c>
      <c r="G36" s="30">
        <f>IF(OR($A36="",$B36=""),"",COUNTIFS(근태기록!$C$5:$C$2004,$B36,근태기록!$A$5:$A$2004,"&gt;="&amp;$A36,근태기록!$A$5:$A$2004,"&lt;="&amp;EOMONTH($A36,0),근태기록!$H$5:$H$2004,"&gt;0"))</f>
        <v/>
      </c>
      <c r="H36" s="33">
        <f>IF(OR($A36="",$B36=""),"",SUMIFS(근태기록!$H$5:$H$2004,근태기록!$C$5:$C$2004,$B36,근태기록!$A$5:$A$2004,"&gt;="&amp;$A36,근태기록!$A$5:$A$2004,"&lt;="&amp;EOMONTH($A36,0)))</f>
        <v/>
      </c>
      <c r="I36" s="33">
        <f>IF(OR($A36="",$B36=""),"",SUMIFS(근태기록!$I$5:$I$2004,근태기록!$C$5:$C$2004,$B36,근태기록!$A$5:$A$2004,"&gt;="&amp;$A36,근태기록!$A$5:$A$2004,"&lt;="&amp;EOMONTH($A36,0)))</f>
        <v/>
      </c>
      <c r="J36" s="33">
        <f>IF(OR($A36="",$B36=""),"",SUMIFS(근태기록!$J$5:$J$2004,근태기록!$C$5:$C$2004,$B36,근태기록!$A$5:$A$2004,"&gt;="&amp;$A36,근태기록!$A$5:$A$2004,"&lt;="&amp;EOMONTH($A36,0)))</f>
        <v/>
      </c>
      <c r="K36" s="33">
        <f>IF(OR($A36="",$B36=""),"",SUMIFS(근태기록!$H$5:$H$2004,근태기록!$C$5:$C$2004,$B36,근태기록!$A$5:$A$2004,"&gt;="&amp;$A36,근태기록!$A$5:$A$2004,"&lt;="&amp;EOMONTH($A36,0),근태기록!$L$5:$L$2004,"휴일근로"))</f>
        <v/>
      </c>
      <c r="L36" s="20" t="n"/>
      <c r="M36" s="20" t="n"/>
      <c r="N36" s="20" t="n"/>
      <c r="O36" s="20" t="n"/>
      <c r="P36" s="15">
        <f>IF(OR($A36="",$B36=""),"",SUM(L36:O36))</f>
        <v/>
      </c>
      <c r="Q36" s="20" t="n"/>
      <c r="R36" s="20" t="n"/>
      <c r="S36" s="20" t="n"/>
      <c r="T36" s="20" t="n"/>
      <c r="U36" s="20" t="n"/>
      <c r="V36" s="20" t="n"/>
      <c r="W36" s="15">
        <f>IF(OR($A36="",$B36=""),"",SUM(Q36:V36))</f>
        <v/>
      </c>
      <c r="X36" s="15">
        <f>IF(OR($A36="",$B36=""),"",N(P36)-N(W36))</f>
        <v/>
      </c>
    </row>
    <row r="37">
      <c r="A37" s="43" t="n"/>
      <c r="B37" s="18" t="n"/>
      <c r="C37" s="25">
        <f>IFERROR(IF($B37="","",IF(INDEX(직원명부!$B$5:$B$24,MATCH($B37,직원명부!$A$5:$A$24,0))=0,"",INDEX(직원명부!$B$5:$B$24,MATCH($B37,직원명부!$A$5:$A$24,0)))),"사번 확인")</f>
        <v/>
      </c>
      <c r="D37" s="26">
        <f>IFERROR(IF($B37="","",IF(INDEX(근로자명부!$D$5:$D$24,MATCH($B37,근로자명부!$A$5:$A$24,0))=0,"",INDEX(근로자명부!$D$5:$D$24,MATCH($B37,근로자명부!$A$5:$A$24,0)))),"")</f>
        <v/>
      </c>
      <c r="E37" s="26">
        <f>IFERROR(IF($B37="","",IF(INDEX(직원명부!$C$5:$C$24,MATCH($B37,직원명부!$A$5:$A$24,0))=0,"",INDEX(직원명부!$C$5:$C$24,MATCH($B37,직원명부!$A$5:$A$24,0)))),"")</f>
        <v/>
      </c>
      <c r="F37" s="44">
        <f>IFERROR(IF($B37="","",IF(INDEX(근로자명부!$G$5:$G$24,MATCH($B37,근로자명부!$A$5:$A$24,0))=0,"",INDEX(근로자명부!$G$5:$G$24,MATCH($B37,근로자명부!$A$5:$A$24,0)))),"")</f>
        <v/>
      </c>
      <c r="G37" s="30">
        <f>IF(OR($A37="",$B37=""),"",COUNTIFS(근태기록!$C$5:$C$2004,$B37,근태기록!$A$5:$A$2004,"&gt;="&amp;$A37,근태기록!$A$5:$A$2004,"&lt;="&amp;EOMONTH($A37,0),근태기록!$H$5:$H$2004,"&gt;0"))</f>
        <v/>
      </c>
      <c r="H37" s="33">
        <f>IF(OR($A37="",$B37=""),"",SUMIFS(근태기록!$H$5:$H$2004,근태기록!$C$5:$C$2004,$B37,근태기록!$A$5:$A$2004,"&gt;="&amp;$A37,근태기록!$A$5:$A$2004,"&lt;="&amp;EOMONTH($A37,0)))</f>
        <v/>
      </c>
      <c r="I37" s="33">
        <f>IF(OR($A37="",$B37=""),"",SUMIFS(근태기록!$I$5:$I$2004,근태기록!$C$5:$C$2004,$B37,근태기록!$A$5:$A$2004,"&gt;="&amp;$A37,근태기록!$A$5:$A$2004,"&lt;="&amp;EOMONTH($A37,0)))</f>
        <v/>
      </c>
      <c r="J37" s="33">
        <f>IF(OR($A37="",$B37=""),"",SUMIFS(근태기록!$J$5:$J$2004,근태기록!$C$5:$C$2004,$B37,근태기록!$A$5:$A$2004,"&gt;="&amp;$A37,근태기록!$A$5:$A$2004,"&lt;="&amp;EOMONTH($A37,0)))</f>
        <v/>
      </c>
      <c r="K37" s="33">
        <f>IF(OR($A37="",$B37=""),"",SUMIFS(근태기록!$H$5:$H$2004,근태기록!$C$5:$C$2004,$B37,근태기록!$A$5:$A$2004,"&gt;="&amp;$A37,근태기록!$A$5:$A$2004,"&lt;="&amp;EOMONTH($A37,0),근태기록!$L$5:$L$2004,"휴일근로"))</f>
        <v/>
      </c>
      <c r="L37" s="20" t="n"/>
      <c r="M37" s="20" t="n"/>
      <c r="N37" s="20" t="n"/>
      <c r="O37" s="20" t="n"/>
      <c r="P37" s="15">
        <f>IF(OR($A37="",$B37=""),"",SUM(L37:O37))</f>
        <v/>
      </c>
      <c r="Q37" s="20" t="n"/>
      <c r="R37" s="20" t="n"/>
      <c r="S37" s="20" t="n"/>
      <c r="T37" s="20" t="n"/>
      <c r="U37" s="20" t="n"/>
      <c r="V37" s="20" t="n"/>
      <c r="W37" s="15">
        <f>IF(OR($A37="",$B37=""),"",SUM(Q37:V37))</f>
        <v/>
      </c>
      <c r="X37" s="15">
        <f>IF(OR($A37="",$B37=""),"",N(P37)-N(W37))</f>
        <v/>
      </c>
    </row>
    <row r="38">
      <c r="A38" s="43" t="n"/>
      <c r="B38" s="18" t="n"/>
      <c r="C38" s="25">
        <f>IFERROR(IF($B38="","",IF(INDEX(직원명부!$B$5:$B$24,MATCH($B38,직원명부!$A$5:$A$24,0))=0,"",INDEX(직원명부!$B$5:$B$24,MATCH($B38,직원명부!$A$5:$A$24,0)))),"사번 확인")</f>
        <v/>
      </c>
      <c r="D38" s="26">
        <f>IFERROR(IF($B38="","",IF(INDEX(근로자명부!$D$5:$D$24,MATCH($B38,근로자명부!$A$5:$A$24,0))=0,"",INDEX(근로자명부!$D$5:$D$24,MATCH($B38,근로자명부!$A$5:$A$24,0)))),"")</f>
        <v/>
      </c>
      <c r="E38" s="26">
        <f>IFERROR(IF($B38="","",IF(INDEX(직원명부!$C$5:$C$24,MATCH($B38,직원명부!$A$5:$A$24,0))=0,"",INDEX(직원명부!$C$5:$C$24,MATCH($B38,직원명부!$A$5:$A$24,0)))),"")</f>
        <v/>
      </c>
      <c r="F38" s="44">
        <f>IFERROR(IF($B38="","",IF(INDEX(근로자명부!$G$5:$G$24,MATCH($B38,근로자명부!$A$5:$A$24,0))=0,"",INDEX(근로자명부!$G$5:$G$24,MATCH($B38,근로자명부!$A$5:$A$24,0)))),"")</f>
        <v/>
      </c>
      <c r="G38" s="30">
        <f>IF(OR($A38="",$B38=""),"",COUNTIFS(근태기록!$C$5:$C$2004,$B38,근태기록!$A$5:$A$2004,"&gt;="&amp;$A38,근태기록!$A$5:$A$2004,"&lt;="&amp;EOMONTH($A38,0),근태기록!$H$5:$H$2004,"&gt;0"))</f>
        <v/>
      </c>
      <c r="H38" s="33">
        <f>IF(OR($A38="",$B38=""),"",SUMIFS(근태기록!$H$5:$H$2004,근태기록!$C$5:$C$2004,$B38,근태기록!$A$5:$A$2004,"&gt;="&amp;$A38,근태기록!$A$5:$A$2004,"&lt;="&amp;EOMONTH($A38,0)))</f>
        <v/>
      </c>
      <c r="I38" s="33">
        <f>IF(OR($A38="",$B38=""),"",SUMIFS(근태기록!$I$5:$I$2004,근태기록!$C$5:$C$2004,$B38,근태기록!$A$5:$A$2004,"&gt;="&amp;$A38,근태기록!$A$5:$A$2004,"&lt;="&amp;EOMONTH($A38,0)))</f>
        <v/>
      </c>
      <c r="J38" s="33">
        <f>IF(OR($A38="",$B38=""),"",SUMIFS(근태기록!$J$5:$J$2004,근태기록!$C$5:$C$2004,$B38,근태기록!$A$5:$A$2004,"&gt;="&amp;$A38,근태기록!$A$5:$A$2004,"&lt;="&amp;EOMONTH($A38,0)))</f>
        <v/>
      </c>
      <c r="K38" s="33">
        <f>IF(OR($A38="",$B38=""),"",SUMIFS(근태기록!$H$5:$H$2004,근태기록!$C$5:$C$2004,$B38,근태기록!$A$5:$A$2004,"&gt;="&amp;$A38,근태기록!$A$5:$A$2004,"&lt;="&amp;EOMONTH($A38,0),근태기록!$L$5:$L$2004,"휴일근로"))</f>
        <v/>
      </c>
      <c r="L38" s="20" t="n"/>
      <c r="M38" s="20" t="n"/>
      <c r="N38" s="20" t="n"/>
      <c r="O38" s="20" t="n"/>
      <c r="P38" s="15">
        <f>IF(OR($A38="",$B38=""),"",SUM(L38:O38))</f>
        <v/>
      </c>
      <c r="Q38" s="20" t="n"/>
      <c r="R38" s="20" t="n"/>
      <c r="S38" s="20" t="n"/>
      <c r="T38" s="20" t="n"/>
      <c r="U38" s="20" t="n"/>
      <c r="V38" s="20" t="n"/>
      <c r="W38" s="15">
        <f>IF(OR($A38="",$B38=""),"",SUM(Q38:V38))</f>
        <v/>
      </c>
      <c r="X38" s="15">
        <f>IF(OR($A38="",$B38=""),"",N(P38)-N(W38))</f>
        <v/>
      </c>
    </row>
    <row r="39">
      <c r="A39" s="43" t="n"/>
      <c r="B39" s="18" t="n"/>
      <c r="C39" s="25">
        <f>IFERROR(IF($B39="","",IF(INDEX(직원명부!$B$5:$B$24,MATCH($B39,직원명부!$A$5:$A$24,0))=0,"",INDEX(직원명부!$B$5:$B$24,MATCH($B39,직원명부!$A$5:$A$24,0)))),"사번 확인")</f>
        <v/>
      </c>
      <c r="D39" s="26">
        <f>IFERROR(IF($B39="","",IF(INDEX(근로자명부!$D$5:$D$24,MATCH($B39,근로자명부!$A$5:$A$24,0))=0,"",INDEX(근로자명부!$D$5:$D$24,MATCH($B39,근로자명부!$A$5:$A$24,0)))),"")</f>
        <v/>
      </c>
      <c r="E39" s="26">
        <f>IFERROR(IF($B39="","",IF(INDEX(직원명부!$C$5:$C$24,MATCH($B39,직원명부!$A$5:$A$24,0))=0,"",INDEX(직원명부!$C$5:$C$24,MATCH($B39,직원명부!$A$5:$A$24,0)))),"")</f>
        <v/>
      </c>
      <c r="F39" s="44">
        <f>IFERROR(IF($B39="","",IF(INDEX(근로자명부!$G$5:$G$24,MATCH($B39,근로자명부!$A$5:$A$24,0))=0,"",INDEX(근로자명부!$G$5:$G$24,MATCH($B39,근로자명부!$A$5:$A$24,0)))),"")</f>
        <v/>
      </c>
      <c r="G39" s="30">
        <f>IF(OR($A39="",$B39=""),"",COUNTIFS(근태기록!$C$5:$C$2004,$B39,근태기록!$A$5:$A$2004,"&gt;="&amp;$A39,근태기록!$A$5:$A$2004,"&lt;="&amp;EOMONTH($A39,0),근태기록!$H$5:$H$2004,"&gt;0"))</f>
        <v/>
      </c>
      <c r="H39" s="33">
        <f>IF(OR($A39="",$B39=""),"",SUMIFS(근태기록!$H$5:$H$2004,근태기록!$C$5:$C$2004,$B39,근태기록!$A$5:$A$2004,"&gt;="&amp;$A39,근태기록!$A$5:$A$2004,"&lt;="&amp;EOMONTH($A39,0)))</f>
        <v/>
      </c>
      <c r="I39" s="33">
        <f>IF(OR($A39="",$B39=""),"",SUMIFS(근태기록!$I$5:$I$2004,근태기록!$C$5:$C$2004,$B39,근태기록!$A$5:$A$2004,"&gt;="&amp;$A39,근태기록!$A$5:$A$2004,"&lt;="&amp;EOMONTH($A39,0)))</f>
        <v/>
      </c>
      <c r="J39" s="33">
        <f>IF(OR($A39="",$B39=""),"",SUMIFS(근태기록!$J$5:$J$2004,근태기록!$C$5:$C$2004,$B39,근태기록!$A$5:$A$2004,"&gt;="&amp;$A39,근태기록!$A$5:$A$2004,"&lt;="&amp;EOMONTH($A39,0)))</f>
        <v/>
      </c>
      <c r="K39" s="33">
        <f>IF(OR($A39="",$B39=""),"",SUMIFS(근태기록!$H$5:$H$2004,근태기록!$C$5:$C$2004,$B39,근태기록!$A$5:$A$2004,"&gt;="&amp;$A39,근태기록!$A$5:$A$2004,"&lt;="&amp;EOMONTH($A39,0),근태기록!$L$5:$L$2004,"휴일근로"))</f>
        <v/>
      </c>
      <c r="L39" s="20" t="n"/>
      <c r="M39" s="20" t="n"/>
      <c r="N39" s="20" t="n"/>
      <c r="O39" s="20" t="n"/>
      <c r="P39" s="15">
        <f>IF(OR($A39="",$B39=""),"",SUM(L39:O39))</f>
        <v/>
      </c>
      <c r="Q39" s="20" t="n"/>
      <c r="R39" s="20" t="n"/>
      <c r="S39" s="20" t="n"/>
      <c r="T39" s="20" t="n"/>
      <c r="U39" s="20" t="n"/>
      <c r="V39" s="20" t="n"/>
      <c r="W39" s="15">
        <f>IF(OR($A39="",$B39=""),"",SUM(Q39:V39))</f>
        <v/>
      </c>
      <c r="X39" s="15">
        <f>IF(OR($A39="",$B39=""),"",N(P39)-N(W39))</f>
        <v/>
      </c>
    </row>
    <row r="40">
      <c r="A40" s="43" t="n"/>
      <c r="B40" s="18" t="n"/>
      <c r="C40" s="25">
        <f>IFERROR(IF($B40="","",IF(INDEX(직원명부!$B$5:$B$24,MATCH($B40,직원명부!$A$5:$A$24,0))=0,"",INDEX(직원명부!$B$5:$B$24,MATCH($B40,직원명부!$A$5:$A$24,0)))),"사번 확인")</f>
        <v/>
      </c>
      <c r="D40" s="26">
        <f>IFERROR(IF($B40="","",IF(INDEX(근로자명부!$D$5:$D$24,MATCH($B40,근로자명부!$A$5:$A$24,0))=0,"",INDEX(근로자명부!$D$5:$D$24,MATCH($B40,근로자명부!$A$5:$A$24,0)))),"")</f>
        <v/>
      </c>
      <c r="E40" s="26">
        <f>IFERROR(IF($B40="","",IF(INDEX(직원명부!$C$5:$C$24,MATCH($B40,직원명부!$A$5:$A$24,0))=0,"",INDEX(직원명부!$C$5:$C$24,MATCH($B40,직원명부!$A$5:$A$24,0)))),"")</f>
        <v/>
      </c>
      <c r="F40" s="44">
        <f>IFERROR(IF($B40="","",IF(INDEX(근로자명부!$G$5:$G$24,MATCH($B40,근로자명부!$A$5:$A$24,0))=0,"",INDEX(근로자명부!$G$5:$G$24,MATCH($B40,근로자명부!$A$5:$A$24,0)))),"")</f>
        <v/>
      </c>
      <c r="G40" s="30">
        <f>IF(OR($A40="",$B40=""),"",COUNTIFS(근태기록!$C$5:$C$2004,$B40,근태기록!$A$5:$A$2004,"&gt;="&amp;$A40,근태기록!$A$5:$A$2004,"&lt;="&amp;EOMONTH($A40,0),근태기록!$H$5:$H$2004,"&gt;0"))</f>
        <v/>
      </c>
      <c r="H40" s="33">
        <f>IF(OR($A40="",$B40=""),"",SUMIFS(근태기록!$H$5:$H$2004,근태기록!$C$5:$C$2004,$B40,근태기록!$A$5:$A$2004,"&gt;="&amp;$A40,근태기록!$A$5:$A$2004,"&lt;="&amp;EOMONTH($A40,0)))</f>
        <v/>
      </c>
      <c r="I40" s="33">
        <f>IF(OR($A40="",$B40=""),"",SUMIFS(근태기록!$I$5:$I$2004,근태기록!$C$5:$C$2004,$B40,근태기록!$A$5:$A$2004,"&gt;="&amp;$A40,근태기록!$A$5:$A$2004,"&lt;="&amp;EOMONTH($A40,0)))</f>
        <v/>
      </c>
      <c r="J40" s="33">
        <f>IF(OR($A40="",$B40=""),"",SUMIFS(근태기록!$J$5:$J$2004,근태기록!$C$5:$C$2004,$B40,근태기록!$A$5:$A$2004,"&gt;="&amp;$A40,근태기록!$A$5:$A$2004,"&lt;="&amp;EOMONTH($A40,0)))</f>
        <v/>
      </c>
      <c r="K40" s="33">
        <f>IF(OR($A40="",$B40=""),"",SUMIFS(근태기록!$H$5:$H$2004,근태기록!$C$5:$C$2004,$B40,근태기록!$A$5:$A$2004,"&gt;="&amp;$A40,근태기록!$A$5:$A$2004,"&lt;="&amp;EOMONTH($A40,0),근태기록!$L$5:$L$2004,"휴일근로"))</f>
        <v/>
      </c>
      <c r="L40" s="20" t="n"/>
      <c r="M40" s="20" t="n"/>
      <c r="N40" s="20" t="n"/>
      <c r="O40" s="20" t="n"/>
      <c r="P40" s="15">
        <f>IF(OR($A40="",$B40=""),"",SUM(L40:O40))</f>
        <v/>
      </c>
      <c r="Q40" s="20" t="n"/>
      <c r="R40" s="20" t="n"/>
      <c r="S40" s="20" t="n"/>
      <c r="T40" s="20" t="n"/>
      <c r="U40" s="20" t="n"/>
      <c r="V40" s="20" t="n"/>
      <c r="W40" s="15">
        <f>IF(OR($A40="",$B40=""),"",SUM(Q40:V40))</f>
        <v/>
      </c>
      <c r="X40" s="15">
        <f>IF(OR($A40="",$B40=""),"",N(P40)-N(W40))</f>
        <v/>
      </c>
    </row>
    <row r="41">
      <c r="A41" s="43" t="n"/>
      <c r="B41" s="18" t="n"/>
      <c r="C41" s="25">
        <f>IFERROR(IF($B41="","",IF(INDEX(직원명부!$B$5:$B$24,MATCH($B41,직원명부!$A$5:$A$24,0))=0,"",INDEX(직원명부!$B$5:$B$24,MATCH($B41,직원명부!$A$5:$A$24,0)))),"사번 확인")</f>
        <v/>
      </c>
      <c r="D41" s="26">
        <f>IFERROR(IF($B41="","",IF(INDEX(근로자명부!$D$5:$D$24,MATCH($B41,근로자명부!$A$5:$A$24,0))=0,"",INDEX(근로자명부!$D$5:$D$24,MATCH($B41,근로자명부!$A$5:$A$24,0)))),"")</f>
        <v/>
      </c>
      <c r="E41" s="26">
        <f>IFERROR(IF($B41="","",IF(INDEX(직원명부!$C$5:$C$24,MATCH($B41,직원명부!$A$5:$A$24,0))=0,"",INDEX(직원명부!$C$5:$C$24,MATCH($B41,직원명부!$A$5:$A$24,0)))),"")</f>
        <v/>
      </c>
      <c r="F41" s="44">
        <f>IFERROR(IF($B41="","",IF(INDEX(근로자명부!$G$5:$G$24,MATCH($B41,근로자명부!$A$5:$A$24,0))=0,"",INDEX(근로자명부!$G$5:$G$24,MATCH($B41,근로자명부!$A$5:$A$24,0)))),"")</f>
        <v/>
      </c>
      <c r="G41" s="30">
        <f>IF(OR($A41="",$B41=""),"",COUNTIFS(근태기록!$C$5:$C$2004,$B41,근태기록!$A$5:$A$2004,"&gt;="&amp;$A41,근태기록!$A$5:$A$2004,"&lt;="&amp;EOMONTH($A41,0),근태기록!$H$5:$H$2004,"&gt;0"))</f>
        <v/>
      </c>
      <c r="H41" s="33">
        <f>IF(OR($A41="",$B41=""),"",SUMIFS(근태기록!$H$5:$H$2004,근태기록!$C$5:$C$2004,$B41,근태기록!$A$5:$A$2004,"&gt;="&amp;$A41,근태기록!$A$5:$A$2004,"&lt;="&amp;EOMONTH($A41,0)))</f>
        <v/>
      </c>
      <c r="I41" s="33">
        <f>IF(OR($A41="",$B41=""),"",SUMIFS(근태기록!$I$5:$I$2004,근태기록!$C$5:$C$2004,$B41,근태기록!$A$5:$A$2004,"&gt;="&amp;$A41,근태기록!$A$5:$A$2004,"&lt;="&amp;EOMONTH($A41,0)))</f>
        <v/>
      </c>
      <c r="J41" s="33">
        <f>IF(OR($A41="",$B41=""),"",SUMIFS(근태기록!$J$5:$J$2004,근태기록!$C$5:$C$2004,$B41,근태기록!$A$5:$A$2004,"&gt;="&amp;$A41,근태기록!$A$5:$A$2004,"&lt;="&amp;EOMONTH($A41,0)))</f>
        <v/>
      </c>
      <c r="K41" s="33">
        <f>IF(OR($A41="",$B41=""),"",SUMIFS(근태기록!$H$5:$H$2004,근태기록!$C$5:$C$2004,$B41,근태기록!$A$5:$A$2004,"&gt;="&amp;$A41,근태기록!$A$5:$A$2004,"&lt;="&amp;EOMONTH($A41,0),근태기록!$L$5:$L$2004,"휴일근로"))</f>
        <v/>
      </c>
      <c r="L41" s="20" t="n"/>
      <c r="M41" s="20" t="n"/>
      <c r="N41" s="20" t="n"/>
      <c r="O41" s="20" t="n"/>
      <c r="P41" s="15">
        <f>IF(OR($A41="",$B41=""),"",SUM(L41:O41))</f>
        <v/>
      </c>
      <c r="Q41" s="20" t="n"/>
      <c r="R41" s="20" t="n"/>
      <c r="S41" s="20" t="n"/>
      <c r="T41" s="20" t="n"/>
      <c r="U41" s="20" t="n"/>
      <c r="V41" s="20" t="n"/>
      <c r="W41" s="15">
        <f>IF(OR($A41="",$B41=""),"",SUM(Q41:V41))</f>
        <v/>
      </c>
      <c r="X41" s="15">
        <f>IF(OR($A41="",$B41=""),"",N(P41)-N(W41))</f>
        <v/>
      </c>
    </row>
    <row r="42">
      <c r="A42" s="43" t="n"/>
      <c r="B42" s="18" t="n"/>
      <c r="C42" s="25">
        <f>IFERROR(IF($B42="","",IF(INDEX(직원명부!$B$5:$B$24,MATCH($B42,직원명부!$A$5:$A$24,0))=0,"",INDEX(직원명부!$B$5:$B$24,MATCH($B42,직원명부!$A$5:$A$24,0)))),"사번 확인")</f>
        <v/>
      </c>
      <c r="D42" s="26">
        <f>IFERROR(IF($B42="","",IF(INDEX(근로자명부!$D$5:$D$24,MATCH($B42,근로자명부!$A$5:$A$24,0))=0,"",INDEX(근로자명부!$D$5:$D$24,MATCH($B42,근로자명부!$A$5:$A$24,0)))),"")</f>
        <v/>
      </c>
      <c r="E42" s="26">
        <f>IFERROR(IF($B42="","",IF(INDEX(직원명부!$C$5:$C$24,MATCH($B42,직원명부!$A$5:$A$24,0))=0,"",INDEX(직원명부!$C$5:$C$24,MATCH($B42,직원명부!$A$5:$A$24,0)))),"")</f>
        <v/>
      </c>
      <c r="F42" s="44">
        <f>IFERROR(IF($B42="","",IF(INDEX(근로자명부!$G$5:$G$24,MATCH($B42,근로자명부!$A$5:$A$24,0))=0,"",INDEX(근로자명부!$G$5:$G$24,MATCH($B42,근로자명부!$A$5:$A$24,0)))),"")</f>
        <v/>
      </c>
      <c r="G42" s="30">
        <f>IF(OR($A42="",$B42=""),"",COUNTIFS(근태기록!$C$5:$C$2004,$B42,근태기록!$A$5:$A$2004,"&gt;="&amp;$A42,근태기록!$A$5:$A$2004,"&lt;="&amp;EOMONTH($A42,0),근태기록!$H$5:$H$2004,"&gt;0"))</f>
        <v/>
      </c>
      <c r="H42" s="33">
        <f>IF(OR($A42="",$B42=""),"",SUMIFS(근태기록!$H$5:$H$2004,근태기록!$C$5:$C$2004,$B42,근태기록!$A$5:$A$2004,"&gt;="&amp;$A42,근태기록!$A$5:$A$2004,"&lt;="&amp;EOMONTH($A42,0)))</f>
        <v/>
      </c>
      <c r="I42" s="33">
        <f>IF(OR($A42="",$B42=""),"",SUMIFS(근태기록!$I$5:$I$2004,근태기록!$C$5:$C$2004,$B42,근태기록!$A$5:$A$2004,"&gt;="&amp;$A42,근태기록!$A$5:$A$2004,"&lt;="&amp;EOMONTH($A42,0)))</f>
        <v/>
      </c>
      <c r="J42" s="33">
        <f>IF(OR($A42="",$B42=""),"",SUMIFS(근태기록!$J$5:$J$2004,근태기록!$C$5:$C$2004,$B42,근태기록!$A$5:$A$2004,"&gt;="&amp;$A42,근태기록!$A$5:$A$2004,"&lt;="&amp;EOMONTH($A42,0)))</f>
        <v/>
      </c>
      <c r="K42" s="33">
        <f>IF(OR($A42="",$B42=""),"",SUMIFS(근태기록!$H$5:$H$2004,근태기록!$C$5:$C$2004,$B42,근태기록!$A$5:$A$2004,"&gt;="&amp;$A42,근태기록!$A$5:$A$2004,"&lt;="&amp;EOMONTH($A42,0),근태기록!$L$5:$L$2004,"휴일근로"))</f>
        <v/>
      </c>
      <c r="L42" s="20" t="n"/>
      <c r="M42" s="20" t="n"/>
      <c r="N42" s="20" t="n"/>
      <c r="O42" s="20" t="n"/>
      <c r="P42" s="15">
        <f>IF(OR($A42="",$B42=""),"",SUM(L42:O42))</f>
        <v/>
      </c>
      <c r="Q42" s="20" t="n"/>
      <c r="R42" s="20" t="n"/>
      <c r="S42" s="20" t="n"/>
      <c r="T42" s="20" t="n"/>
      <c r="U42" s="20" t="n"/>
      <c r="V42" s="20" t="n"/>
      <c r="W42" s="15">
        <f>IF(OR($A42="",$B42=""),"",SUM(Q42:V42))</f>
        <v/>
      </c>
      <c r="X42" s="15">
        <f>IF(OR($A42="",$B42=""),"",N(P42)-N(W42))</f>
        <v/>
      </c>
    </row>
    <row r="43">
      <c r="A43" s="43" t="n"/>
      <c r="B43" s="18" t="n"/>
      <c r="C43" s="25">
        <f>IFERROR(IF($B43="","",IF(INDEX(직원명부!$B$5:$B$24,MATCH($B43,직원명부!$A$5:$A$24,0))=0,"",INDEX(직원명부!$B$5:$B$24,MATCH($B43,직원명부!$A$5:$A$24,0)))),"사번 확인")</f>
        <v/>
      </c>
      <c r="D43" s="26">
        <f>IFERROR(IF($B43="","",IF(INDEX(근로자명부!$D$5:$D$24,MATCH($B43,근로자명부!$A$5:$A$24,0))=0,"",INDEX(근로자명부!$D$5:$D$24,MATCH($B43,근로자명부!$A$5:$A$24,0)))),"")</f>
        <v/>
      </c>
      <c r="E43" s="26">
        <f>IFERROR(IF($B43="","",IF(INDEX(직원명부!$C$5:$C$24,MATCH($B43,직원명부!$A$5:$A$24,0))=0,"",INDEX(직원명부!$C$5:$C$24,MATCH($B43,직원명부!$A$5:$A$24,0)))),"")</f>
        <v/>
      </c>
      <c r="F43" s="44">
        <f>IFERROR(IF($B43="","",IF(INDEX(근로자명부!$G$5:$G$24,MATCH($B43,근로자명부!$A$5:$A$24,0))=0,"",INDEX(근로자명부!$G$5:$G$24,MATCH($B43,근로자명부!$A$5:$A$24,0)))),"")</f>
        <v/>
      </c>
      <c r="G43" s="30">
        <f>IF(OR($A43="",$B43=""),"",COUNTIFS(근태기록!$C$5:$C$2004,$B43,근태기록!$A$5:$A$2004,"&gt;="&amp;$A43,근태기록!$A$5:$A$2004,"&lt;="&amp;EOMONTH($A43,0),근태기록!$H$5:$H$2004,"&gt;0"))</f>
        <v/>
      </c>
      <c r="H43" s="33">
        <f>IF(OR($A43="",$B43=""),"",SUMIFS(근태기록!$H$5:$H$2004,근태기록!$C$5:$C$2004,$B43,근태기록!$A$5:$A$2004,"&gt;="&amp;$A43,근태기록!$A$5:$A$2004,"&lt;="&amp;EOMONTH($A43,0)))</f>
        <v/>
      </c>
      <c r="I43" s="33">
        <f>IF(OR($A43="",$B43=""),"",SUMIFS(근태기록!$I$5:$I$2004,근태기록!$C$5:$C$2004,$B43,근태기록!$A$5:$A$2004,"&gt;="&amp;$A43,근태기록!$A$5:$A$2004,"&lt;="&amp;EOMONTH($A43,0)))</f>
        <v/>
      </c>
      <c r="J43" s="33">
        <f>IF(OR($A43="",$B43=""),"",SUMIFS(근태기록!$J$5:$J$2004,근태기록!$C$5:$C$2004,$B43,근태기록!$A$5:$A$2004,"&gt;="&amp;$A43,근태기록!$A$5:$A$2004,"&lt;="&amp;EOMONTH($A43,0)))</f>
        <v/>
      </c>
      <c r="K43" s="33">
        <f>IF(OR($A43="",$B43=""),"",SUMIFS(근태기록!$H$5:$H$2004,근태기록!$C$5:$C$2004,$B43,근태기록!$A$5:$A$2004,"&gt;="&amp;$A43,근태기록!$A$5:$A$2004,"&lt;="&amp;EOMONTH($A43,0),근태기록!$L$5:$L$2004,"휴일근로"))</f>
        <v/>
      </c>
      <c r="L43" s="20" t="n"/>
      <c r="M43" s="20" t="n"/>
      <c r="N43" s="20" t="n"/>
      <c r="O43" s="20" t="n"/>
      <c r="P43" s="15">
        <f>IF(OR($A43="",$B43=""),"",SUM(L43:O43))</f>
        <v/>
      </c>
      <c r="Q43" s="20" t="n"/>
      <c r="R43" s="20" t="n"/>
      <c r="S43" s="20" t="n"/>
      <c r="T43" s="20" t="n"/>
      <c r="U43" s="20" t="n"/>
      <c r="V43" s="20" t="n"/>
      <c r="W43" s="15">
        <f>IF(OR($A43="",$B43=""),"",SUM(Q43:V43))</f>
        <v/>
      </c>
      <c r="X43" s="15">
        <f>IF(OR($A43="",$B43=""),"",N(P43)-N(W43))</f>
        <v/>
      </c>
    </row>
    <row r="44">
      <c r="A44" s="43" t="n"/>
      <c r="B44" s="18" t="n"/>
      <c r="C44" s="25">
        <f>IFERROR(IF($B44="","",IF(INDEX(직원명부!$B$5:$B$24,MATCH($B44,직원명부!$A$5:$A$24,0))=0,"",INDEX(직원명부!$B$5:$B$24,MATCH($B44,직원명부!$A$5:$A$24,0)))),"사번 확인")</f>
        <v/>
      </c>
      <c r="D44" s="26">
        <f>IFERROR(IF($B44="","",IF(INDEX(근로자명부!$D$5:$D$24,MATCH($B44,근로자명부!$A$5:$A$24,0))=0,"",INDEX(근로자명부!$D$5:$D$24,MATCH($B44,근로자명부!$A$5:$A$24,0)))),"")</f>
        <v/>
      </c>
      <c r="E44" s="26">
        <f>IFERROR(IF($B44="","",IF(INDEX(직원명부!$C$5:$C$24,MATCH($B44,직원명부!$A$5:$A$24,0))=0,"",INDEX(직원명부!$C$5:$C$24,MATCH($B44,직원명부!$A$5:$A$24,0)))),"")</f>
        <v/>
      </c>
      <c r="F44" s="44">
        <f>IFERROR(IF($B44="","",IF(INDEX(근로자명부!$G$5:$G$24,MATCH($B44,근로자명부!$A$5:$A$24,0))=0,"",INDEX(근로자명부!$G$5:$G$24,MATCH($B44,근로자명부!$A$5:$A$24,0)))),"")</f>
        <v/>
      </c>
      <c r="G44" s="30">
        <f>IF(OR($A44="",$B44=""),"",COUNTIFS(근태기록!$C$5:$C$2004,$B44,근태기록!$A$5:$A$2004,"&gt;="&amp;$A44,근태기록!$A$5:$A$2004,"&lt;="&amp;EOMONTH($A44,0),근태기록!$H$5:$H$2004,"&gt;0"))</f>
        <v/>
      </c>
      <c r="H44" s="33">
        <f>IF(OR($A44="",$B44=""),"",SUMIFS(근태기록!$H$5:$H$2004,근태기록!$C$5:$C$2004,$B44,근태기록!$A$5:$A$2004,"&gt;="&amp;$A44,근태기록!$A$5:$A$2004,"&lt;="&amp;EOMONTH($A44,0)))</f>
        <v/>
      </c>
      <c r="I44" s="33">
        <f>IF(OR($A44="",$B44=""),"",SUMIFS(근태기록!$I$5:$I$2004,근태기록!$C$5:$C$2004,$B44,근태기록!$A$5:$A$2004,"&gt;="&amp;$A44,근태기록!$A$5:$A$2004,"&lt;="&amp;EOMONTH($A44,0)))</f>
        <v/>
      </c>
      <c r="J44" s="33">
        <f>IF(OR($A44="",$B44=""),"",SUMIFS(근태기록!$J$5:$J$2004,근태기록!$C$5:$C$2004,$B44,근태기록!$A$5:$A$2004,"&gt;="&amp;$A44,근태기록!$A$5:$A$2004,"&lt;="&amp;EOMONTH($A44,0)))</f>
        <v/>
      </c>
      <c r="K44" s="33">
        <f>IF(OR($A44="",$B44=""),"",SUMIFS(근태기록!$H$5:$H$2004,근태기록!$C$5:$C$2004,$B44,근태기록!$A$5:$A$2004,"&gt;="&amp;$A44,근태기록!$A$5:$A$2004,"&lt;="&amp;EOMONTH($A44,0),근태기록!$L$5:$L$2004,"휴일근로"))</f>
        <v/>
      </c>
      <c r="L44" s="20" t="n"/>
      <c r="M44" s="20" t="n"/>
      <c r="N44" s="20" t="n"/>
      <c r="O44" s="20" t="n"/>
      <c r="P44" s="15">
        <f>IF(OR($A44="",$B44=""),"",SUM(L44:O44))</f>
        <v/>
      </c>
      <c r="Q44" s="20" t="n"/>
      <c r="R44" s="20" t="n"/>
      <c r="S44" s="20" t="n"/>
      <c r="T44" s="20" t="n"/>
      <c r="U44" s="20" t="n"/>
      <c r="V44" s="20" t="n"/>
      <c r="W44" s="15">
        <f>IF(OR($A44="",$B44=""),"",SUM(Q44:V44))</f>
        <v/>
      </c>
      <c r="X44" s="15">
        <f>IF(OR($A44="",$B44=""),"",N(P44)-N(W44))</f>
        <v/>
      </c>
    </row>
    <row r="45">
      <c r="A45" s="43" t="n"/>
      <c r="B45" s="18" t="n"/>
      <c r="C45" s="25">
        <f>IFERROR(IF($B45="","",IF(INDEX(직원명부!$B$5:$B$24,MATCH($B45,직원명부!$A$5:$A$24,0))=0,"",INDEX(직원명부!$B$5:$B$24,MATCH($B45,직원명부!$A$5:$A$24,0)))),"사번 확인")</f>
        <v/>
      </c>
      <c r="D45" s="26">
        <f>IFERROR(IF($B45="","",IF(INDEX(근로자명부!$D$5:$D$24,MATCH($B45,근로자명부!$A$5:$A$24,0))=0,"",INDEX(근로자명부!$D$5:$D$24,MATCH($B45,근로자명부!$A$5:$A$24,0)))),"")</f>
        <v/>
      </c>
      <c r="E45" s="26">
        <f>IFERROR(IF($B45="","",IF(INDEX(직원명부!$C$5:$C$24,MATCH($B45,직원명부!$A$5:$A$24,0))=0,"",INDEX(직원명부!$C$5:$C$24,MATCH($B45,직원명부!$A$5:$A$24,0)))),"")</f>
        <v/>
      </c>
      <c r="F45" s="44">
        <f>IFERROR(IF($B45="","",IF(INDEX(근로자명부!$G$5:$G$24,MATCH($B45,근로자명부!$A$5:$A$24,0))=0,"",INDEX(근로자명부!$G$5:$G$24,MATCH($B45,근로자명부!$A$5:$A$24,0)))),"")</f>
        <v/>
      </c>
      <c r="G45" s="30">
        <f>IF(OR($A45="",$B45=""),"",COUNTIFS(근태기록!$C$5:$C$2004,$B45,근태기록!$A$5:$A$2004,"&gt;="&amp;$A45,근태기록!$A$5:$A$2004,"&lt;="&amp;EOMONTH($A45,0),근태기록!$H$5:$H$2004,"&gt;0"))</f>
        <v/>
      </c>
      <c r="H45" s="33">
        <f>IF(OR($A45="",$B45=""),"",SUMIFS(근태기록!$H$5:$H$2004,근태기록!$C$5:$C$2004,$B45,근태기록!$A$5:$A$2004,"&gt;="&amp;$A45,근태기록!$A$5:$A$2004,"&lt;="&amp;EOMONTH($A45,0)))</f>
        <v/>
      </c>
      <c r="I45" s="33">
        <f>IF(OR($A45="",$B45=""),"",SUMIFS(근태기록!$I$5:$I$2004,근태기록!$C$5:$C$2004,$B45,근태기록!$A$5:$A$2004,"&gt;="&amp;$A45,근태기록!$A$5:$A$2004,"&lt;="&amp;EOMONTH($A45,0)))</f>
        <v/>
      </c>
      <c r="J45" s="33">
        <f>IF(OR($A45="",$B45=""),"",SUMIFS(근태기록!$J$5:$J$2004,근태기록!$C$5:$C$2004,$B45,근태기록!$A$5:$A$2004,"&gt;="&amp;$A45,근태기록!$A$5:$A$2004,"&lt;="&amp;EOMONTH($A45,0)))</f>
        <v/>
      </c>
      <c r="K45" s="33">
        <f>IF(OR($A45="",$B45=""),"",SUMIFS(근태기록!$H$5:$H$2004,근태기록!$C$5:$C$2004,$B45,근태기록!$A$5:$A$2004,"&gt;="&amp;$A45,근태기록!$A$5:$A$2004,"&lt;="&amp;EOMONTH($A45,0),근태기록!$L$5:$L$2004,"휴일근로"))</f>
        <v/>
      </c>
      <c r="L45" s="20" t="n"/>
      <c r="M45" s="20" t="n"/>
      <c r="N45" s="20" t="n"/>
      <c r="O45" s="20" t="n"/>
      <c r="P45" s="15">
        <f>IF(OR($A45="",$B45=""),"",SUM(L45:O45))</f>
        <v/>
      </c>
      <c r="Q45" s="20" t="n"/>
      <c r="R45" s="20" t="n"/>
      <c r="S45" s="20" t="n"/>
      <c r="T45" s="20" t="n"/>
      <c r="U45" s="20" t="n"/>
      <c r="V45" s="20" t="n"/>
      <c r="W45" s="15">
        <f>IF(OR($A45="",$B45=""),"",SUM(Q45:V45))</f>
        <v/>
      </c>
      <c r="X45" s="15">
        <f>IF(OR($A45="",$B45=""),"",N(P45)-N(W45))</f>
        <v/>
      </c>
    </row>
    <row r="46">
      <c r="A46" s="43" t="n"/>
      <c r="B46" s="18" t="n"/>
      <c r="C46" s="25">
        <f>IFERROR(IF($B46="","",IF(INDEX(직원명부!$B$5:$B$24,MATCH($B46,직원명부!$A$5:$A$24,0))=0,"",INDEX(직원명부!$B$5:$B$24,MATCH($B46,직원명부!$A$5:$A$24,0)))),"사번 확인")</f>
        <v/>
      </c>
      <c r="D46" s="26">
        <f>IFERROR(IF($B46="","",IF(INDEX(근로자명부!$D$5:$D$24,MATCH($B46,근로자명부!$A$5:$A$24,0))=0,"",INDEX(근로자명부!$D$5:$D$24,MATCH($B46,근로자명부!$A$5:$A$24,0)))),"")</f>
        <v/>
      </c>
      <c r="E46" s="26">
        <f>IFERROR(IF($B46="","",IF(INDEX(직원명부!$C$5:$C$24,MATCH($B46,직원명부!$A$5:$A$24,0))=0,"",INDEX(직원명부!$C$5:$C$24,MATCH($B46,직원명부!$A$5:$A$24,0)))),"")</f>
        <v/>
      </c>
      <c r="F46" s="44">
        <f>IFERROR(IF($B46="","",IF(INDEX(근로자명부!$G$5:$G$24,MATCH($B46,근로자명부!$A$5:$A$24,0))=0,"",INDEX(근로자명부!$G$5:$G$24,MATCH($B46,근로자명부!$A$5:$A$24,0)))),"")</f>
        <v/>
      </c>
      <c r="G46" s="30">
        <f>IF(OR($A46="",$B46=""),"",COUNTIFS(근태기록!$C$5:$C$2004,$B46,근태기록!$A$5:$A$2004,"&gt;="&amp;$A46,근태기록!$A$5:$A$2004,"&lt;="&amp;EOMONTH($A46,0),근태기록!$H$5:$H$2004,"&gt;0"))</f>
        <v/>
      </c>
      <c r="H46" s="33">
        <f>IF(OR($A46="",$B46=""),"",SUMIFS(근태기록!$H$5:$H$2004,근태기록!$C$5:$C$2004,$B46,근태기록!$A$5:$A$2004,"&gt;="&amp;$A46,근태기록!$A$5:$A$2004,"&lt;="&amp;EOMONTH($A46,0)))</f>
        <v/>
      </c>
      <c r="I46" s="33">
        <f>IF(OR($A46="",$B46=""),"",SUMIFS(근태기록!$I$5:$I$2004,근태기록!$C$5:$C$2004,$B46,근태기록!$A$5:$A$2004,"&gt;="&amp;$A46,근태기록!$A$5:$A$2004,"&lt;="&amp;EOMONTH($A46,0)))</f>
        <v/>
      </c>
      <c r="J46" s="33">
        <f>IF(OR($A46="",$B46=""),"",SUMIFS(근태기록!$J$5:$J$2004,근태기록!$C$5:$C$2004,$B46,근태기록!$A$5:$A$2004,"&gt;="&amp;$A46,근태기록!$A$5:$A$2004,"&lt;="&amp;EOMONTH($A46,0)))</f>
        <v/>
      </c>
      <c r="K46" s="33">
        <f>IF(OR($A46="",$B46=""),"",SUMIFS(근태기록!$H$5:$H$2004,근태기록!$C$5:$C$2004,$B46,근태기록!$A$5:$A$2004,"&gt;="&amp;$A46,근태기록!$A$5:$A$2004,"&lt;="&amp;EOMONTH($A46,0),근태기록!$L$5:$L$2004,"휴일근로"))</f>
        <v/>
      </c>
      <c r="L46" s="20" t="n"/>
      <c r="M46" s="20" t="n"/>
      <c r="N46" s="20" t="n"/>
      <c r="O46" s="20" t="n"/>
      <c r="P46" s="15">
        <f>IF(OR($A46="",$B46=""),"",SUM(L46:O46))</f>
        <v/>
      </c>
      <c r="Q46" s="20" t="n"/>
      <c r="R46" s="20" t="n"/>
      <c r="S46" s="20" t="n"/>
      <c r="T46" s="20" t="n"/>
      <c r="U46" s="20" t="n"/>
      <c r="V46" s="20" t="n"/>
      <c r="W46" s="15">
        <f>IF(OR($A46="",$B46=""),"",SUM(Q46:V46))</f>
        <v/>
      </c>
      <c r="X46" s="15">
        <f>IF(OR($A46="",$B46=""),"",N(P46)-N(W46))</f>
        <v/>
      </c>
    </row>
    <row r="47">
      <c r="A47" s="43" t="n"/>
      <c r="B47" s="18" t="n"/>
      <c r="C47" s="25">
        <f>IFERROR(IF($B47="","",IF(INDEX(직원명부!$B$5:$B$24,MATCH($B47,직원명부!$A$5:$A$24,0))=0,"",INDEX(직원명부!$B$5:$B$24,MATCH($B47,직원명부!$A$5:$A$24,0)))),"사번 확인")</f>
        <v/>
      </c>
      <c r="D47" s="26">
        <f>IFERROR(IF($B47="","",IF(INDEX(근로자명부!$D$5:$D$24,MATCH($B47,근로자명부!$A$5:$A$24,0))=0,"",INDEX(근로자명부!$D$5:$D$24,MATCH($B47,근로자명부!$A$5:$A$24,0)))),"")</f>
        <v/>
      </c>
      <c r="E47" s="26">
        <f>IFERROR(IF($B47="","",IF(INDEX(직원명부!$C$5:$C$24,MATCH($B47,직원명부!$A$5:$A$24,0))=0,"",INDEX(직원명부!$C$5:$C$24,MATCH($B47,직원명부!$A$5:$A$24,0)))),"")</f>
        <v/>
      </c>
      <c r="F47" s="44">
        <f>IFERROR(IF($B47="","",IF(INDEX(근로자명부!$G$5:$G$24,MATCH($B47,근로자명부!$A$5:$A$24,0))=0,"",INDEX(근로자명부!$G$5:$G$24,MATCH($B47,근로자명부!$A$5:$A$24,0)))),"")</f>
        <v/>
      </c>
      <c r="G47" s="30">
        <f>IF(OR($A47="",$B47=""),"",COUNTIFS(근태기록!$C$5:$C$2004,$B47,근태기록!$A$5:$A$2004,"&gt;="&amp;$A47,근태기록!$A$5:$A$2004,"&lt;="&amp;EOMONTH($A47,0),근태기록!$H$5:$H$2004,"&gt;0"))</f>
        <v/>
      </c>
      <c r="H47" s="33">
        <f>IF(OR($A47="",$B47=""),"",SUMIFS(근태기록!$H$5:$H$2004,근태기록!$C$5:$C$2004,$B47,근태기록!$A$5:$A$2004,"&gt;="&amp;$A47,근태기록!$A$5:$A$2004,"&lt;="&amp;EOMONTH($A47,0)))</f>
        <v/>
      </c>
      <c r="I47" s="33">
        <f>IF(OR($A47="",$B47=""),"",SUMIFS(근태기록!$I$5:$I$2004,근태기록!$C$5:$C$2004,$B47,근태기록!$A$5:$A$2004,"&gt;="&amp;$A47,근태기록!$A$5:$A$2004,"&lt;="&amp;EOMONTH($A47,0)))</f>
        <v/>
      </c>
      <c r="J47" s="33">
        <f>IF(OR($A47="",$B47=""),"",SUMIFS(근태기록!$J$5:$J$2004,근태기록!$C$5:$C$2004,$B47,근태기록!$A$5:$A$2004,"&gt;="&amp;$A47,근태기록!$A$5:$A$2004,"&lt;="&amp;EOMONTH($A47,0)))</f>
        <v/>
      </c>
      <c r="K47" s="33">
        <f>IF(OR($A47="",$B47=""),"",SUMIFS(근태기록!$H$5:$H$2004,근태기록!$C$5:$C$2004,$B47,근태기록!$A$5:$A$2004,"&gt;="&amp;$A47,근태기록!$A$5:$A$2004,"&lt;="&amp;EOMONTH($A47,0),근태기록!$L$5:$L$2004,"휴일근로"))</f>
        <v/>
      </c>
      <c r="L47" s="20" t="n"/>
      <c r="M47" s="20" t="n"/>
      <c r="N47" s="20" t="n"/>
      <c r="O47" s="20" t="n"/>
      <c r="P47" s="15">
        <f>IF(OR($A47="",$B47=""),"",SUM(L47:O47))</f>
        <v/>
      </c>
      <c r="Q47" s="20" t="n"/>
      <c r="R47" s="20" t="n"/>
      <c r="S47" s="20" t="n"/>
      <c r="T47" s="20" t="n"/>
      <c r="U47" s="20" t="n"/>
      <c r="V47" s="20" t="n"/>
      <c r="W47" s="15">
        <f>IF(OR($A47="",$B47=""),"",SUM(Q47:V47))</f>
        <v/>
      </c>
      <c r="X47" s="15">
        <f>IF(OR($A47="",$B47=""),"",N(P47)-N(W47))</f>
        <v/>
      </c>
    </row>
    <row r="48">
      <c r="A48" s="43" t="n"/>
      <c r="B48" s="18" t="n"/>
      <c r="C48" s="25">
        <f>IFERROR(IF($B48="","",IF(INDEX(직원명부!$B$5:$B$24,MATCH($B48,직원명부!$A$5:$A$24,0))=0,"",INDEX(직원명부!$B$5:$B$24,MATCH($B48,직원명부!$A$5:$A$24,0)))),"사번 확인")</f>
        <v/>
      </c>
      <c r="D48" s="26">
        <f>IFERROR(IF($B48="","",IF(INDEX(근로자명부!$D$5:$D$24,MATCH($B48,근로자명부!$A$5:$A$24,0))=0,"",INDEX(근로자명부!$D$5:$D$24,MATCH($B48,근로자명부!$A$5:$A$24,0)))),"")</f>
        <v/>
      </c>
      <c r="E48" s="26">
        <f>IFERROR(IF($B48="","",IF(INDEX(직원명부!$C$5:$C$24,MATCH($B48,직원명부!$A$5:$A$24,0))=0,"",INDEX(직원명부!$C$5:$C$24,MATCH($B48,직원명부!$A$5:$A$24,0)))),"")</f>
        <v/>
      </c>
      <c r="F48" s="44">
        <f>IFERROR(IF($B48="","",IF(INDEX(근로자명부!$G$5:$G$24,MATCH($B48,근로자명부!$A$5:$A$24,0))=0,"",INDEX(근로자명부!$G$5:$G$24,MATCH($B48,근로자명부!$A$5:$A$24,0)))),"")</f>
        <v/>
      </c>
      <c r="G48" s="30">
        <f>IF(OR($A48="",$B48=""),"",COUNTIFS(근태기록!$C$5:$C$2004,$B48,근태기록!$A$5:$A$2004,"&gt;="&amp;$A48,근태기록!$A$5:$A$2004,"&lt;="&amp;EOMONTH($A48,0),근태기록!$H$5:$H$2004,"&gt;0"))</f>
        <v/>
      </c>
      <c r="H48" s="33">
        <f>IF(OR($A48="",$B48=""),"",SUMIFS(근태기록!$H$5:$H$2004,근태기록!$C$5:$C$2004,$B48,근태기록!$A$5:$A$2004,"&gt;="&amp;$A48,근태기록!$A$5:$A$2004,"&lt;="&amp;EOMONTH($A48,0)))</f>
        <v/>
      </c>
      <c r="I48" s="33">
        <f>IF(OR($A48="",$B48=""),"",SUMIFS(근태기록!$I$5:$I$2004,근태기록!$C$5:$C$2004,$B48,근태기록!$A$5:$A$2004,"&gt;="&amp;$A48,근태기록!$A$5:$A$2004,"&lt;="&amp;EOMONTH($A48,0)))</f>
        <v/>
      </c>
      <c r="J48" s="33">
        <f>IF(OR($A48="",$B48=""),"",SUMIFS(근태기록!$J$5:$J$2004,근태기록!$C$5:$C$2004,$B48,근태기록!$A$5:$A$2004,"&gt;="&amp;$A48,근태기록!$A$5:$A$2004,"&lt;="&amp;EOMONTH($A48,0)))</f>
        <v/>
      </c>
      <c r="K48" s="33">
        <f>IF(OR($A48="",$B48=""),"",SUMIFS(근태기록!$H$5:$H$2004,근태기록!$C$5:$C$2004,$B48,근태기록!$A$5:$A$2004,"&gt;="&amp;$A48,근태기록!$A$5:$A$2004,"&lt;="&amp;EOMONTH($A48,0),근태기록!$L$5:$L$2004,"휴일근로"))</f>
        <v/>
      </c>
      <c r="L48" s="20" t="n"/>
      <c r="M48" s="20" t="n"/>
      <c r="N48" s="20" t="n"/>
      <c r="O48" s="20" t="n"/>
      <c r="P48" s="15">
        <f>IF(OR($A48="",$B48=""),"",SUM(L48:O48))</f>
        <v/>
      </c>
      <c r="Q48" s="20" t="n"/>
      <c r="R48" s="20" t="n"/>
      <c r="S48" s="20" t="n"/>
      <c r="T48" s="20" t="n"/>
      <c r="U48" s="20" t="n"/>
      <c r="V48" s="20" t="n"/>
      <c r="W48" s="15">
        <f>IF(OR($A48="",$B48=""),"",SUM(Q48:V48))</f>
        <v/>
      </c>
      <c r="X48" s="15">
        <f>IF(OR($A48="",$B48=""),"",N(P48)-N(W48))</f>
        <v/>
      </c>
    </row>
    <row r="49">
      <c r="A49" s="43" t="n"/>
      <c r="B49" s="18" t="n"/>
      <c r="C49" s="25">
        <f>IFERROR(IF($B49="","",IF(INDEX(직원명부!$B$5:$B$24,MATCH($B49,직원명부!$A$5:$A$24,0))=0,"",INDEX(직원명부!$B$5:$B$24,MATCH($B49,직원명부!$A$5:$A$24,0)))),"사번 확인")</f>
        <v/>
      </c>
      <c r="D49" s="26">
        <f>IFERROR(IF($B49="","",IF(INDEX(근로자명부!$D$5:$D$24,MATCH($B49,근로자명부!$A$5:$A$24,0))=0,"",INDEX(근로자명부!$D$5:$D$24,MATCH($B49,근로자명부!$A$5:$A$24,0)))),"")</f>
        <v/>
      </c>
      <c r="E49" s="26">
        <f>IFERROR(IF($B49="","",IF(INDEX(직원명부!$C$5:$C$24,MATCH($B49,직원명부!$A$5:$A$24,0))=0,"",INDEX(직원명부!$C$5:$C$24,MATCH($B49,직원명부!$A$5:$A$24,0)))),"")</f>
        <v/>
      </c>
      <c r="F49" s="44">
        <f>IFERROR(IF($B49="","",IF(INDEX(근로자명부!$G$5:$G$24,MATCH($B49,근로자명부!$A$5:$A$24,0))=0,"",INDEX(근로자명부!$G$5:$G$24,MATCH($B49,근로자명부!$A$5:$A$24,0)))),"")</f>
        <v/>
      </c>
      <c r="G49" s="30">
        <f>IF(OR($A49="",$B49=""),"",COUNTIFS(근태기록!$C$5:$C$2004,$B49,근태기록!$A$5:$A$2004,"&gt;="&amp;$A49,근태기록!$A$5:$A$2004,"&lt;="&amp;EOMONTH($A49,0),근태기록!$H$5:$H$2004,"&gt;0"))</f>
        <v/>
      </c>
      <c r="H49" s="33">
        <f>IF(OR($A49="",$B49=""),"",SUMIFS(근태기록!$H$5:$H$2004,근태기록!$C$5:$C$2004,$B49,근태기록!$A$5:$A$2004,"&gt;="&amp;$A49,근태기록!$A$5:$A$2004,"&lt;="&amp;EOMONTH($A49,0)))</f>
        <v/>
      </c>
      <c r="I49" s="33">
        <f>IF(OR($A49="",$B49=""),"",SUMIFS(근태기록!$I$5:$I$2004,근태기록!$C$5:$C$2004,$B49,근태기록!$A$5:$A$2004,"&gt;="&amp;$A49,근태기록!$A$5:$A$2004,"&lt;="&amp;EOMONTH($A49,0)))</f>
        <v/>
      </c>
      <c r="J49" s="33">
        <f>IF(OR($A49="",$B49=""),"",SUMIFS(근태기록!$J$5:$J$2004,근태기록!$C$5:$C$2004,$B49,근태기록!$A$5:$A$2004,"&gt;="&amp;$A49,근태기록!$A$5:$A$2004,"&lt;="&amp;EOMONTH($A49,0)))</f>
        <v/>
      </c>
      <c r="K49" s="33">
        <f>IF(OR($A49="",$B49=""),"",SUMIFS(근태기록!$H$5:$H$2004,근태기록!$C$5:$C$2004,$B49,근태기록!$A$5:$A$2004,"&gt;="&amp;$A49,근태기록!$A$5:$A$2004,"&lt;="&amp;EOMONTH($A49,0),근태기록!$L$5:$L$2004,"휴일근로"))</f>
        <v/>
      </c>
      <c r="L49" s="20" t="n"/>
      <c r="M49" s="20" t="n"/>
      <c r="N49" s="20" t="n"/>
      <c r="O49" s="20" t="n"/>
      <c r="P49" s="15">
        <f>IF(OR($A49="",$B49=""),"",SUM(L49:O49))</f>
        <v/>
      </c>
      <c r="Q49" s="20" t="n"/>
      <c r="R49" s="20" t="n"/>
      <c r="S49" s="20" t="n"/>
      <c r="T49" s="20" t="n"/>
      <c r="U49" s="20" t="n"/>
      <c r="V49" s="20" t="n"/>
      <c r="W49" s="15">
        <f>IF(OR($A49="",$B49=""),"",SUM(Q49:V49))</f>
        <v/>
      </c>
      <c r="X49" s="15">
        <f>IF(OR($A49="",$B49=""),"",N(P49)-N(W49))</f>
        <v/>
      </c>
    </row>
    <row r="50">
      <c r="A50" s="43" t="n"/>
      <c r="B50" s="18" t="n"/>
      <c r="C50" s="25">
        <f>IFERROR(IF($B50="","",IF(INDEX(직원명부!$B$5:$B$24,MATCH($B50,직원명부!$A$5:$A$24,0))=0,"",INDEX(직원명부!$B$5:$B$24,MATCH($B50,직원명부!$A$5:$A$24,0)))),"사번 확인")</f>
        <v/>
      </c>
      <c r="D50" s="26">
        <f>IFERROR(IF($B50="","",IF(INDEX(근로자명부!$D$5:$D$24,MATCH($B50,근로자명부!$A$5:$A$24,0))=0,"",INDEX(근로자명부!$D$5:$D$24,MATCH($B50,근로자명부!$A$5:$A$24,0)))),"")</f>
        <v/>
      </c>
      <c r="E50" s="26">
        <f>IFERROR(IF($B50="","",IF(INDEX(직원명부!$C$5:$C$24,MATCH($B50,직원명부!$A$5:$A$24,0))=0,"",INDEX(직원명부!$C$5:$C$24,MATCH($B50,직원명부!$A$5:$A$24,0)))),"")</f>
        <v/>
      </c>
      <c r="F50" s="44">
        <f>IFERROR(IF($B50="","",IF(INDEX(근로자명부!$G$5:$G$24,MATCH($B50,근로자명부!$A$5:$A$24,0))=0,"",INDEX(근로자명부!$G$5:$G$24,MATCH($B50,근로자명부!$A$5:$A$24,0)))),"")</f>
        <v/>
      </c>
      <c r="G50" s="30">
        <f>IF(OR($A50="",$B50=""),"",COUNTIFS(근태기록!$C$5:$C$2004,$B50,근태기록!$A$5:$A$2004,"&gt;="&amp;$A50,근태기록!$A$5:$A$2004,"&lt;="&amp;EOMONTH($A50,0),근태기록!$H$5:$H$2004,"&gt;0"))</f>
        <v/>
      </c>
      <c r="H50" s="33">
        <f>IF(OR($A50="",$B50=""),"",SUMIFS(근태기록!$H$5:$H$2004,근태기록!$C$5:$C$2004,$B50,근태기록!$A$5:$A$2004,"&gt;="&amp;$A50,근태기록!$A$5:$A$2004,"&lt;="&amp;EOMONTH($A50,0)))</f>
        <v/>
      </c>
      <c r="I50" s="33">
        <f>IF(OR($A50="",$B50=""),"",SUMIFS(근태기록!$I$5:$I$2004,근태기록!$C$5:$C$2004,$B50,근태기록!$A$5:$A$2004,"&gt;="&amp;$A50,근태기록!$A$5:$A$2004,"&lt;="&amp;EOMONTH($A50,0)))</f>
        <v/>
      </c>
      <c r="J50" s="33">
        <f>IF(OR($A50="",$B50=""),"",SUMIFS(근태기록!$J$5:$J$2004,근태기록!$C$5:$C$2004,$B50,근태기록!$A$5:$A$2004,"&gt;="&amp;$A50,근태기록!$A$5:$A$2004,"&lt;="&amp;EOMONTH($A50,0)))</f>
        <v/>
      </c>
      <c r="K50" s="33">
        <f>IF(OR($A50="",$B50=""),"",SUMIFS(근태기록!$H$5:$H$2004,근태기록!$C$5:$C$2004,$B50,근태기록!$A$5:$A$2004,"&gt;="&amp;$A50,근태기록!$A$5:$A$2004,"&lt;="&amp;EOMONTH($A50,0),근태기록!$L$5:$L$2004,"휴일근로"))</f>
        <v/>
      </c>
      <c r="L50" s="20" t="n"/>
      <c r="M50" s="20" t="n"/>
      <c r="N50" s="20" t="n"/>
      <c r="O50" s="20" t="n"/>
      <c r="P50" s="15">
        <f>IF(OR($A50="",$B50=""),"",SUM(L50:O50))</f>
        <v/>
      </c>
      <c r="Q50" s="20" t="n"/>
      <c r="R50" s="20" t="n"/>
      <c r="S50" s="20" t="n"/>
      <c r="T50" s="20" t="n"/>
      <c r="U50" s="20" t="n"/>
      <c r="V50" s="20" t="n"/>
      <c r="W50" s="15">
        <f>IF(OR($A50="",$B50=""),"",SUM(Q50:V50))</f>
        <v/>
      </c>
      <c r="X50" s="15">
        <f>IF(OR($A50="",$B50=""),"",N(P50)-N(W50))</f>
        <v/>
      </c>
    </row>
    <row r="51">
      <c r="A51" s="43" t="n"/>
      <c r="B51" s="18" t="n"/>
      <c r="C51" s="25">
        <f>IFERROR(IF($B51="","",IF(INDEX(직원명부!$B$5:$B$24,MATCH($B51,직원명부!$A$5:$A$24,0))=0,"",INDEX(직원명부!$B$5:$B$24,MATCH($B51,직원명부!$A$5:$A$24,0)))),"사번 확인")</f>
        <v/>
      </c>
      <c r="D51" s="26">
        <f>IFERROR(IF($B51="","",IF(INDEX(근로자명부!$D$5:$D$24,MATCH($B51,근로자명부!$A$5:$A$24,0))=0,"",INDEX(근로자명부!$D$5:$D$24,MATCH($B51,근로자명부!$A$5:$A$24,0)))),"")</f>
        <v/>
      </c>
      <c r="E51" s="26">
        <f>IFERROR(IF($B51="","",IF(INDEX(직원명부!$C$5:$C$24,MATCH($B51,직원명부!$A$5:$A$24,0))=0,"",INDEX(직원명부!$C$5:$C$24,MATCH($B51,직원명부!$A$5:$A$24,0)))),"")</f>
        <v/>
      </c>
      <c r="F51" s="44">
        <f>IFERROR(IF($B51="","",IF(INDEX(근로자명부!$G$5:$G$24,MATCH($B51,근로자명부!$A$5:$A$24,0))=0,"",INDEX(근로자명부!$G$5:$G$24,MATCH($B51,근로자명부!$A$5:$A$24,0)))),"")</f>
        <v/>
      </c>
      <c r="G51" s="30">
        <f>IF(OR($A51="",$B51=""),"",COUNTIFS(근태기록!$C$5:$C$2004,$B51,근태기록!$A$5:$A$2004,"&gt;="&amp;$A51,근태기록!$A$5:$A$2004,"&lt;="&amp;EOMONTH($A51,0),근태기록!$H$5:$H$2004,"&gt;0"))</f>
        <v/>
      </c>
      <c r="H51" s="33">
        <f>IF(OR($A51="",$B51=""),"",SUMIFS(근태기록!$H$5:$H$2004,근태기록!$C$5:$C$2004,$B51,근태기록!$A$5:$A$2004,"&gt;="&amp;$A51,근태기록!$A$5:$A$2004,"&lt;="&amp;EOMONTH($A51,0)))</f>
        <v/>
      </c>
      <c r="I51" s="33">
        <f>IF(OR($A51="",$B51=""),"",SUMIFS(근태기록!$I$5:$I$2004,근태기록!$C$5:$C$2004,$B51,근태기록!$A$5:$A$2004,"&gt;="&amp;$A51,근태기록!$A$5:$A$2004,"&lt;="&amp;EOMONTH($A51,0)))</f>
        <v/>
      </c>
      <c r="J51" s="33">
        <f>IF(OR($A51="",$B51=""),"",SUMIFS(근태기록!$J$5:$J$2004,근태기록!$C$5:$C$2004,$B51,근태기록!$A$5:$A$2004,"&gt;="&amp;$A51,근태기록!$A$5:$A$2004,"&lt;="&amp;EOMONTH($A51,0)))</f>
        <v/>
      </c>
      <c r="K51" s="33">
        <f>IF(OR($A51="",$B51=""),"",SUMIFS(근태기록!$H$5:$H$2004,근태기록!$C$5:$C$2004,$B51,근태기록!$A$5:$A$2004,"&gt;="&amp;$A51,근태기록!$A$5:$A$2004,"&lt;="&amp;EOMONTH($A51,0),근태기록!$L$5:$L$2004,"휴일근로"))</f>
        <v/>
      </c>
      <c r="L51" s="20" t="n"/>
      <c r="M51" s="20" t="n"/>
      <c r="N51" s="20" t="n"/>
      <c r="O51" s="20" t="n"/>
      <c r="P51" s="15">
        <f>IF(OR($A51="",$B51=""),"",SUM(L51:O51))</f>
        <v/>
      </c>
      <c r="Q51" s="20" t="n"/>
      <c r="R51" s="20" t="n"/>
      <c r="S51" s="20" t="n"/>
      <c r="T51" s="20" t="n"/>
      <c r="U51" s="20" t="n"/>
      <c r="V51" s="20" t="n"/>
      <c r="W51" s="15">
        <f>IF(OR($A51="",$B51=""),"",SUM(Q51:V51))</f>
        <v/>
      </c>
      <c r="X51" s="15">
        <f>IF(OR($A51="",$B51=""),"",N(P51)-N(W51))</f>
        <v/>
      </c>
    </row>
    <row r="52">
      <c r="A52" s="43" t="n"/>
      <c r="B52" s="18" t="n"/>
      <c r="C52" s="25">
        <f>IFERROR(IF($B52="","",IF(INDEX(직원명부!$B$5:$B$24,MATCH($B52,직원명부!$A$5:$A$24,0))=0,"",INDEX(직원명부!$B$5:$B$24,MATCH($B52,직원명부!$A$5:$A$24,0)))),"사번 확인")</f>
        <v/>
      </c>
      <c r="D52" s="26">
        <f>IFERROR(IF($B52="","",IF(INDEX(근로자명부!$D$5:$D$24,MATCH($B52,근로자명부!$A$5:$A$24,0))=0,"",INDEX(근로자명부!$D$5:$D$24,MATCH($B52,근로자명부!$A$5:$A$24,0)))),"")</f>
        <v/>
      </c>
      <c r="E52" s="26">
        <f>IFERROR(IF($B52="","",IF(INDEX(직원명부!$C$5:$C$24,MATCH($B52,직원명부!$A$5:$A$24,0))=0,"",INDEX(직원명부!$C$5:$C$24,MATCH($B52,직원명부!$A$5:$A$24,0)))),"")</f>
        <v/>
      </c>
      <c r="F52" s="44">
        <f>IFERROR(IF($B52="","",IF(INDEX(근로자명부!$G$5:$G$24,MATCH($B52,근로자명부!$A$5:$A$24,0))=0,"",INDEX(근로자명부!$G$5:$G$24,MATCH($B52,근로자명부!$A$5:$A$24,0)))),"")</f>
        <v/>
      </c>
      <c r="G52" s="30">
        <f>IF(OR($A52="",$B52=""),"",COUNTIFS(근태기록!$C$5:$C$2004,$B52,근태기록!$A$5:$A$2004,"&gt;="&amp;$A52,근태기록!$A$5:$A$2004,"&lt;="&amp;EOMONTH($A52,0),근태기록!$H$5:$H$2004,"&gt;0"))</f>
        <v/>
      </c>
      <c r="H52" s="33">
        <f>IF(OR($A52="",$B52=""),"",SUMIFS(근태기록!$H$5:$H$2004,근태기록!$C$5:$C$2004,$B52,근태기록!$A$5:$A$2004,"&gt;="&amp;$A52,근태기록!$A$5:$A$2004,"&lt;="&amp;EOMONTH($A52,0)))</f>
        <v/>
      </c>
      <c r="I52" s="33">
        <f>IF(OR($A52="",$B52=""),"",SUMIFS(근태기록!$I$5:$I$2004,근태기록!$C$5:$C$2004,$B52,근태기록!$A$5:$A$2004,"&gt;="&amp;$A52,근태기록!$A$5:$A$2004,"&lt;="&amp;EOMONTH($A52,0)))</f>
        <v/>
      </c>
      <c r="J52" s="33">
        <f>IF(OR($A52="",$B52=""),"",SUMIFS(근태기록!$J$5:$J$2004,근태기록!$C$5:$C$2004,$B52,근태기록!$A$5:$A$2004,"&gt;="&amp;$A52,근태기록!$A$5:$A$2004,"&lt;="&amp;EOMONTH($A52,0)))</f>
        <v/>
      </c>
      <c r="K52" s="33">
        <f>IF(OR($A52="",$B52=""),"",SUMIFS(근태기록!$H$5:$H$2004,근태기록!$C$5:$C$2004,$B52,근태기록!$A$5:$A$2004,"&gt;="&amp;$A52,근태기록!$A$5:$A$2004,"&lt;="&amp;EOMONTH($A52,0),근태기록!$L$5:$L$2004,"휴일근로"))</f>
        <v/>
      </c>
      <c r="L52" s="20" t="n"/>
      <c r="M52" s="20" t="n"/>
      <c r="N52" s="20" t="n"/>
      <c r="O52" s="20" t="n"/>
      <c r="P52" s="15">
        <f>IF(OR($A52="",$B52=""),"",SUM(L52:O52))</f>
        <v/>
      </c>
      <c r="Q52" s="20" t="n"/>
      <c r="R52" s="20" t="n"/>
      <c r="S52" s="20" t="n"/>
      <c r="T52" s="20" t="n"/>
      <c r="U52" s="20" t="n"/>
      <c r="V52" s="20" t="n"/>
      <c r="W52" s="15">
        <f>IF(OR($A52="",$B52=""),"",SUM(Q52:V52))</f>
        <v/>
      </c>
      <c r="X52" s="15">
        <f>IF(OR($A52="",$B52=""),"",N(P52)-N(W52))</f>
        <v/>
      </c>
    </row>
    <row r="53">
      <c r="A53" s="43" t="n"/>
      <c r="B53" s="18" t="n"/>
      <c r="C53" s="25">
        <f>IFERROR(IF($B53="","",IF(INDEX(직원명부!$B$5:$B$24,MATCH($B53,직원명부!$A$5:$A$24,0))=0,"",INDEX(직원명부!$B$5:$B$24,MATCH($B53,직원명부!$A$5:$A$24,0)))),"사번 확인")</f>
        <v/>
      </c>
      <c r="D53" s="26">
        <f>IFERROR(IF($B53="","",IF(INDEX(근로자명부!$D$5:$D$24,MATCH($B53,근로자명부!$A$5:$A$24,0))=0,"",INDEX(근로자명부!$D$5:$D$24,MATCH($B53,근로자명부!$A$5:$A$24,0)))),"")</f>
        <v/>
      </c>
      <c r="E53" s="26">
        <f>IFERROR(IF($B53="","",IF(INDEX(직원명부!$C$5:$C$24,MATCH($B53,직원명부!$A$5:$A$24,0))=0,"",INDEX(직원명부!$C$5:$C$24,MATCH($B53,직원명부!$A$5:$A$24,0)))),"")</f>
        <v/>
      </c>
      <c r="F53" s="44">
        <f>IFERROR(IF($B53="","",IF(INDEX(근로자명부!$G$5:$G$24,MATCH($B53,근로자명부!$A$5:$A$24,0))=0,"",INDEX(근로자명부!$G$5:$G$24,MATCH($B53,근로자명부!$A$5:$A$24,0)))),"")</f>
        <v/>
      </c>
      <c r="G53" s="30">
        <f>IF(OR($A53="",$B53=""),"",COUNTIFS(근태기록!$C$5:$C$2004,$B53,근태기록!$A$5:$A$2004,"&gt;="&amp;$A53,근태기록!$A$5:$A$2004,"&lt;="&amp;EOMONTH($A53,0),근태기록!$H$5:$H$2004,"&gt;0"))</f>
        <v/>
      </c>
      <c r="H53" s="33">
        <f>IF(OR($A53="",$B53=""),"",SUMIFS(근태기록!$H$5:$H$2004,근태기록!$C$5:$C$2004,$B53,근태기록!$A$5:$A$2004,"&gt;="&amp;$A53,근태기록!$A$5:$A$2004,"&lt;="&amp;EOMONTH($A53,0)))</f>
        <v/>
      </c>
      <c r="I53" s="33">
        <f>IF(OR($A53="",$B53=""),"",SUMIFS(근태기록!$I$5:$I$2004,근태기록!$C$5:$C$2004,$B53,근태기록!$A$5:$A$2004,"&gt;="&amp;$A53,근태기록!$A$5:$A$2004,"&lt;="&amp;EOMONTH($A53,0)))</f>
        <v/>
      </c>
      <c r="J53" s="33">
        <f>IF(OR($A53="",$B53=""),"",SUMIFS(근태기록!$J$5:$J$2004,근태기록!$C$5:$C$2004,$B53,근태기록!$A$5:$A$2004,"&gt;="&amp;$A53,근태기록!$A$5:$A$2004,"&lt;="&amp;EOMONTH($A53,0)))</f>
        <v/>
      </c>
      <c r="K53" s="33">
        <f>IF(OR($A53="",$B53=""),"",SUMIFS(근태기록!$H$5:$H$2004,근태기록!$C$5:$C$2004,$B53,근태기록!$A$5:$A$2004,"&gt;="&amp;$A53,근태기록!$A$5:$A$2004,"&lt;="&amp;EOMONTH($A53,0),근태기록!$L$5:$L$2004,"휴일근로"))</f>
        <v/>
      </c>
      <c r="L53" s="20" t="n"/>
      <c r="M53" s="20" t="n"/>
      <c r="N53" s="20" t="n"/>
      <c r="O53" s="20" t="n"/>
      <c r="P53" s="15">
        <f>IF(OR($A53="",$B53=""),"",SUM(L53:O53))</f>
        <v/>
      </c>
      <c r="Q53" s="20" t="n"/>
      <c r="R53" s="20" t="n"/>
      <c r="S53" s="20" t="n"/>
      <c r="T53" s="20" t="n"/>
      <c r="U53" s="20" t="n"/>
      <c r="V53" s="20" t="n"/>
      <c r="W53" s="15">
        <f>IF(OR($A53="",$B53=""),"",SUM(Q53:V53))</f>
        <v/>
      </c>
      <c r="X53" s="15">
        <f>IF(OR($A53="",$B53=""),"",N(P53)-N(W53))</f>
        <v/>
      </c>
    </row>
    <row r="54">
      <c r="A54" s="43" t="n"/>
      <c r="B54" s="18" t="n"/>
      <c r="C54" s="25">
        <f>IFERROR(IF($B54="","",IF(INDEX(직원명부!$B$5:$B$24,MATCH($B54,직원명부!$A$5:$A$24,0))=0,"",INDEX(직원명부!$B$5:$B$24,MATCH($B54,직원명부!$A$5:$A$24,0)))),"사번 확인")</f>
        <v/>
      </c>
      <c r="D54" s="26">
        <f>IFERROR(IF($B54="","",IF(INDEX(근로자명부!$D$5:$D$24,MATCH($B54,근로자명부!$A$5:$A$24,0))=0,"",INDEX(근로자명부!$D$5:$D$24,MATCH($B54,근로자명부!$A$5:$A$24,0)))),"")</f>
        <v/>
      </c>
      <c r="E54" s="26">
        <f>IFERROR(IF($B54="","",IF(INDEX(직원명부!$C$5:$C$24,MATCH($B54,직원명부!$A$5:$A$24,0))=0,"",INDEX(직원명부!$C$5:$C$24,MATCH($B54,직원명부!$A$5:$A$24,0)))),"")</f>
        <v/>
      </c>
      <c r="F54" s="44">
        <f>IFERROR(IF($B54="","",IF(INDEX(근로자명부!$G$5:$G$24,MATCH($B54,근로자명부!$A$5:$A$24,0))=0,"",INDEX(근로자명부!$G$5:$G$24,MATCH($B54,근로자명부!$A$5:$A$24,0)))),"")</f>
        <v/>
      </c>
      <c r="G54" s="30">
        <f>IF(OR($A54="",$B54=""),"",COUNTIFS(근태기록!$C$5:$C$2004,$B54,근태기록!$A$5:$A$2004,"&gt;="&amp;$A54,근태기록!$A$5:$A$2004,"&lt;="&amp;EOMONTH($A54,0),근태기록!$H$5:$H$2004,"&gt;0"))</f>
        <v/>
      </c>
      <c r="H54" s="33">
        <f>IF(OR($A54="",$B54=""),"",SUMIFS(근태기록!$H$5:$H$2004,근태기록!$C$5:$C$2004,$B54,근태기록!$A$5:$A$2004,"&gt;="&amp;$A54,근태기록!$A$5:$A$2004,"&lt;="&amp;EOMONTH($A54,0)))</f>
        <v/>
      </c>
      <c r="I54" s="33">
        <f>IF(OR($A54="",$B54=""),"",SUMIFS(근태기록!$I$5:$I$2004,근태기록!$C$5:$C$2004,$B54,근태기록!$A$5:$A$2004,"&gt;="&amp;$A54,근태기록!$A$5:$A$2004,"&lt;="&amp;EOMONTH($A54,0)))</f>
        <v/>
      </c>
      <c r="J54" s="33">
        <f>IF(OR($A54="",$B54=""),"",SUMIFS(근태기록!$J$5:$J$2004,근태기록!$C$5:$C$2004,$B54,근태기록!$A$5:$A$2004,"&gt;="&amp;$A54,근태기록!$A$5:$A$2004,"&lt;="&amp;EOMONTH($A54,0)))</f>
        <v/>
      </c>
      <c r="K54" s="33">
        <f>IF(OR($A54="",$B54=""),"",SUMIFS(근태기록!$H$5:$H$2004,근태기록!$C$5:$C$2004,$B54,근태기록!$A$5:$A$2004,"&gt;="&amp;$A54,근태기록!$A$5:$A$2004,"&lt;="&amp;EOMONTH($A54,0),근태기록!$L$5:$L$2004,"휴일근로"))</f>
        <v/>
      </c>
      <c r="L54" s="20" t="n"/>
      <c r="M54" s="20" t="n"/>
      <c r="N54" s="20" t="n"/>
      <c r="O54" s="20" t="n"/>
      <c r="P54" s="15">
        <f>IF(OR($A54="",$B54=""),"",SUM(L54:O54))</f>
        <v/>
      </c>
      <c r="Q54" s="20" t="n"/>
      <c r="R54" s="20" t="n"/>
      <c r="S54" s="20" t="n"/>
      <c r="T54" s="20" t="n"/>
      <c r="U54" s="20" t="n"/>
      <c r="V54" s="20" t="n"/>
      <c r="W54" s="15">
        <f>IF(OR($A54="",$B54=""),"",SUM(Q54:V54))</f>
        <v/>
      </c>
      <c r="X54" s="15">
        <f>IF(OR($A54="",$B54=""),"",N(P54)-N(W54))</f>
        <v/>
      </c>
    </row>
    <row r="55">
      <c r="A55" s="43" t="n"/>
      <c r="B55" s="18" t="n"/>
      <c r="C55" s="25">
        <f>IFERROR(IF($B55="","",IF(INDEX(직원명부!$B$5:$B$24,MATCH($B55,직원명부!$A$5:$A$24,0))=0,"",INDEX(직원명부!$B$5:$B$24,MATCH($B55,직원명부!$A$5:$A$24,0)))),"사번 확인")</f>
        <v/>
      </c>
      <c r="D55" s="26">
        <f>IFERROR(IF($B55="","",IF(INDEX(근로자명부!$D$5:$D$24,MATCH($B55,근로자명부!$A$5:$A$24,0))=0,"",INDEX(근로자명부!$D$5:$D$24,MATCH($B55,근로자명부!$A$5:$A$24,0)))),"")</f>
        <v/>
      </c>
      <c r="E55" s="26">
        <f>IFERROR(IF($B55="","",IF(INDEX(직원명부!$C$5:$C$24,MATCH($B55,직원명부!$A$5:$A$24,0))=0,"",INDEX(직원명부!$C$5:$C$24,MATCH($B55,직원명부!$A$5:$A$24,0)))),"")</f>
        <v/>
      </c>
      <c r="F55" s="44">
        <f>IFERROR(IF($B55="","",IF(INDEX(근로자명부!$G$5:$G$24,MATCH($B55,근로자명부!$A$5:$A$24,0))=0,"",INDEX(근로자명부!$G$5:$G$24,MATCH($B55,근로자명부!$A$5:$A$24,0)))),"")</f>
        <v/>
      </c>
      <c r="G55" s="30">
        <f>IF(OR($A55="",$B55=""),"",COUNTIFS(근태기록!$C$5:$C$2004,$B55,근태기록!$A$5:$A$2004,"&gt;="&amp;$A55,근태기록!$A$5:$A$2004,"&lt;="&amp;EOMONTH($A55,0),근태기록!$H$5:$H$2004,"&gt;0"))</f>
        <v/>
      </c>
      <c r="H55" s="33">
        <f>IF(OR($A55="",$B55=""),"",SUMIFS(근태기록!$H$5:$H$2004,근태기록!$C$5:$C$2004,$B55,근태기록!$A$5:$A$2004,"&gt;="&amp;$A55,근태기록!$A$5:$A$2004,"&lt;="&amp;EOMONTH($A55,0)))</f>
        <v/>
      </c>
      <c r="I55" s="33">
        <f>IF(OR($A55="",$B55=""),"",SUMIFS(근태기록!$I$5:$I$2004,근태기록!$C$5:$C$2004,$B55,근태기록!$A$5:$A$2004,"&gt;="&amp;$A55,근태기록!$A$5:$A$2004,"&lt;="&amp;EOMONTH($A55,0)))</f>
        <v/>
      </c>
      <c r="J55" s="33">
        <f>IF(OR($A55="",$B55=""),"",SUMIFS(근태기록!$J$5:$J$2004,근태기록!$C$5:$C$2004,$B55,근태기록!$A$5:$A$2004,"&gt;="&amp;$A55,근태기록!$A$5:$A$2004,"&lt;="&amp;EOMONTH($A55,0)))</f>
        <v/>
      </c>
      <c r="K55" s="33">
        <f>IF(OR($A55="",$B55=""),"",SUMIFS(근태기록!$H$5:$H$2004,근태기록!$C$5:$C$2004,$B55,근태기록!$A$5:$A$2004,"&gt;="&amp;$A55,근태기록!$A$5:$A$2004,"&lt;="&amp;EOMONTH($A55,0),근태기록!$L$5:$L$2004,"휴일근로"))</f>
        <v/>
      </c>
      <c r="L55" s="20" t="n"/>
      <c r="M55" s="20" t="n"/>
      <c r="N55" s="20" t="n"/>
      <c r="O55" s="20" t="n"/>
      <c r="P55" s="15">
        <f>IF(OR($A55="",$B55=""),"",SUM(L55:O55))</f>
        <v/>
      </c>
      <c r="Q55" s="20" t="n"/>
      <c r="R55" s="20" t="n"/>
      <c r="S55" s="20" t="n"/>
      <c r="T55" s="20" t="n"/>
      <c r="U55" s="20" t="n"/>
      <c r="V55" s="20" t="n"/>
      <c r="W55" s="15">
        <f>IF(OR($A55="",$B55=""),"",SUM(Q55:V55))</f>
        <v/>
      </c>
      <c r="X55" s="15">
        <f>IF(OR($A55="",$B55=""),"",N(P55)-N(W55))</f>
        <v/>
      </c>
    </row>
    <row r="56">
      <c r="A56" s="43" t="n"/>
      <c r="B56" s="18" t="n"/>
      <c r="C56" s="25">
        <f>IFERROR(IF($B56="","",IF(INDEX(직원명부!$B$5:$B$24,MATCH($B56,직원명부!$A$5:$A$24,0))=0,"",INDEX(직원명부!$B$5:$B$24,MATCH($B56,직원명부!$A$5:$A$24,0)))),"사번 확인")</f>
        <v/>
      </c>
      <c r="D56" s="26">
        <f>IFERROR(IF($B56="","",IF(INDEX(근로자명부!$D$5:$D$24,MATCH($B56,근로자명부!$A$5:$A$24,0))=0,"",INDEX(근로자명부!$D$5:$D$24,MATCH($B56,근로자명부!$A$5:$A$24,0)))),"")</f>
        <v/>
      </c>
      <c r="E56" s="26">
        <f>IFERROR(IF($B56="","",IF(INDEX(직원명부!$C$5:$C$24,MATCH($B56,직원명부!$A$5:$A$24,0))=0,"",INDEX(직원명부!$C$5:$C$24,MATCH($B56,직원명부!$A$5:$A$24,0)))),"")</f>
        <v/>
      </c>
      <c r="F56" s="44">
        <f>IFERROR(IF($B56="","",IF(INDEX(근로자명부!$G$5:$G$24,MATCH($B56,근로자명부!$A$5:$A$24,0))=0,"",INDEX(근로자명부!$G$5:$G$24,MATCH($B56,근로자명부!$A$5:$A$24,0)))),"")</f>
        <v/>
      </c>
      <c r="G56" s="30">
        <f>IF(OR($A56="",$B56=""),"",COUNTIFS(근태기록!$C$5:$C$2004,$B56,근태기록!$A$5:$A$2004,"&gt;="&amp;$A56,근태기록!$A$5:$A$2004,"&lt;="&amp;EOMONTH($A56,0),근태기록!$H$5:$H$2004,"&gt;0"))</f>
        <v/>
      </c>
      <c r="H56" s="33">
        <f>IF(OR($A56="",$B56=""),"",SUMIFS(근태기록!$H$5:$H$2004,근태기록!$C$5:$C$2004,$B56,근태기록!$A$5:$A$2004,"&gt;="&amp;$A56,근태기록!$A$5:$A$2004,"&lt;="&amp;EOMONTH($A56,0)))</f>
        <v/>
      </c>
      <c r="I56" s="33">
        <f>IF(OR($A56="",$B56=""),"",SUMIFS(근태기록!$I$5:$I$2004,근태기록!$C$5:$C$2004,$B56,근태기록!$A$5:$A$2004,"&gt;="&amp;$A56,근태기록!$A$5:$A$2004,"&lt;="&amp;EOMONTH($A56,0)))</f>
        <v/>
      </c>
      <c r="J56" s="33">
        <f>IF(OR($A56="",$B56=""),"",SUMIFS(근태기록!$J$5:$J$2004,근태기록!$C$5:$C$2004,$B56,근태기록!$A$5:$A$2004,"&gt;="&amp;$A56,근태기록!$A$5:$A$2004,"&lt;="&amp;EOMONTH($A56,0)))</f>
        <v/>
      </c>
      <c r="K56" s="33">
        <f>IF(OR($A56="",$B56=""),"",SUMIFS(근태기록!$H$5:$H$2004,근태기록!$C$5:$C$2004,$B56,근태기록!$A$5:$A$2004,"&gt;="&amp;$A56,근태기록!$A$5:$A$2004,"&lt;="&amp;EOMONTH($A56,0),근태기록!$L$5:$L$2004,"휴일근로"))</f>
        <v/>
      </c>
      <c r="L56" s="20" t="n"/>
      <c r="M56" s="20" t="n"/>
      <c r="N56" s="20" t="n"/>
      <c r="O56" s="20" t="n"/>
      <c r="P56" s="15">
        <f>IF(OR($A56="",$B56=""),"",SUM(L56:O56))</f>
        <v/>
      </c>
      <c r="Q56" s="20" t="n"/>
      <c r="R56" s="20" t="n"/>
      <c r="S56" s="20" t="n"/>
      <c r="T56" s="20" t="n"/>
      <c r="U56" s="20" t="n"/>
      <c r="V56" s="20" t="n"/>
      <c r="W56" s="15">
        <f>IF(OR($A56="",$B56=""),"",SUM(Q56:V56))</f>
        <v/>
      </c>
      <c r="X56" s="15">
        <f>IF(OR($A56="",$B56=""),"",N(P56)-N(W56))</f>
        <v/>
      </c>
    </row>
    <row r="57">
      <c r="A57" s="43" t="n"/>
      <c r="B57" s="18" t="n"/>
      <c r="C57" s="25">
        <f>IFERROR(IF($B57="","",IF(INDEX(직원명부!$B$5:$B$24,MATCH($B57,직원명부!$A$5:$A$24,0))=0,"",INDEX(직원명부!$B$5:$B$24,MATCH($B57,직원명부!$A$5:$A$24,0)))),"사번 확인")</f>
        <v/>
      </c>
      <c r="D57" s="26">
        <f>IFERROR(IF($B57="","",IF(INDEX(근로자명부!$D$5:$D$24,MATCH($B57,근로자명부!$A$5:$A$24,0))=0,"",INDEX(근로자명부!$D$5:$D$24,MATCH($B57,근로자명부!$A$5:$A$24,0)))),"")</f>
        <v/>
      </c>
      <c r="E57" s="26">
        <f>IFERROR(IF($B57="","",IF(INDEX(직원명부!$C$5:$C$24,MATCH($B57,직원명부!$A$5:$A$24,0))=0,"",INDEX(직원명부!$C$5:$C$24,MATCH($B57,직원명부!$A$5:$A$24,0)))),"")</f>
        <v/>
      </c>
      <c r="F57" s="44">
        <f>IFERROR(IF($B57="","",IF(INDEX(근로자명부!$G$5:$G$24,MATCH($B57,근로자명부!$A$5:$A$24,0))=0,"",INDEX(근로자명부!$G$5:$G$24,MATCH($B57,근로자명부!$A$5:$A$24,0)))),"")</f>
        <v/>
      </c>
      <c r="G57" s="30">
        <f>IF(OR($A57="",$B57=""),"",COUNTIFS(근태기록!$C$5:$C$2004,$B57,근태기록!$A$5:$A$2004,"&gt;="&amp;$A57,근태기록!$A$5:$A$2004,"&lt;="&amp;EOMONTH($A57,0),근태기록!$H$5:$H$2004,"&gt;0"))</f>
        <v/>
      </c>
      <c r="H57" s="33">
        <f>IF(OR($A57="",$B57=""),"",SUMIFS(근태기록!$H$5:$H$2004,근태기록!$C$5:$C$2004,$B57,근태기록!$A$5:$A$2004,"&gt;="&amp;$A57,근태기록!$A$5:$A$2004,"&lt;="&amp;EOMONTH($A57,0)))</f>
        <v/>
      </c>
      <c r="I57" s="33">
        <f>IF(OR($A57="",$B57=""),"",SUMIFS(근태기록!$I$5:$I$2004,근태기록!$C$5:$C$2004,$B57,근태기록!$A$5:$A$2004,"&gt;="&amp;$A57,근태기록!$A$5:$A$2004,"&lt;="&amp;EOMONTH($A57,0)))</f>
        <v/>
      </c>
      <c r="J57" s="33">
        <f>IF(OR($A57="",$B57=""),"",SUMIFS(근태기록!$J$5:$J$2004,근태기록!$C$5:$C$2004,$B57,근태기록!$A$5:$A$2004,"&gt;="&amp;$A57,근태기록!$A$5:$A$2004,"&lt;="&amp;EOMONTH($A57,0)))</f>
        <v/>
      </c>
      <c r="K57" s="33">
        <f>IF(OR($A57="",$B57=""),"",SUMIFS(근태기록!$H$5:$H$2004,근태기록!$C$5:$C$2004,$B57,근태기록!$A$5:$A$2004,"&gt;="&amp;$A57,근태기록!$A$5:$A$2004,"&lt;="&amp;EOMONTH($A57,0),근태기록!$L$5:$L$2004,"휴일근로"))</f>
        <v/>
      </c>
      <c r="L57" s="20" t="n"/>
      <c r="M57" s="20" t="n"/>
      <c r="N57" s="20" t="n"/>
      <c r="O57" s="20" t="n"/>
      <c r="P57" s="15">
        <f>IF(OR($A57="",$B57=""),"",SUM(L57:O57))</f>
        <v/>
      </c>
      <c r="Q57" s="20" t="n"/>
      <c r="R57" s="20" t="n"/>
      <c r="S57" s="20" t="n"/>
      <c r="T57" s="20" t="n"/>
      <c r="U57" s="20" t="n"/>
      <c r="V57" s="20" t="n"/>
      <c r="W57" s="15">
        <f>IF(OR($A57="",$B57=""),"",SUM(Q57:V57))</f>
        <v/>
      </c>
      <c r="X57" s="15">
        <f>IF(OR($A57="",$B57=""),"",N(P57)-N(W57))</f>
        <v/>
      </c>
    </row>
    <row r="58">
      <c r="A58" s="43" t="n"/>
      <c r="B58" s="18" t="n"/>
      <c r="C58" s="25">
        <f>IFERROR(IF($B58="","",IF(INDEX(직원명부!$B$5:$B$24,MATCH($B58,직원명부!$A$5:$A$24,0))=0,"",INDEX(직원명부!$B$5:$B$24,MATCH($B58,직원명부!$A$5:$A$24,0)))),"사번 확인")</f>
        <v/>
      </c>
      <c r="D58" s="26">
        <f>IFERROR(IF($B58="","",IF(INDEX(근로자명부!$D$5:$D$24,MATCH($B58,근로자명부!$A$5:$A$24,0))=0,"",INDEX(근로자명부!$D$5:$D$24,MATCH($B58,근로자명부!$A$5:$A$24,0)))),"")</f>
        <v/>
      </c>
      <c r="E58" s="26">
        <f>IFERROR(IF($B58="","",IF(INDEX(직원명부!$C$5:$C$24,MATCH($B58,직원명부!$A$5:$A$24,0))=0,"",INDEX(직원명부!$C$5:$C$24,MATCH($B58,직원명부!$A$5:$A$24,0)))),"")</f>
        <v/>
      </c>
      <c r="F58" s="44">
        <f>IFERROR(IF($B58="","",IF(INDEX(근로자명부!$G$5:$G$24,MATCH($B58,근로자명부!$A$5:$A$24,0))=0,"",INDEX(근로자명부!$G$5:$G$24,MATCH($B58,근로자명부!$A$5:$A$24,0)))),"")</f>
        <v/>
      </c>
      <c r="G58" s="30">
        <f>IF(OR($A58="",$B58=""),"",COUNTIFS(근태기록!$C$5:$C$2004,$B58,근태기록!$A$5:$A$2004,"&gt;="&amp;$A58,근태기록!$A$5:$A$2004,"&lt;="&amp;EOMONTH($A58,0),근태기록!$H$5:$H$2004,"&gt;0"))</f>
        <v/>
      </c>
      <c r="H58" s="33">
        <f>IF(OR($A58="",$B58=""),"",SUMIFS(근태기록!$H$5:$H$2004,근태기록!$C$5:$C$2004,$B58,근태기록!$A$5:$A$2004,"&gt;="&amp;$A58,근태기록!$A$5:$A$2004,"&lt;="&amp;EOMONTH($A58,0)))</f>
        <v/>
      </c>
      <c r="I58" s="33">
        <f>IF(OR($A58="",$B58=""),"",SUMIFS(근태기록!$I$5:$I$2004,근태기록!$C$5:$C$2004,$B58,근태기록!$A$5:$A$2004,"&gt;="&amp;$A58,근태기록!$A$5:$A$2004,"&lt;="&amp;EOMONTH($A58,0)))</f>
        <v/>
      </c>
      <c r="J58" s="33">
        <f>IF(OR($A58="",$B58=""),"",SUMIFS(근태기록!$J$5:$J$2004,근태기록!$C$5:$C$2004,$B58,근태기록!$A$5:$A$2004,"&gt;="&amp;$A58,근태기록!$A$5:$A$2004,"&lt;="&amp;EOMONTH($A58,0)))</f>
        <v/>
      </c>
      <c r="K58" s="33">
        <f>IF(OR($A58="",$B58=""),"",SUMIFS(근태기록!$H$5:$H$2004,근태기록!$C$5:$C$2004,$B58,근태기록!$A$5:$A$2004,"&gt;="&amp;$A58,근태기록!$A$5:$A$2004,"&lt;="&amp;EOMONTH($A58,0),근태기록!$L$5:$L$2004,"휴일근로"))</f>
        <v/>
      </c>
      <c r="L58" s="20" t="n"/>
      <c r="M58" s="20" t="n"/>
      <c r="N58" s="20" t="n"/>
      <c r="O58" s="20" t="n"/>
      <c r="P58" s="15">
        <f>IF(OR($A58="",$B58=""),"",SUM(L58:O58))</f>
        <v/>
      </c>
      <c r="Q58" s="20" t="n"/>
      <c r="R58" s="20" t="n"/>
      <c r="S58" s="20" t="n"/>
      <c r="T58" s="20" t="n"/>
      <c r="U58" s="20" t="n"/>
      <c r="V58" s="20" t="n"/>
      <c r="W58" s="15">
        <f>IF(OR($A58="",$B58=""),"",SUM(Q58:V58))</f>
        <v/>
      </c>
      <c r="X58" s="15">
        <f>IF(OR($A58="",$B58=""),"",N(P58)-N(W58))</f>
        <v/>
      </c>
    </row>
    <row r="59">
      <c r="A59" s="43" t="n"/>
      <c r="B59" s="18" t="n"/>
      <c r="C59" s="25">
        <f>IFERROR(IF($B59="","",IF(INDEX(직원명부!$B$5:$B$24,MATCH($B59,직원명부!$A$5:$A$24,0))=0,"",INDEX(직원명부!$B$5:$B$24,MATCH($B59,직원명부!$A$5:$A$24,0)))),"사번 확인")</f>
        <v/>
      </c>
      <c r="D59" s="26">
        <f>IFERROR(IF($B59="","",IF(INDEX(근로자명부!$D$5:$D$24,MATCH($B59,근로자명부!$A$5:$A$24,0))=0,"",INDEX(근로자명부!$D$5:$D$24,MATCH($B59,근로자명부!$A$5:$A$24,0)))),"")</f>
        <v/>
      </c>
      <c r="E59" s="26">
        <f>IFERROR(IF($B59="","",IF(INDEX(직원명부!$C$5:$C$24,MATCH($B59,직원명부!$A$5:$A$24,0))=0,"",INDEX(직원명부!$C$5:$C$24,MATCH($B59,직원명부!$A$5:$A$24,0)))),"")</f>
        <v/>
      </c>
      <c r="F59" s="44">
        <f>IFERROR(IF($B59="","",IF(INDEX(근로자명부!$G$5:$G$24,MATCH($B59,근로자명부!$A$5:$A$24,0))=0,"",INDEX(근로자명부!$G$5:$G$24,MATCH($B59,근로자명부!$A$5:$A$24,0)))),"")</f>
        <v/>
      </c>
      <c r="G59" s="30">
        <f>IF(OR($A59="",$B59=""),"",COUNTIFS(근태기록!$C$5:$C$2004,$B59,근태기록!$A$5:$A$2004,"&gt;="&amp;$A59,근태기록!$A$5:$A$2004,"&lt;="&amp;EOMONTH($A59,0),근태기록!$H$5:$H$2004,"&gt;0"))</f>
        <v/>
      </c>
      <c r="H59" s="33">
        <f>IF(OR($A59="",$B59=""),"",SUMIFS(근태기록!$H$5:$H$2004,근태기록!$C$5:$C$2004,$B59,근태기록!$A$5:$A$2004,"&gt;="&amp;$A59,근태기록!$A$5:$A$2004,"&lt;="&amp;EOMONTH($A59,0)))</f>
        <v/>
      </c>
      <c r="I59" s="33">
        <f>IF(OR($A59="",$B59=""),"",SUMIFS(근태기록!$I$5:$I$2004,근태기록!$C$5:$C$2004,$B59,근태기록!$A$5:$A$2004,"&gt;="&amp;$A59,근태기록!$A$5:$A$2004,"&lt;="&amp;EOMONTH($A59,0)))</f>
        <v/>
      </c>
      <c r="J59" s="33">
        <f>IF(OR($A59="",$B59=""),"",SUMIFS(근태기록!$J$5:$J$2004,근태기록!$C$5:$C$2004,$B59,근태기록!$A$5:$A$2004,"&gt;="&amp;$A59,근태기록!$A$5:$A$2004,"&lt;="&amp;EOMONTH($A59,0)))</f>
        <v/>
      </c>
      <c r="K59" s="33">
        <f>IF(OR($A59="",$B59=""),"",SUMIFS(근태기록!$H$5:$H$2004,근태기록!$C$5:$C$2004,$B59,근태기록!$A$5:$A$2004,"&gt;="&amp;$A59,근태기록!$A$5:$A$2004,"&lt;="&amp;EOMONTH($A59,0),근태기록!$L$5:$L$2004,"휴일근로"))</f>
        <v/>
      </c>
      <c r="L59" s="20" t="n"/>
      <c r="M59" s="20" t="n"/>
      <c r="N59" s="20" t="n"/>
      <c r="O59" s="20" t="n"/>
      <c r="P59" s="15">
        <f>IF(OR($A59="",$B59=""),"",SUM(L59:O59))</f>
        <v/>
      </c>
      <c r="Q59" s="20" t="n"/>
      <c r="R59" s="20" t="n"/>
      <c r="S59" s="20" t="n"/>
      <c r="T59" s="20" t="n"/>
      <c r="U59" s="20" t="n"/>
      <c r="V59" s="20" t="n"/>
      <c r="W59" s="15">
        <f>IF(OR($A59="",$B59=""),"",SUM(Q59:V59))</f>
        <v/>
      </c>
      <c r="X59" s="15">
        <f>IF(OR($A59="",$B59=""),"",N(P59)-N(W59))</f>
        <v/>
      </c>
    </row>
    <row r="60">
      <c r="A60" s="43" t="n"/>
      <c r="B60" s="18" t="n"/>
      <c r="C60" s="25">
        <f>IFERROR(IF($B60="","",IF(INDEX(직원명부!$B$5:$B$24,MATCH($B60,직원명부!$A$5:$A$24,0))=0,"",INDEX(직원명부!$B$5:$B$24,MATCH($B60,직원명부!$A$5:$A$24,0)))),"사번 확인")</f>
        <v/>
      </c>
      <c r="D60" s="26">
        <f>IFERROR(IF($B60="","",IF(INDEX(근로자명부!$D$5:$D$24,MATCH($B60,근로자명부!$A$5:$A$24,0))=0,"",INDEX(근로자명부!$D$5:$D$24,MATCH($B60,근로자명부!$A$5:$A$24,0)))),"")</f>
        <v/>
      </c>
      <c r="E60" s="26">
        <f>IFERROR(IF($B60="","",IF(INDEX(직원명부!$C$5:$C$24,MATCH($B60,직원명부!$A$5:$A$24,0))=0,"",INDEX(직원명부!$C$5:$C$24,MATCH($B60,직원명부!$A$5:$A$24,0)))),"")</f>
        <v/>
      </c>
      <c r="F60" s="44">
        <f>IFERROR(IF($B60="","",IF(INDEX(근로자명부!$G$5:$G$24,MATCH($B60,근로자명부!$A$5:$A$24,0))=0,"",INDEX(근로자명부!$G$5:$G$24,MATCH($B60,근로자명부!$A$5:$A$24,0)))),"")</f>
        <v/>
      </c>
      <c r="G60" s="30">
        <f>IF(OR($A60="",$B60=""),"",COUNTIFS(근태기록!$C$5:$C$2004,$B60,근태기록!$A$5:$A$2004,"&gt;="&amp;$A60,근태기록!$A$5:$A$2004,"&lt;="&amp;EOMONTH($A60,0),근태기록!$H$5:$H$2004,"&gt;0"))</f>
        <v/>
      </c>
      <c r="H60" s="33">
        <f>IF(OR($A60="",$B60=""),"",SUMIFS(근태기록!$H$5:$H$2004,근태기록!$C$5:$C$2004,$B60,근태기록!$A$5:$A$2004,"&gt;="&amp;$A60,근태기록!$A$5:$A$2004,"&lt;="&amp;EOMONTH($A60,0)))</f>
        <v/>
      </c>
      <c r="I60" s="33">
        <f>IF(OR($A60="",$B60=""),"",SUMIFS(근태기록!$I$5:$I$2004,근태기록!$C$5:$C$2004,$B60,근태기록!$A$5:$A$2004,"&gt;="&amp;$A60,근태기록!$A$5:$A$2004,"&lt;="&amp;EOMONTH($A60,0)))</f>
        <v/>
      </c>
      <c r="J60" s="33">
        <f>IF(OR($A60="",$B60=""),"",SUMIFS(근태기록!$J$5:$J$2004,근태기록!$C$5:$C$2004,$B60,근태기록!$A$5:$A$2004,"&gt;="&amp;$A60,근태기록!$A$5:$A$2004,"&lt;="&amp;EOMONTH($A60,0)))</f>
        <v/>
      </c>
      <c r="K60" s="33">
        <f>IF(OR($A60="",$B60=""),"",SUMIFS(근태기록!$H$5:$H$2004,근태기록!$C$5:$C$2004,$B60,근태기록!$A$5:$A$2004,"&gt;="&amp;$A60,근태기록!$A$5:$A$2004,"&lt;="&amp;EOMONTH($A60,0),근태기록!$L$5:$L$2004,"휴일근로"))</f>
        <v/>
      </c>
      <c r="L60" s="20" t="n"/>
      <c r="M60" s="20" t="n"/>
      <c r="N60" s="20" t="n"/>
      <c r="O60" s="20" t="n"/>
      <c r="P60" s="15">
        <f>IF(OR($A60="",$B60=""),"",SUM(L60:O60))</f>
        <v/>
      </c>
      <c r="Q60" s="20" t="n"/>
      <c r="R60" s="20" t="n"/>
      <c r="S60" s="20" t="n"/>
      <c r="T60" s="20" t="n"/>
      <c r="U60" s="20" t="n"/>
      <c r="V60" s="20" t="n"/>
      <c r="W60" s="15">
        <f>IF(OR($A60="",$B60=""),"",SUM(Q60:V60))</f>
        <v/>
      </c>
      <c r="X60" s="15">
        <f>IF(OR($A60="",$B60=""),"",N(P60)-N(W60))</f>
        <v/>
      </c>
    </row>
    <row r="61">
      <c r="A61" s="43" t="n"/>
      <c r="B61" s="18" t="n"/>
      <c r="C61" s="25">
        <f>IFERROR(IF($B61="","",IF(INDEX(직원명부!$B$5:$B$24,MATCH($B61,직원명부!$A$5:$A$24,0))=0,"",INDEX(직원명부!$B$5:$B$24,MATCH($B61,직원명부!$A$5:$A$24,0)))),"사번 확인")</f>
        <v/>
      </c>
      <c r="D61" s="26">
        <f>IFERROR(IF($B61="","",IF(INDEX(근로자명부!$D$5:$D$24,MATCH($B61,근로자명부!$A$5:$A$24,0))=0,"",INDEX(근로자명부!$D$5:$D$24,MATCH($B61,근로자명부!$A$5:$A$24,0)))),"")</f>
        <v/>
      </c>
      <c r="E61" s="26">
        <f>IFERROR(IF($B61="","",IF(INDEX(직원명부!$C$5:$C$24,MATCH($B61,직원명부!$A$5:$A$24,0))=0,"",INDEX(직원명부!$C$5:$C$24,MATCH($B61,직원명부!$A$5:$A$24,0)))),"")</f>
        <v/>
      </c>
      <c r="F61" s="44">
        <f>IFERROR(IF($B61="","",IF(INDEX(근로자명부!$G$5:$G$24,MATCH($B61,근로자명부!$A$5:$A$24,0))=0,"",INDEX(근로자명부!$G$5:$G$24,MATCH($B61,근로자명부!$A$5:$A$24,0)))),"")</f>
        <v/>
      </c>
      <c r="G61" s="30">
        <f>IF(OR($A61="",$B61=""),"",COUNTIFS(근태기록!$C$5:$C$2004,$B61,근태기록!$A$5:$A$2004,"&gt;="&amp;$A61,근태기록!$A$5:$A$2004,"&lt;="&amp;EOMONTH($A61,0),근태기록!$H$5:$H$2004,"&gt;0"))</f>
        <v/>
      </c>
      <c r="H61" s="33">
        <f>IF(OR($A61="",$B61=""),"",SUMIFS(근태기록!$H$5:$H$2004,근태기록!$C$5:$C$2004,$B61,근태기록!$A$5:$A$2004,"&gt;="&amp;$A61,근태기록!$A$5:$A$2004,"&lt;="&amp;EOMONTH($A61,0)))</f>
        <v/>
      </c>
      <c r="I61" s="33">
        <f>IF(OR($A61="",$B61=""),"",SUMIFS(근태기록!$I$5:$I$2004,근태기록!$C$5:$C$2004,$B61,근태기록!$A$5:$A$2004,"&gt;="&amp;$A61,근태기록!$A$5:$A$2004,"&lt;="&amp;EOMONTH($A61,0)))</f>
        <v/>
      </c>
      <c r="J61" s="33">
        <f>IF(OR($A61="",$B61=""),"",SUMIFS(근태기록!$J$5:$J$2004,근태기록!$C$5:$C$2004,$B61,근태기록!$A$5:$A$2004,"&gt;="&amp;$A61,근태기록!$A$5:$A$2004,"&lt;="&amp;EOMONTH($A61,0)))</f>
        <v/>
      </c>
      <c r="K61" s="33">
        <f>IF(OR($A61="",$B61=""),"",SUMIFS(근태기록!$H$5:$H$2004,근태기록!$C$5:$C$2004,$B61,근태기록!$A$5:$A$2004,"&gt;="&amp;$A61,근태기록!$A$5:$A$2004,"&lt;="&amp;EOMONTH($A61,0),근태기록!$L$5:$L$2004,"휴일근로"))</f>
        <v/>
      </c>
      <c r="L61" s="20" t="n"/>
      <c r="M61" s="20" t="n"/>
      <c r="N61" s="20" t="n"/>
      <c r="O61" s="20" t="n"/>
      <c r="P61" s="15">
        <f>IF(OR($A61="",$B61=""),"",SUM(L61:O61))</f>
        <v/>
      </c>
      <c r="Q61" s="20" t="n"/>
      <c r="R61" s="20" t="n"/>
      <c r="S61" s="20" t="n"/>
      <c r="T61" s="20" t="n"/>
      <c r="U61" s="20" t="n"/>
      <c r="V61" s="20" t="n"/>
      <c r="W61" s="15">
        <f>IF(OR($A61="",$B61=""),"",SUM(Q61:V61))</f>
        <v/>
      </c>
      <c r="X61" s="15">
        <f>IF(OR($A61="",$B61=""),"",N(P61)-N(W61))</f>
        <v/>
      </c>
    </row>
    <row r="62">
      <c r="A62" s="43" t="n"/>
      <c r="B62" s="18" t="n"/>
      <c r="C62" s="25">
        <f>IFERROR(IF($B62="","",IF(INDEX(직원명부!$B$5:$B$24,MATCH($B62,직원명부!$A$5:$A$24,0))=0,"",INDEX(직원명부!$B$5:$B$24,MATCH($B62,직원명부!$A$5:$A$24,0)))),"사번 확인")</f>
        <v/>
      </c>
      <c r="D62" s="26">
        <f>IFERROR(IF($B62="","",IF(INDEX(근로자명부!$D$5:$D$24,MATCH($B62,근로자명부!$A$5:$A$24,0))=0,"",INDEX(근로자명부!$D$5:$D$24,MATCH($B62,근로자명부!$A$5:$A$24,0)))),"")</f>
        <v/>
      </c>
      <c r="E62" s="26">
        <f>IFERROR(IF($B62="","",IF(INDEX(직원명부!$C$5:$C$24,MATCH($B62,직원명부!$A$5:$A$24,0))=0,"",INDEX(직원명부!$C$5:$C$24,MATCH($B62,직원명부!$A$5:$A$24,0)))),"")</f>
        <v/>
      </c>
      <c r="F62" s="44">
        <f>IFERROR(IF($B62="","",IF(INDEX(근로자명부!$G$5:$G$24,MATCH($B62,근로자명부!$A$5:$A$24,0))=0,"",INDEX(근로자명부!$G$5:$G$24,MATCH($B62,근로자명부!$A$5:$A$24,0)))),"")</f>
        <v/>
      </c>
      <c r="G62" s="30">
        <f>IF(OR($A62="",$B62=""),"",COUNTIFS(근태기록!$C$5:$C$2004,$B62,근태기록!$A$5:$A$2004,"&gt;="&amp;$A62,근태기록!$A$5:$A$2004,"&lt;="&amp;EOMONTH($A62,0),근태기록!$H$5:$H$2004,"&gt;0"))</f>
        <v/>
      </c>
      <c r="H62" s="33">
        <f>IF(OR($A62="",$B62=""),"",SUMIFS(근태기록!$H$5:$H$2004,근태기록!$C$5:$C$2004,$B62,근태기록!$A$5:$A$2004,"&gt;="&amp;$A62,근태기록!$A$5:$A$2004,"&lt;="&amp;EOMONTH($A62,0)))</f>
        <v/>
      </c>
      <c r="I62" s="33">
        <f>IF(OR($A62="",$B62=""),"",SUMIFS(근태기록!$I$5:$I$2004,근태기록!$C$5:$C$2004,$B62,근태기록!$A$5:$A$2004,"&gt;="&amp;$A62,근태기록!$A$5:$A$2004,"&lt;="&amp;EOMONTH($A62,0)))</f>
        <v/>
      </c>
      <c r="J62" s="33">
        <f>IF(OR($A62="",$B62=""),"",SUMIFS(근태기록!$J$5:$J$2004,근태기록!$C$5:$C$2004,$B62,근태기록!$A$5:$A$2004,"&gt;="&amp;$A62,근태기록!$A$5:$A$2004,"&lt;="&amp;EOMONTH($A62,0)))</f>
        <v/>
      </c>
      <c r="K62" s="33">
        <f>IF(OR($A62="",$B62=""),"",SUMIFS(근태기록!$H$5:$H$2004,근태기록!$C$5:$C$2004,$B62,근태기록!$A$5:$A$2004,"&gt;="&amp;$A62,근태기록!$A$5:$A$2004,"&lt;="&amp;EOMONTH($A62,0),근태기록!$L$5:$L$2004,"휴일근로"))</f>
        <v/>
      </c>
      <c r="L62" s="20" t="n"/>
      <c r="M62" s="20" t="n"/>
      <c r="N62" s="20" t="n"/>
      <c r="O62" s="20" t="n"/>
      <c r="P62" s="15">
        <f>IF(OR($A62="",$B62=""),"",SUM(L62:O62))</f>
        <v/>
      </c>
      <c r="Q62" s="20" t="n"/>
      <c r="R62" s="20" t="n"/>
      <c r="S62" s="20" t="n"/>
      <c r="T62" s="20" t="n"/>
      <c r="U62" s="20" t="n"/>
      <c r="V62" s="20" t="n"/>
      <c r="W62" s="15">
        <f>IF(OR($A62="",$B62=""),"",SUM(Q62:V62))</f>
        <v/>
      </c>
      <c r="X62" s="15">
        <f>IF(OR($A62="",$B62=""),"",N(P62)-N(W62))</f>
        <v/>
      </c>
    </row>
    <row r="63">
      <c r="A63" s="43" t="n"/>
      <c r="B63" s="18" t="n"/>
      <c r="C63" s="25">
        <f>IFERROR(IF($B63="","",IF(INDEX(직원명부!$B$5:$B$24,MATCH($B63,직원명부!$A$5:$A$24,0))=0,"",INDEX(직원명부!$B$5:$B$24,MATCH($B63,직원명부!$A$5:$A$24,0)))),"사번 확인")</f>
        <v/>
      </c>
      <c r="D63" s="26">
        <f>IFERROR(IF($B63="","",IF(INDEX(근로자명부!$D$5:$D$24,MATCH($B63,근로자명부!$A$5:$A$24,0))=0,"",INDEX(근로자명부!$D$5:$D$24,MATCH($B63,근로자명부!$A$5:$A$24,0)))),"")</f>
        <v/>
      </c>
      <c r="E63" s="26">
        <f>IFERROR(IF($B63="","",IF(INDEX(직원명부!$C$5:$C$24,MATCH($B63,직원명부!$A$5:$A$24,0))=0,"",INDEX(직원명부!$C$5:$C$24,MATCH($B63,직원명부!$A$5:$A$24,0)))),"")</f>
        <v/>
      </c>
      <c r="F63" s="44">
        <f>IFERROR(IF($B63="","",IF(INDEX(근로자명부!$G$5:$G$24,MATCH($B63,근로자명부!$A$5:$A$24,0))=0,"",INDEX(근로자명부!$G$5:$G$24,MATCH($B63,근로자명부!$A$5:$A$24,0)))),"")</f>
        <v/>
      </c>
      <c r="G63" s="30">
        <f>IF(OR($A63="",$B63=""),"",COUNTIFS(근태기록!$C$5:$C$2004,$B63,근태기록!$A$5:$A$2004,"&gt;="&amp;$A63,근태기록!$A$5:$A$2004,"&lt;="&amp;EOMONTH($A63,0),근태기록!$H$5:$H$2004,"&gt;0"))</f>
        <v/>
      </c>
      <c r="H63" s="33">
        <f>IF(OR($A63="",$B63=""),"",SUMIFS(근태기록!$H$5:$H$2004,근태기록!$C$5:$C$2004,$B63,근태기록!$A$5:$A$2004,"&gt;="&amp;$A63,근태기록!$A$5:$A$2004,"&lt;="&amp;EOMONTH($A63,0)))</f>
        <v/>
      </c>
      <c r="I63" s="33">
        <f>IF(OR($A63="",$B63=""),"",SUMIFS(근태기록!$I$5:$I$2004,근태기록!$C$5:$C$2004,$B63,근태기록!$A$5:$A$2004,"&gt;="&amp;$A63,근태기록!$A$5:$A$2004,"&lt;="&amp;EOMONTH($A63,0)))</f>
        <v/>
      </c>
      <c r="J63" s="33">
        <f>IF(OR($A63="",$B63=""),"",SUMIFS(근태기록!$J$5:$J$2004,근태기록!$C$5:$C$2004,$B63,근태기록!$A$5:$A$2004,"&gt;="&amp;$A63,근태기록!$A$5:$A$2004,"&lt;="&amp;EOMONTH($A63,0)))</f>
        <v/>
      </c>
      <c r="K63" s="33">
        <f>IF(OR($A63="",$B63=""),"",SUMIFS(근태기록!$H$5:$H$2004,근태기록!$C$5:$C$2004,$B63,근태기록!$A$5:$A$2004,"&gt;="&amp;$A63,근태기록!$A$5:$A$2004,"&lt;="&amp;EOMONTH($A63,0),근태기록!$L$5:$L$2004,"휴일근로"))</f>
        <v/>
      </c>
      <c r="L63" s="20" t="n"/>
      <c r="M63" s="20" t="n"/>
      <c r="N63" s="20" t="n"/>
      <c r="O63" s="20" t="n"/>
      <c r="P63" s="15">
        <f>IF(OR($A63="",$B63=""),"",SUM(L63:O63))</f>
        <v/>
      </c>
      <c r="Q63" s="20" t="n"/>
      <c r="R63" s="20" t="n"/>
      <c r="S63" s="20" t="n"/>
      <c r="T63" s="20" t="n"/>
      <c r="U63" s="20" t="n"/>
      <c r="V63" s="20" t="n"/>
      <c r="W63" s="15">
        <f>IF(OR($A63="",$B63=""),"",SUM(Q63:V63))</f>
        <v/>
      </c>
      <c r="X63" s="15">
        <f>IF(OR($A63="",$B63=""),"",N(P63)-N(W63))</f>
        <v/>
      </c>
    </row>
    <row r="64">
      <c r="A64" s="43" t="n"/>
      <c r="B64" s="18" t="n"/>
      <c r="C64" s="25">
        <f>IFERROR(IF($B64="","",IF(INDEX(직원명부!$B$5:$B$24,MATCH($B64,직원명부!$A$5:$A$24,0))=0,"",INDEX(직원명부!$B$5:$B$24,MATCH($B64,직원명부!$A$5:$A$24,0)))),"사번 확인")</f>
        <v/>
      </c>
      <c r="D64" s="26">
        <f>IFERROR(IF($B64="","",IF(INDEX(근로자명부!$D$5:$D$24,MATCH($B64,근로자명부!$A$5:$A$24,0))=0,"",INDEX(근로자명부!$D$5:$D$24,MATCH($B64,근로자명부!$A$5:$A$24,0)))),"")</f>
        <v/>
      </c>
      <c r="E64" s="26">
        <f>IFERROR(IF($B64="","",IF(INDEX(직원명부!$C$5:$C$24,MATCH($B64,직원명부!$A$5:$A$24,0))=0,"",INDEX(직원명부!$C$5:$C$24,MATCH($B64,직원명부!$A$5:$A$24,0)))),"")</f>
        <v/>
      </c>
      <c r="F64" s="44">
        <f>IFERROR(IF($B64="","",IF(INDEX(근로자명부!$G$5:$G$24,MATCH($B64,근로자명부!$A$5:$A$24,0))=0,"",INDEX(근로자명부!$G$5:$G$24,MATCH($B64,근로자명부!$A$5:$A$24,0)))),"")</f>
        <v/>
      </c>
      <c r="G64" s="30">
        <f>IF(OR($A64="",$B64=""),"",COUNTIFS(근태기록!$C$5:$C$2004,$B64,근태기록!$A$5:$A$2004,"&gt;="&amp;$A64,근태기록!$A$5:$A$2004,"&lt;="&amp;EOMONTH($A64,0),근태기록!$H$5:$H$2004,"&gt;0"))</f>
        <v/>
      </c>
      <c r="H64" s="33">
        <f>IF(OR($A64="",$B64=""),"",SUMIFS(근태기록!$H$5:$H$2004,근태기록!$C$5:$C$2004,$B64,근태기록!$A$5:$A$2004,"&gt;="&amp;$A64,근태기록!$A$5:$A$2004,"&lt;="&amp;EOMONTH($A64,0)))</f>
        <v/>
      </c>
      <c r="I64" s="33">
        <f>IF(OR($A64="",$B64=""),"",SUMIFS(근태기록!$I$5:$I$2004,근태기록!$C$5:$C$2004,$B64,근태기록!$A$5:$A$2004,"&gt;="&amp;$A64,근태기록!$A$5:$A$2004,"&lt;="&amp;EOMONTH($A64,0)))</f>
        <v/>
      </c>
      <c r="J64" s="33">
        <f>IF(OR($A64="",$B64=""),"",SUMIFS(근태기록!$J$5:$J$2004,근태기록!$C$5:$C$2004,$B64,근태기록!$A$5:$A$2004,"&gt;="&amp;$A64,근태기록!$A$5:$A$2004,"&lt;="&amp;EOMONTH($A64,0)))</f>
        <v/>
      </c>
      <c r="K64" s="33">
        <f>IF(OR($A64="",$B64=""),"",SUMIFS(근태기록!$H$5:$H$2004,근태기록!$C$5:$C$2004,$B64,근태기록!$A$5:$A$2004,"&gt;="&amp;$A64,근태기록!$A$5:$A$2004,"&lt;="&amp;EOMONTH($A64,0),근태기록!$L$5:$L$2004,"휴일근로"))</f>
        <v/>
      </c>
      <c r="L64" s="20" t="n"/>
      <c r="M64" s="20" t="n"/>
      <c r="N64" s="20" t="n"/>
      <c r="O64" s="20" t="n"/>
      <c r="P64" s="15">
        <f>IF(OR($A64="",$B64=""),"",SUM(L64:O64))</f>
        <v/>
      </c>
      <c r="Q64" s="20" t="n"/>
      <c r="R64" s="20" t="n"/>
      <c r="S64" s="20" t="n"/>
      <c r="T64" s="20" t="n"/>
      <c r="U64" s="20" t="n"/>
      <c r="V64" s="20" t="n"/>
      <c r="W64" s="15">
        <f>IF(OR($A64="",$B64=""),"",SUM(Q64:V64))</f>
        <v/>
      </c>
      <c r="X64" s="15">
        <f>IF(OR($A64="",$B64=""),"",N(P64)-N(W64))</f>
        <v/>
      </c>
    </row>
    <row r="65">
      <c r="A65" s="43" t="n"/>
      <c r="B65" s="18" t="n"/>
      <c r="C65" s="25">
        <f>IFERROR(IF($B65="","",IF(INDEX(직원명부!$B$5:$B$24,MATCH($B65,직원명부!$A$5:$A$24,0))=0,"",INDEX(직원명부!$B$5:$B$24,MATCH($B65,직원명부!$A$5:$A$24,0)))),"사번 확인")</f>
        <v/>
      </c>
      <c r="D65" s="26">
        <f>IFERROR(IF($B65="","",IF(INDEX(근로자명부!$D$5:$D$24,MATCH($B65,근로자명부!$A$5:$A$24,0))=0,"",INDEX(근로자명부!$D$5:$D$24,MATCH($B65,근로자명부!$A$5:$A$24,0)))),"")</f>
        <v/>
      </c>
      <c r="E65" s="26">
        <f>IFERROR(IF($B65="","",IF(INDEX(직원명부!$C$5:$C$24,MATCH($B65,직원명부!$A$5:$A$24,0))=0,"",INDEX(직원명부!$C$5:$C$24,MATCH($B65,직원명부!$A$5:$A$24,0)))),"")</f>
        <v/>
      </c>
      <c r="F65" s="44">
        <f>IFERROR(IF($B65="","",IF(INDEX(근로자명부!$G$5:$G$24,MATCH($B65,근로자명부!$A$5:$A$24,0))=0,"",INDEX(근로자명부!$G$5:$G$24,MATCH($B65,근로자명부!$A$5:$A$24,0)))),"")</f>
        <v/>
      </c>
      <c r="G65" s="30">
        <f>IF(OR($A65="",$B65=""),"",COUNTIFS(근태기록!$C$5:$C$2004,$B65,근태기록!$A$5:$A$2004,"&gt;="&amp;$A65,근태기록!$A$5:$A$2004,"&lt;="&amp;EOMONTH($A65,0),근태기록!$H$5:$H$2004,"&gt;0"))</f>
        <v/>
      </c>
      <c r="H65" s="33">
        <f>IF(OR($A65="",$B65=""),"",SUMIFS(근태기록!$H$5:$H$2004,근태기록!$C$5:$C$2004,$B65,근태기록!$A$5:$A$2004,"&gt;="&amp;$A65,근태기록!$A$5:$A$2004,"&lt;="&amp;EOMONTH($A65,0)))</f>
        <v/>
      </c>
      <c r="I65" s="33">
        <f>IF(OR($A65="",$B65=""),"",SUMIFS(근태기록!$I$5:$I$2004,근태기록!$C$5:$C$2004,$B65,근태기록!$A$5:$A$2004,"&gt;="&amp;$A65,근태기록!$A$5:$A$2004,"&lt;="&amp;EOMONTH($A65,0)))</f>
        <v/>
      </c>
      <c r="J65" s="33">
        <f>IF(OR($A65="",$B65=""),"",SUMIFS(근태기록!$J$5:$J$2004,근태기록!$C$5:$C$2004,$B65,근태기록!$A$5:$A$2004,"&gt;="&amp;$A65,근태기록!$A$5:$A$2004,"&lt;="&amp;EOMONTH($A65,0)))</f>
        <v/>
      </c>
      <c r="K65" s="33">
        <f>IF(OR($A65="",$B65=""),"",SUMIFS(근태기록!$H$5:$H$2004,근태기록!$C$5:$C$2004,$B65,근태기록!$A$5:$A$2004,"&gt;="&amp;$A65,근태기록!$A$5:$A$2004,"&lt;="&amp;EOMONTH($A65,0),근태기록!$L$5:$L$2004,"휴일근로"))</f>
        <v/>
      </c>
      <c r="L65" s="20" t="n"/>
      <c r="M65" s="20" t="n"/>
      <c r="N65" s="20" t="n"/>
      <c r="O65" s="20" t="n"/>
      <c r="P65" s="15">
        <f>IF(OR($A65="",$B65=""),"",SUM(L65:O65))</f>
        <v/>
      </c>
      <c r="Q65" s="20" t="n"/>
      <c r="R65" s="20" t="n"/>
      <c r="S65" s="20" t="n"/>
      <c r="T65" s="20" t="n"/>
      <c r="U65" s="20" t="n"/>
      <c r="V65" s="20" t="n"/>
      <c r="W65" s="15">
        <f>IF(OR($A65="",$B65=""),"",SUM(Q65:V65))</f>
        <v/>
      </c>
      <c r="X65" s="15">
        <f>IF(OR($A65="",$B65=""),"",N(P65)-N(W65))</f>
        <v/>
      </c>
    </row>
    <row r="66">
      <c r="A66" s="43" t="n"/>
      <c r="B66" s="18" t="n"/>
      <c r="C66" s="25">
        <f>IFERROR(IF($B66="","",IF(INDEX(직원명부!$B$5:$B$24,MATCH($B66,직원명부!$A$5:$A$24,0))=0,"",INDEX(직원명부!$B$5:$B$24,MATCH($B66,직원명부!$A$5:$A$24,0)))),"사번 확인")</f>
        <v/>
      </c>
      <c r="D66" s="26">
        <f>IFERROR(IF($B66="","",IF(INDEX(근로자명부!$D$5:$D$24,MATCH($B66,근로자명부!$A$5:$A$24,0))=0,"",INDEX(근로자명부!$D$5:$D$24,MATCH($B66,근로자명부!$A$5:$A$24,0)))),"")</f>
        <v/>
      </c>
      <c r="E66" s="26">
        <f>IFERROR(IF($B66="","",IF(INDEX(직원명부!$C$5:$C$24,MATCH($B66,직원명부!$A$5:$A$24,0))=0,"",INDEX(직원명부!$C$5:$C$24,MATCH($B66,직원명부!$A$5:$A$24,0)))),"")</f>
        <v/>
      </c>
      <c r="F66" s="44">
        <f>IFERROR(IF($B66="","",IF(INDEX(근로자명부!$G$5:$G$24,MATCH($B66,근로자명부!$A$5:$A$24,0))=0,"",INDEX(근로자명부!$G$5:$G$24,MATCH($B66,근로자명부!$A$5:$A$24,0)))),"")</f>
        <v/>
      </c>
      <c r="G66" s="30">
        <f>IF(OR($A66="",$B66=""),"",COUNTIFS(근태기록!$C$5:$C$2004,$B66,근태기록!$A$5:$A$2004,"&gt;="&amp;$A66,근태기록!$A$5:$A$2004,"&lt;="&amp;EOMONTH($A66,0),근태기록!$H$5:$H$2004,"&gt;0"))</f>
        <v/>
      </c>
      <c r="H66" s="33">
        <f>IF(OR($A66="",$B66=""),"",SUMIFS(근태기록!$H$5:$H$2004,근태기록!$C$5:$C$2004,$B66,근태기록!$A$5:$A$2004,"&gt;="&amp;$A66,근태기록!$A$5:$A$2004,"&lt;="&amp;EOMONTH($A66,0)))</f>
        <v/>
      </c>
      <c r="I66" s="33">
        <f>IF(OR($A66="",$B66=""),"",SUMIFS(근태기록!$I$5:$I$2004,근태기록!$C$5:$C$2004,$B66,근태기록!$A$5:$A$2004,"&gt;="&amp;$A66,근태기록!$A$5:$A$2004,"&lt;="&amp;EOMONTH($A66,0)))</f>
        <v/>
      </c>
      <c r="J66" s="33">
        <f>IF(OR($A66="",$B66=""),"",SUMIFS(근태기록!$J$5:$J$2004,근태기록!$C$5:$C$2004,$B66,근태기록!$A$5:$A$2004,"&gt;="&amp;$A66,근태기록!$A$5:$A$2004,"&lt;="&amp;EOMONTH($A66,0)))</f>
        <v/>
      </c>
      <c r="K66" s="33">
        <f>IF(OR($A66="",$B66=""),"",SUMIFS(근태기록!$H$5:$H$2004,근태기록!$C$5:$C$2004,$B66,근태기록!$A$5:$A$2004,"&gt;="&amp;$A66,근태기록!$A$5:$A$2004,"&lt;="&amp;EOMONTH($A66,0),근태기록!$L$5:$L$2004,"휴일근로"))</f>
        <v/>
      </c>
      <c r="L66" s="20" t="n"/>
      <c r="M66" s="20" t="n"/>
      <c r="N66" s="20" t="n"/>
      <c r="O66" s="20" t="n"/>
      <c r="P66" s="15">
        <f>IF(OR($A66="",$B66=""),"",SUM(L66:O66))</f>
        <v/>
      </c>
      <c r="Q66" s="20" t="n"/>
      <c r="R66" s="20" t="n"/>
      <c r="S66" s="20" t="n"/>
      <c r="T66" s="20" t="n"/>
      <c r="U66" s="20" t="n"/>
      <c r="V66" s="20" t="n"/>
      <c r="W66" s="15">
        <f>IF(OR($A66="",$B66=""),"",SUM(Q66:V66))</f>
        <v/>
      </c>
      <c r="X66" s="15">
        <f>IF(OR($A66="",$B66=""),"",N(P66)-N(W66))</f>
        <v/>
      </c>
    </row>
    <row r="67">
      <c r="A67" s="43" t="n"/>
      <c r="B67" s="18" t="n"/>
      <c r="C67" s="25">
        <f>IFERROR(IF($B67="","",IF(INDEX(직원명부!$B$5:$B$24,MATCH($B67,직원명부!$A$5:$A$24,0))=0,"",INDEX(직원명부!$B$5:$B$24,MATCH($B67,직원명부!$A$5:$A$24,0)))),"사번 확인")</f>
        <v/>
      </c>
      <c r="D67" s="26">
        <f>IFERROR(IF($B67="","",IF(INDEX(근로자명부!$D$5:$D$24,MATCH($B67,근로자명부!$A$5:$A$24,0))=0,"",INDEX(근로자명부!$D$5:$D$24,MATCH($B67,근로자명부!$A$5:$A$24,0)))),"")</f>
        <v/>
      </c>
      <c r="E67" s="26">
        <f>IFERROR(IF($B67="","",IF(INDEX(직원명부!$C$5:$C$24,MATCH($B67,직원명부!$A$5:$A$24,0))=0,"",INDEX(직원명부!$C$5:$C$24,MATCH($B67,직원명부!$A$5:$A$24,0)))),"")</f>
        <v/>
      </c>
      <c r="F67" s="44">
        <f>IFERROR(IF($B67="","",IF(INDEX(근로자명부!$G$5:$G$24,MATCH($B67,근로자명부!$A$5:$A$24,0))=0,"",INDEX(근로자명부!$G$5:$G$24,MATCH($B67,근로자명부!$A$5:$A$24,0)))),"")</f>
        <v/>
      </c>
      <c r="G67" s="30">
        <f>IF(OR($A67="",$B67=""),"",COUNTIFS(근태기록!$C$5:$C$2004,$B67,근태기록!$A$5:$A$2004,"&gt;="&amp;$A67,근태기록!$A$5:$A$2004,"&lt;="&amp;EOMONTH($A67,0),근태기록!$H$5:$H$2004,"&gt;0"))</f>
        <v/>
      </c>
      <c r="H67" s="33">
        <f>IF(OR($A67="",$B67=""),"",SUMIFS(근태기록!$H$5:$H$2004,근태기록!$C$5:$C$2004,$B67,근태기록!$A$5:$A$2004,"&gt;="&amp;$A67,근태기록!$A$5:$A$2004,"&lt;="&amp;EOMONTH($A67,0)))</f>
        <v/>
      </c>
      <c r="I67" s="33">
        <f>IF(OR($A67="",$B67=""),"",SUMIFS(근태기록!$I$5:$I$2004,근태기록!$C$5:$C$2004,$B67,근태기록!$A$5:$A$2004,"&gt;="&amp;$A67,근태기록!$A$5:$A$2004,"&lt;="&amp;EOMONTH($A67,0)))</f>
        <v/>
      </c>
      <c r="J67" s="33">
        <f>IF(OR($A67="",$B67=""),"",SUMIFS(근태기록!$J$5:$J$2004,근태기록!$C$5:$C$2004,$B67,근태기록!$A$5:$A$2004,"&gt;="&amp;$A67,근태기록!$A$5:$A$2004,"&lt;="&amp;EOMONTH($A67,0)))</f>
        <v/>
      </c>
      <c r="K67" s="33">
        <f>IF(OR($A67="",$B67=""),"",SUMIFS(근태기록!$H$5:$H$2004,근태기록!$C$5:$C$2004,$B67,근태기록!$A$5:$A$2004,"&gt;="&amp;$A67,근태기록!$A$5:$A$2004,"&lt;="&amp;EOMONTH($A67,0),근태기록!$L$5:$L$2004,"휴일근로"))</f>
        <v/>
      </c>
      <c r="L67" s="20" t="n"/>
      <c r="M67" s="20" t="n"/>
      <c r="N67" s="20" t="n"/>
      <c r="O67" s="20" t="n"/>
      <c r="P67" s="15">
        <f>IF(OR($A67="",$B67=""),"",SUM(L67:O67))</f>
        <v/>
      </c>
      <c r="Q67" s="20" t="n"/>
      <c r="R67" s="20" t="n"/>
      <c r="S67" s="20" t="n"/>
      <c r="T67" s="20" t="n"/>
      <c r="U67" s="20" t="n"/>
      <c r="V67" s="20" t="n"/>
      <c r="W67" s="15">
        <f>IF(OR($A67="",$B67=""),"",SUM(Q67:V67))</f>
        <v/>
      </c>
      <c r="X67" s="15">
        <f>IF(OR($A67="",$B67=""),"",N(P67)-N(W67))</f>
        <v/>
      </c>
    </row>
    <row r="68">
      <c r="A68" s="43" t="n"/>
      <c r="B68" s="18" t="n"/>
      <c r="C68" s="25">
        <f>IFERROR(IF($B68="","",IF(INDEX(직원명부!$B$5:$B$24,MATCH($B68,직원명부!$A$5:$A$24,0))=0,"",INDEX(직원명부!$B$5:$B$24,MATCH($B68,직원명부!$A$5:$A$24,0)))),"사번 확인")</f>
        <v/>
      </c>
      <c r="D68" s="26">
        <f>IFERROR(IF($B68="","",IF(INDEX(근로자명부!$D$5:$D$24,MATCH($B68,근로자명부!$A$5:$A$24,0))=0,"",INDEX(근로자명부!$D$5:$D$24,MATCH($B68,근로자명부!$A$5:$A$24,0)))),"")</f>
        <v/>
      </c>
      <c r="E68" s="26">
        <f>IFERROR(IF($B68="","",IF(INDEX(직원명부!$C$5:$C$24,MATCH($B68,직원명부!$A$5:$A$24,0))=0,"",INDEX(직원명부!$C$5:$C$24,MATCH($B68,직원명부!$A$5:$A$24,0)))),"")</f>
        <v/>
      </c>
      <c r="F68" s="44">
        <f>IFERROR(IF($B68="","",IF(INDEX(근로자명부!$G$5:$G$24,MATCH($B68,근로자명부!$A$5:$A$24,0))=0,"",INDEX(근로자명부!$G$5:$G$24,MATCH($B68,근로자명부!$A$5:$A$24,0)))),"")</f>
        <v/>
      </c>
      <c r="G68" s="30">
        <f>IF(OR($A68="",$B68=""),"",COUNTIFS(근태기록!$C$5:$C$2004,$B68,근태기록!$A$5:$A$2004,"&gt;="&amp;$A68,근태기록!$A$5:$A$2004,"&lt;="&amp;EOMONTH($A68,0),근태기록!$H$5:$H$2004,"&gt;0"))</f>
        <v/>
      </c>
      <c r="H68" s="33">
        <f>IF(OR($A68="",$B68=""),"",SUMIFS(근태기록!$H$5:$H$2004,근태기록!$C$5:$C$2004,$B68,근태기록!$A$5:$A$2004,"&gt;="&amp;$A68,근태기록!$A$5:$A$2004,"&lt;="&amp;EOMONTH($A68,0)))</f>
        <v/>
      </c>
      <c r="I68" s="33">
        <f>IF(OR($A68="",$B68=""),"",SUMIFS(근태기록!$I$5:$I$2004,근태기록!$C$5:$C$2004,$B68,근태기록!$A$5:$A$2004,"&gt;="&amp;$A68,근태기록!$A$5:$A$2004,"&lt;="&amp;EOMONTH($A68,0)))</f>
        <v/>
      </c>
      <c r="J68" s="33">
        <f>IF(OR($A68="",$B68=""),"",SUMIFS(근태기록!$J$5:$J$2004,근태기록!$C$5:$C$2004,$B68,근태기록!$A$5:$A$2004,"&gt;="&amp;$A68,근태기록!$A$5:$A$2004,"&lt;="&amp;EOMONTH($A68,0)))</f>
        <v/>
      </c>
      <c r="K68" s="33">
        <f>IF(OR($A68="",$B68=""),"",SUMIFS(근태기록!$H$5:$H$2004,근태기록!$C$5:$C$2004,$B68,근태기록!$A$5:$A$2004,"&gt;="&amp;$A68,근태기록!$A$5:$A$2004,"&lt;="&amp;EOMONTH($A68,0),근태기록!$L$5:$L$2004,"휴일근로"))</f>
        <v/>
      </c>
      <c r="L68" s="20" t="n"/>
      <c r="M68" s="20" t="n"/>
      <c r="N68" s="20" t="n"/>
      <c r="O68" s="20" t="n"/>
      <c r="P68" s="15">
        <f>IF(OR($A68="",$B68=""),"",SUM(L68:O68))</f>
        <v/>
      </c>
      <c r="Q68" s="20" t="n"/>
      <c r="R68" s="20" t="n"/>
      <c r="S68" s="20" t="n"/>
      <c r="T68" s="20" t="n"/>
      <c r="U68" s="20" t="n"/>
      <c r="V68" s="20" t="n"/>
      <c r="W68" s="15">
        <f>IF(OR($A68="",$B68=""),"",SUM(Q68:V68))</f>
        <v/>
      </c>
      <c r="X68" s="15">
        <f>IF(OR($A68="",$B68=""),"",N(P68)-N(W68))</f>
        <v/>
      </c>
    </row>
    <row r="69">
      <c r="A69" s="43" t="n"/>
      <c r="B69" s="18" t="n"/>
      <c r="C69" s="25">
        <f>IFERROR(IF($B69="","",IF(INDEX(직원명부!$B$5:$B$24,MATCH($B69,직원명부!$A$5:$A$24,0))=0,"",INDEX(직원명부!$B$5:$B$24,MATCH($B69,직원명부!$A$5:$A$24,0)))),"사번 확인")</f>
        <v/>
      </c>
      <c r="D69" s="26">
        <f>IFERROR(IF($B69="","",IF(INDEX(근로자명부!$D$5:$D$24,MATCH($B69,근로자명부!$A$5:$A$24,0))=0,"",INDEX(근로자명부!$D$5:$D$24,MATCH($B69,근로자명부!$A$5:$A$24,0)))),"")</f>
        <v/>
      </c>
      <c r="E69" s="26">
        <f>IFERROR(IF($B69="","",IF(INDEX(직원명부!$C$5:$C$24,MATCH($B69,직원명부!$A$5:$A$24,0))=0,"",INDEX(직원명부!$C$5:$C$24,MATCH($B69,직원명부!$A$5:$A$24,0)))),"")</f>
        <v/>
      </c>
      <c r="F69" s="44">
        <f>IFERROR(IF($B69="","",IF(INDEX(근로자명부!$G$5:$G$24,MATCH($B69,근로자명부!$A$5:$A$24,0))=0,"",INDEX(근로자명부!$G$5:$G$24,MATCH($B69,근로자명부!$A$5:$A$24,0)))),"")</f>
        <v/>
      </c>
      <c r="G69" s="30">
        <f>IF(OR($A69="",$B69=""),"",COUNTIFS(근태기록!$C$5:$C$2004,$B69,근태기록!$A$5:$A$2004,"&gt;="&amp;$A69,근태기록!$A$5:$A$2004,"&lt;="&amp;EOMONTH($A69,0),근태기록!$H$5:$H$2004,"&gt;0"))</f>
        <v/>
      </c>
      <c r="H69" s="33">
        <f>IF(OR($A69="",$B69=""),"",SUMIFS(근태기록!$H$5:$H$2004,근태기록!$C$5:$C$2004,$B69,근태기록!$A$5:$A$2004,"&gt;="&amp;$A69,근태기록!$A$5:$A$2004,"&lt;="&amp;EOMONTH($A69,0)))</f>
        <v/>
      </c>
      <c r="I69" s="33">
        <f>IF(OR($A69="",$B69=""),"",SUMIFS(근태기록!$I$5:$I$2004,근태기록!$C$5:$C$2004,$B69,근태기록!$A$5:$A$2004,"&gt;="&amp;$A69,근태기록!$A$5:$A$2004,"&lt;="&amp;EOMONTH($A69,0)))</f>
        <v/>
      </c>
      <c r="J69" s="33">
        <f>IF(OR($A69="",$B69=""),"",SUMIFS(근태기록!$J$5:$J$2004,근태기록!$C$5:$C$2004,$B69,근태기록!$A$5:$A$2004,"&gt;="&amp;$A69,근태기록!$A$5:$A$2004,"&lt;="&amp;EOMONTH($A69,0)))</f>
        <v/>
      </c>
      <c r="K69" s="33">
        <f>IF(OR($A69="",$B69=""),"",SUMIFS(근태기록!$H$5:$H$2004,근태기록!$C$5:$C$2004,$B69,근태기록!$A$5:$A$2004,"&gt;="&amp;$A69,근태기록!$A$5:$A$2004,"&lt;="&amp;EOMONTH($A69,0),근태기록!$L$5:$L$2004,"휴일근로"))</f>
        <v/>
      </c>
      <c r="L69" s="20" t="n"/>
      <c r="M69" s="20" t="n"/>
      <c r="N69" s="20" t="n"/>
      <c r="O69" s="20" t="n"/>
      <c r="P69" s="15">
        <f>IF(OR($A69="",$B69=""),"",SUM(L69:O69))</f>
        <v/>
      </c>
      <c r="Q69" s="20" t="n"/>
      <c r="R69" s="20" t="n"/>
      <c r="S69" s="20" t="n"/>
      <c r="T69" s="20" t="n"/>
      <c r="U69" s="20" t="n"/>
      <c r="V69" s="20" t="n"/>
      <c r="W69" s="15">
        <f>IF(OR($A69="",$B69=""),"",SUM(Q69:V69))</f>
        <v/>
      </c>
      <c r="X69" s="15">
        <f>IF(OR($A69="",$B69=""),"",N(P69)-N(W69))</f>
        <v/>
      </c>
    </row>
    <row r="70">
      <c r="A70" s="43" t="n"/>
      <c r="B70" s="18" t="n"/>
      <c r="C70" s="25">
        <f>IFERROR(IF($B70="","",IF(INDEX(직원명부!$B$5:$B$24,MATCH($B70,직원명부!$A$5:$A$24,0))=0,"",INDEX(직원명부!$B$5:$B$24,MATCH($B70,직원명부!$A$5:$A$24,0)))),"사번 확인")</f>
        <v/>
      </c>
      <c r="D70" s="26">
        <f>IFERROR(IF($B70="","",IF(INDEX(근로자명부!$D$5:$D$24,MATCH($B70,근로자명부!$A$5:$A$24,0))=0,"",INDEX(근로자명부!$D$5:$D$24,MATCH($B70,근로자명부!$A$5:$A$24,0)))),"")</f>
        <v/>
      </c>
      <c r="E70" s="26">
        <f>IFERROR(IF($B70="","",IF(INDEX(직원명부!$C$5:$C$24,MATCH($B70,직원명부!$A$5:$A$24,0))=0,"",INDEX(직원명부!$C$5:$C$24,MATCH($B70,직원명부!$A$5:$A$24,0)))),"")</f>
        <v/>
      </c>
      <c r="F70" s="44">
        <f>IFERROR(IF($B70="","",IF(INDEX(근로자명부!$G$5:$G$24,MATCH($B70,근로자명부!$A$5:$A$24,0))=0,"",INDEX(근로자명부!$G$5:$G$24,MATCH($B70,근로자명부!$A$5:$A$24,0)))),"")</f>
        <v/>
      </c>
      <c r="G70" s="30">
        <f>IF(OR($A70="",$B70=""),"",COUNTIFS(근태기록!$C$5:$C$2004,$B70,근태기록!$A$5:$A$2004,"&gt;="&amp;$A70,근태기록!$A$5:$A$2004,"&lt;="&amp;EOMONTH($A70,0),근태기록!$H$5:$H$2004,"&gt;0"))</f>
        <v/>
      </c>
      <c r="H70" s="33">
        <f>IF(OR($A70="",$B70=""),"",SUMIFS(근태기록!$H$5:$H$2004,근태기록!$C$5:$C$2004,$B70,근태기록!$A$5:$A$2004,"&gt;="&amp;$A70,근태기록!$A$5:$A$2004,"&lt;="&amp;EOMONTH($A70,0)))</f>
        <v/>
      </c>
      <c r="I70" s="33">
        <f>IF(OR($A70="",$B70=""),"",SUMIFS(근태기록!$I$5:$I$2004,근태기록!$C$5:$C$2004,$B70,근태기록!$A$5:$A$2004,"&gt;="&amp;$A70,근태기록!$A$5:$A$2004,"&lt;="&amp;EOMONTH($A70,0)))</f>
        <v/>
      </c>
      <c r="J70" s="33">
        <f>IF(OR($A70="",$B70=""),"",SUMIFS(근태기록!$J$5:$J$2004,근태기록!$C$5:$C$2004,$B70,근태기록!$A$5:$A$2004,"&gt;="&amp;$A70,근태기록!$A$5:$A$2004,"&lt;="&amp;EOMONTH($A70,0)))</f>
        <v/>
      </c>
      <c r="K70" s="33">
        <f>IF(OR($A70="",$B70=""),"",SUMIFS(근태기록!$H$5:$H$2004,근태기록!$C$5:$C$2004,$B70,근태기록!$A$5:$A$2004,"&gt;="&amp;$A70,근태기록!$A$5:$A$2004,"&lt;="&amp;EOMONTH($A70,0),근태기록!$L$5:$L$2004,"휴일근로"))</f>
        <v/>
      </c>
      <c r="L70" s="20" t="n"/>
      <c r="M70" s="20" t="n"/>
      <c r="N70" s="20" t="n"/>
      <c r="O70" s="20" t="n"/>
      <c r="P70" s="15">
        <f>IF(OR($A70="",$B70=""),"",SUM(L70:O70))</f>
        <v/>
      </c>
      <c r="Q70" s="20" t="n"/>
      <c r="R70" s="20" t="n"/>
      <c r="S70" s="20" t="n"/>
      <c r="T70" s="20" t="n"/>
      <c r="U70" s="20" t="n"/>
      <c r="V70" s="20" t="n"/>
      <c r="W70" s="15">
        <f>IF(OR($A70="",$B70=""),"",SUM(Q70:V70))</f>
        <v/>
      </c>
      <c r="X70" s="15">
        <f>IF(OR($A70="",$B70=""),"",N(P70)-N(W70))</f>
        <v/>
      </c>
    </row>
    <row r="71">
      <c r="A71" s="43" t="n"/>
      <c r="B71" s="18" t="n"/>
      <c r="C71" s="25">
        <f>IFERROR(IF($B71="","",IF(INDEX(직원명부!$B$5:$B$24,MATCH($B71,직원명부!$A$5:$A$24,0))=0,"",INDEX(직원명부!$B$5:$B$24,MATCH($B71,직원명부!$A$5:$A$24,0)))),"사번 확인")</f>
        <v/>
      </c>
      <c r="D71" s="26">
        <f>IFERROR(IF($B71="","",IF(INDEX(근로자명부!$D$5:$D$24,MATCH($B71,근로자명부!$A$5:$A$24,0))=0,"",INDEX(근로자명부!$D$5:$D$24,MATCH($B71,근로자명부!$A$5:$A$24,0)))),"")</f>
        <v/>
      </c>
      <c r="E71" s="26">
        <f>IFERROR(IF($B71="","",IF(INDEX(직원명부!$C$5:$C$24,MATCH($B71,직원명부!$A$5:$A$24,0))=0,"",INDEX(직원명부!$C$5:$C$24,MATCH($B71,직원명부!$A$5:$A$24,0)))),"")</f>
        <v/>
      </c>
      <c r="F71" s="44">
        <f>IFERROR(IF($B71="","",IF(INDEX(근로자명부!$G$5:$G$24,MATCH($B71,근로자명부!$A$5:$A$24,0))=0,"",INDEX(근로자명부!$G$5:$G$24,MATCH($B71,근로자명부!$A$5:$A$24,0)))),"")</f>
        <v/>
      </c>
      <c r="G71" s="30">
        <f>IF(OR($A71="",$B71=""),"",COUNTIFS(근태기록!$C$5:$C$2004,$B71,근태기록!$A$5:$A$2004,"&gt;="&amp;$A71,근태기록!$A$5:$A$2004,"&lt;="&amp;EOMONTH($A71,0),근태기록!$H$5:$H$2004,"&gt;0"))</f>
        <v/>
      </c>
      <c r="H71" s="33">
        <f>IF(OR($A71="",$B71=""),"",SUMIFS(근태기록!$H$5:$H$2004,근태기록!$C$5:$C$2004,$B71,근태기록!$A$5:$A$2004,"&gt;="&amp;$A71,근태기록!$A$5:$A$2004,"&lt;="&amp;EOMONTH($A71,0)))</f>
        <v/>
      </c>
      <c r="I71" s="33">
        <f>IF(OR($A71="",$B71=""),"",SUMIFS(근태기록!$I$5:$I$2004,근태기록!$C$5:$C$2004,$B71,근태기록!$A$5:$A$2004,"&gt;="&amp;$A71,근태기록!$A$5:$A$2004,"&lt;="&amp;EOMONTH($A71,0)))</f>
        <v/>
      </c>
      <c r="J71" s="33">
        <f>IF(OR($A71="",$B71=""),"",SUMIFS(근태기록!$J$5:$J$2004,근태기록!$C$5:$C$2004,$B71,근태기록!$A$5:$A$2004,"&gt;="&amp;$A71,근태기록!$A$5:$A$2004,"&lt;="&amp;EOMONTH($A71,0)))</f>
        <v/>
      </c>
      <c r="K71" s="33">
        <f>IF(OR($A71="",$B71=""),"",SUMIFS(근태기록!$H$5:$H$2004,근태기록!$C$5:$C$2004,$B71,근태기록!$A$5:$A$2004,"&gt;="&amp;$A71,근태기록!$A$5:$A$2004,"&lt;="&amp;EOMONTH($A71,0),근태기록!$L$5:$L$2004,"휴일근로"))</f>
        <v/>
      </c>
      <c r="L71" s="20" t="n"/>
      <c r="M71" s="20" t="n"/>
      <c r="N71" s="20" t="n"/>
      <c r="O71" s="20" t="n"/>
      <c r="P71" s="15">
        <f>IF(OR($A71="",$B71=""),"",SUM(L71:O71))</f>
        <v/>
      </c>
      <c r="Q71" s="20" t="n"/>
      <c r="R71" s="20" t="n"/>
      <c r="S71" s="20" t="n"/>
      <c r="T71" s="20" t="n"/>
      <c r="U71" s="20" t="n"/>
      <c r="V71" s="20" t="n"/>
      <c r="W71" s="15">
        <f>IF(OR($A71="",$B71=""),"",SUM(Q71:V71))</f>
        <v/>
      </c>
      <c r="X71" s="15">
        <f>IF(OR($A71="",$B71=""),"",N(P71)-N(W71))</f>
        <v/>
      </c>
    </row>
    <row r="72">
      <c r="A72" s="43" t="n"/>
      <c r="B72" s="18" t="n"/>
      <c r="C72" s="25">
        <f>IFERROR(IF($B72="","",IF(INDEX(직원명부!$B$5:$B$24,MATCH($B72,직원명부!$A$5:$A$24,0))=0,"",INDEX(직원명부!$B$5:$B$24,MATCH($B72,직원명부!$A$5:$A$24,0)))),"사번 확인")</f>
        <v/>
      </c>
      <c r="D72" s="26">
        <f>IFERROR(IF($B72="","",IF(INDEX(근로자명부!$D$5:$D$24,MATCH($B72,근로자명부!$A$5:$A$24,0))=0,"",INDEX(근로자명부!$D$5:$D$24,MATCH($B72,근로자명부!$A$5:$A$24,0)))),"")</f>
        <v/>
      </c>
      <c r="E72" s="26">
        <f>IFERROR(IF($B72="","",IF(INDEX(직원명부!$C$5:$C$24,MATCH($B72,직원명부!$A$5:$A$24,0))=0,"",INDEX(직원명부!$C$5:$C$24,MATCH($B72,직원명부!$A$5:$A$24,0)))),"")</f>
        <v/>
      </c>
      <c r="F72" s="44">
        <f>IFERROR(IF($B72="","",IF(INDEX(근로자명부!$G$5:$G$24,MATCH($B72,근로자명부!$A$5:$A$24,0))=0,"",INDEX(근로자명부!$G$5:$G$24,MATCH($B72,근로자명부!$A$5:$A$24,0)))),"")</f>
        <v/>
      </c>
      <c r="G72" s="30">
        <f>IF(OR($A72="",$B72=""),"",COUNTIFS(근태기록!$C$5:$C$2004,$B72,근태기록!$A$5:$A$2004,"&gt;="&amp;$A72,근태기록!$A$5:$A$2004,"&lt;="&amp;EOMONTH($A72,0),근태기록!$H$5:$H$2004,"&gt;0"))</f>
        <v/>
      </c>
      <c r="H72" s="33">
        <f>IF(OR($A72="",$B72=""),"",SUMIFS(근태기록!$H$5:$H$2004,근태기록!$C$5:$C$2004,$B72,근태기록!$A$5:$A$2004,"&gt;="&amp;$A72,근태기록!$A$5:$A$2004,"&lt;="&amp;EOMONTH($A72,0)))</f>
        <v/>
      </c>
      <c r="I72" s="33">
        <f>IF(OR($A72="",$B72=""),"",SUMIFS(근태기록!$I$5:$I$2004,근태기록!$C$5:$C$2004,$B72,근태기록!$A$5:$A$2004,"&gt;="&amp;$A72,근태기록!$A$5:$A$2004,"&lt;="&amp;EOMONTH($A72,0)))</f>
        <v/>
      </c>
      <c r="J72" s="33">
        <f>IF(OR($A72="",$B72=""),"",SUMIFS(근태기록!$J$5:$J$2004,근태기록!$C$5:$C$2004,$B72,근태기록!$A$5:$A$2004,"&gt;="&amp;$A72,근태기록!$A$5:$A$2004,"&lt;="&amp;EOMONTH($A72,0)))</f>
        <v/>
      </c>
      <c r="K72" s="33">
        <f>IF(OR($A72="",$B72=""),"",SUMIFS(근태기록!$H$5:$H$2004,근태기록!$C$5:$C$2004,$B72,근태기록!$A$5:$A$2004,"&gt;="&amp;$A72,근태기록!$A$5:$A$2004,"&lt;="&amp;EOMONTH($A72,0),근태기록!$L$5:$L$2004,"휴일근로"))</f>
        <v/>
      </c>
      <c r="L72" s="20" t="n"/>
      <c r="M72" s="20" t="n"/>
      <c r="N72" s="20" t="n"/>
      <c r="O72" s="20" t="n"/>
      <c r="P72" s="15">
        <f>IF(OR($A72="",$B72=""),"",SUM(L72:O72))</f>
        <v/>
      </c>
      <c r="Q72" s="20" t="n"/>
      <c r="R72" s="20" t="n"/>
      <c r="S72" s="20" t="n"/>
      <c r="T72" s="20" t="n"/>
      <c r="U72" s="20" t="n"/>
      <c r="V72" s="20" t="n"/>
      <c r="W72" s="15">
        <f>IF(OR($A72="",$B72=""),"",SUM(Q72:V72))</f>
        <v/>
      </c>
      <c r="X72" s="15">
        <f>IF(OR($A72="",$B72=""),"",N(P72)-N(W72))</f>
        <v/>
      </c>
    </row>
    <row r="73">
      <c r="A73" s="43" t="n"/>
      <c r="B73" s="18" t="n"/>
      <c r="C73" s="25">
        <f>IFERROR(IF($B73="","",IF(INDEX(직원명부!$B$5:$B$24,MATCH($B73,직원명부!$A$5:$A$24,0))=0,"",INDEX(직원명부!$B$5:$B$24,MATCH($B73,직원명부!$A$5:$A$24,0)))),"사번 확인")</f>
        <v/>
      </c>
      <c r="D73" s="26">
        <f>IFERROR(IF($B73="","",IF(INDEX(근로자명부!$D$5:$D$24,MATCH($B73,근로자명부!$A$5:$A$24,0))=0,"",INDEX(근로자명부!$D$5:$D$24,MATCH($B73,근로자명부!$A$5:$A$24,0)))),"")</f>
        <v/>
      </c>
      <c r="E73" s="26">
        <f>IFERROR(IF($B73="","",IF(INDEX(직원명부!$C$5:$C$24,MATCH($B73,직원명부!$A$5:$A$24,0))=0,"",INDEX(직원명부!$C$5:$C$24,MATCH($B73,직원명부!$A$5:$A$24,0)))),"")</f>
        <v/>
      </c>
      <c r="F73" s="44">
        <f>IFERROR(IF($B73="","",IF(INDEX(근로자명부!$G$5:$G$24,MATCH($B73,근로자명부!$A$5:$A$24,0))=0,"",INDEX(근로자명부!$G$5:$G$24,MATCH($B73,근로자명부!$A$5:$A$24,0)))),"")</f>
        <v/>
      </c>
      <c r="G73" s="30">
        <f>IF(OR($A73="",$B73=""),"",COUNTIFS(근태기록!$C$5:$C$2004,$B73,근태기록!$A$5:$A$2004,"&gt;="&amp;$A73,근태기록!$A$5:$A$2004,"&lt;="&amp;EOMONTH($A73,0),근태기록!$H$5:$H$2004,"&gt;0"))</f>
        <v/>
      </c>
      <c r="H73" s="33">
        <f>IF(OR($A73="",$B73=""),"",SUMIFS(근태기록!$H$5:$H$2004,근태기록!$C$5:$C$2004,$B73,근태기록!$A$5:$A$2004,"&gt;="&amp;$A73,근태기록!$A$5:$A$2004,"&lt;="&amp;EOMONTH($A73,0)))</f>
        <v/>
      </c>
      <c r="I73" s="33">
        <f>IF(OR($A73="",$B73=""),"",SUMIFS(근태기록!$I$5:$I$2004,근태기록!$C$5:$C$2004,$B73,근태기록!$A$5:$A$2004,"&gt;="&amp;$A73,근태기록!$A$5:$A$2004,"&lt;="&amp;EOMONTH($A73,0)))</f>
        <v/>
      </c>
      <c r="J73" s="33">
        <f>IF(OR($A73="",$B73=""),"",SUMIFS(근태기록!$J$5:$J$2004,근태기록!$C$5:$C$2004,$B73,근태기록!$A$5:$A$2004,"&gt;="&amp;$A73,근태기록!$A$5:$A$2004,"&lt;="&amp;EOMONTH($A73,0)))</f>
        <v/>
      </c>
      <c r="K73" s="33">
        <f>IF(OR($A73="",$B73=""),"",SUMIFS(근태기록!$H$5:$H$2004,근태기록!$C$5:$C$2004,$B73,근태기록!$A$5:$A$2004,"&gt;="&amp;$A73,근태기록!$A$5:$A$2004,"&lt;="&amp;EOMONTH($A73,0),근태기록!$L$5:$L$2004,"휴일근로"))</f>
        <v/>
      </c>
      <c r="L73" s="20" t="n"/>
      <c r="M73" s="20" t="n"/>
      <c r="N73" s="20" t="n"/>
      <c r="O73" s="20" t="n"/>
      <c r="P73" s="15">
        <f>IF(OR($A73="",$B73=""),"",SUM(L73:O73))</f>
        <v/>
      </c>
      <c r="Q73" s="20" t="n"/>
      <c r="R73" s="20" t="n"/>
      <c r="S73" s="20" t="n"/>
      <c r="T73" s="20" t="n"/>
      <c r="U73" s="20" t="n"/>
      <c r="V73" s="20" t="n"/>
      <c r="W73" s="15">
        <f>IF(OR($A73="",$B73=""),"",SUM(Q73:V73))</f>
        <v/>
      </c>
      <c r="X73" s="15">
        <f>IF(OR($A73="",$B73=""),"",N(P73)-N(W73))</f>
        <v/>
      </c>
    </row>
    <row r="74">
      <c r="A74" s="43" t="n"/>
      <c r="B74" s="18" t="n"/>
      <c r="C74" s="25">
        <f>IFERROR(IF($B74="","",IF(INDEX(직원명부!$B$5:$B$24,MATCH($B74,직원명부!$A$5:$A$24,0))=0,"",INDEX(직원명부!$B$5:$B$24,MATCH($B74,직원명부!$A$5:$A$24,0)))),"사번 확인")</f>
        <v/>
      </c>
      <c r="D74" s="26">
        <f>IFERROR(IF($B74="","",IF(INDEX(근로자명부!$D$5:$D$24,MATCH($B74,근로자명부!$A$5:$A$24,0))=0,"",INDEX(근로자명부!$D$5:$D$24,MATCH($B74,근로자명부!$A$5:$A$24,0)))),"")</f>
        <v/>
      </c>
      <c r="E74" s="26">
        <f>IFERROR(IF($B74="","",IF(INDEX(직원명부!$C$5:$C$24,MATCH($B74,직원명부!$A$5:$A$24,0))=0,"",INDEX(직원명부!$C$5:$C$24,MATCH($B74,직원명부!$A$5:$A$24,0)))),"")</f>
        <v/>
      </c>
      <c r="F74" s="44">
        <f>IFERROR(IF($B74="","",IF(INDEX(근로자명부!$G$5:$G$24,MATCH($B74,근로자명부!$A$5:$A$24,0))=0,"",INDEX(근로자명부!$G$5:$G$24,MATCH($B74,근로자명부!$A$5:$A$24,0)))),"")</f>
        <v/>
      </c>
      <c r="G74" s="30">
        <f>IF(OR($A74="",$B74=""),"",COUNTIFS(근태기록!$C$5:$C$2004,$B74,근태기록!$A$5:$A$2004,"&gt;="&amp;$A74,근태기록!$A$5:$A$2004,"&lt;="&amp;EOMONTH($A74,0),근태기록!$H$5:$H$2004,"&gt;0"))</f>
        <v/>
      </c>
      <c r="H74" s="33">
        <f>IF(OR($A74="",$B74=""),"",SUMIFS(근태기록!$H$5:$H$2004,근태기록!$C$5:$C$2004,$B74,근태기록!$A$5:$A$2004,"&gt;="&amp;$A74,근태기록!$A$5:$A$2004,"&lt;="&amp;EOMONTH($A74,0)))</f>
        <v/>
      </c>
      <c r="I74" s="33">
        <f>IF(OR($A74="",$B74=""),"",SUMIFS(근태기록!$I$5:$I$2004,근태기록!$C$5:$C$2004,$B74,근태기록!$A$5:$A$2004,"&gt;="&amp;$A74,근태기록!$A$5:$A$2004,"&lt;="&amp;EOMONTH($A74,0)))</f>
        <v/>
      </c>
      <c r="J74" s="33">
        <f>IF(OR($A74="",$B74=""),"",SUMIFS(근태기록!$J$5:$J$2004,근태기록!$C$5:$C$2004,$B74,근태기록!$A$5:$A$2004,"&gt;="&amp;$A74,근태기록!$A$5:$A$2004,"&lt;="&amp;EOMONTH($A74,0)))</f>
        <v/>
      </c>
      <c r="K74" s="33">
        <f>IF(OR($A74="",$B74=""),"",SUMIFS(근태기록!$H$5:$H$2004,근태기록!$C$5:$C$2004,$B74,근태기록!$A$5:$A$2004,"&gt;="&amp;$A74,근태기록!$A$5:$A$2004,"&lt;="&amp;EOMONTH($A74,0),근태기록!$L$5:$L$2004,"휴일근로"))</f>
        <v/>
      </c>
      <c r="L74" s="20" t="n"/>
      <c r="M74" s="20" t="n"/>
      <c r="N74" s="20" t="n"/>
      <c r="O74" s="20" t="n"/>
      <c r="P74" s="15">
        <f>IF(OR($A74="",$B74=""),"",SUM(L74:O74))</f>
        <v/>
      </c>
      <c r="Q74" s="20" t="n"/>
      <c r="R74" s="20" t="n"/>
      <c r="S74" s="20" t="n"/>
      <c r="T74" s="20" t="n"/>
      <c r="U74" s="20" t="n"/>
      <c r="V74" s="20" t="n"/>
      <c r="W74" s="15">
        <f>IF(OR($A74="",$B74=""),"",SUM(Q74:V74))</f>
        <v/>
      </c>
      <c r="X74" s="15">
        <f>IF(OR($A74="",$B74=""),"",N(P74)-N(W74))</f>
        <v/>
      </c>
    </row>
    <row r="75">
      <c r="A75" s="43" t="n"/>
      <c r="B75" s="18" t="n"/>
      <c r="C75" s="25">
        <f>IFERROR(IF($B75="","",IF(INDEX(직원명부!$B$5:$B$24,MATCH($B75,직원명부!$A$5:$A$24,0))=0,"",INDEX(직원명부!$B$5:$B$24,MATCH($B75,직원명부!$A$5:$A$24,0)))),"사번 확인")</f>
        <v/>
      </c>
      <c r="D75" s="26">
        <f>IFERROR(IF($B75="","",IF(INDEX(근로자명부!$D$5:$D$24,MATCH($B75,근로자명부!$A$5:$A$24,0))=0,"",INDEX(근로자명부!$D$5:$D$24,MATCH($B75,근로자명부!$A$5:$A$24,0)))),"")</f>
        <v/>
      </c>
      <c r="E75" s="26">
        <f>IFERROR(IF($B75="","",IF(INDEX(직원명부!$C$5:$C$24,MATCH($B75,직원명부!$A$5:$A$24,0))=0,"",INDEX(직원명부!$C$5:$C$24,MATCH($B75,직원명부!$A$5:$A$24,0)))),"")</f>
        <v/>
      </c>
      <c r="F75" s="44">
        <f>IFERROR(IF($B75="","",IF(INDEX(근로자명부!$G$5:$G$24,MATCH($B75,근로자명부!$A$5:$A$24,0))=0,"",INDEX(근로자명부!$G$5:$G$24,MATCH($B75,근로자명부!$A$5:$A$24,0)))),"")</f>
        <v/>
      </c>
      <c r="G75" s="30">
        <f>IF(OR($A75="",$B75=""),"",COUNTIFS(근태기록!$C$5:$C$2004,$B75,근태기록!$A$5:$A$2004,"&gt;="&amp;$A75,근태기록!$A$5:$A$2004,"&lt;="&amp;EOMONTH($A75,0),근태기록!$H$5:$H$2004,"&gt;0"))</f>
        <v/>
      </c>
      <c r="H75" s="33">
        <f>IF(OR($A75="",$B75=""),"",SUMIFS(근태기록!$H$5:$H$2004,근태기록!$C$5:$C$2004,$B75,근태기록!$A$5:$A$2004,"&gt;="&amp;$A75,근태기록!$A$5:$A$2004,"&lt;="&amp;EOMONTH($A75,0)))</f>
        <v/>
      </c>
      <c r="I75" s="33">
        <f>IF(OR($A75="",$B75=""),"",SUMIFS(근태기록!$I$5:$I$2004,근태기록!$C$5:$C$2004,$B75,근태기록!$A$5:$A$2004,"&gt;="&amp;$A75,근태기록!$A$5:$A$2004,"&lt;="&amp;EOMONTH($A75,0)))</f>
        <v/>
      </c>
      <c r="J75" s="33">
        <f>IF(OR($A75="",$B75=""),"",SUMIFS(근태기록!$J$5:$J$2004,근태기록!$C$5:$C$2004,$B75,근태기록!$A$5:$A$2004,"&gt;="&amp;$A75,근태기록!$A$5:$A$2004,"&lt;="&amp;EOMONTH($A75,0)))</f>
        <v/>
      </c>
      <c r="K75" s="33">
        <f>IF(OR($A75="",$B75=""),"",SUMIFS(근태기록!$H$5:$H$2004,근태기록!$C$5:$C$2004,$B75,근태기록!$A$5:$A$2004,"&gt;="&amp;$A75,근태기록!$A$5:$A$2004,"&lt;="&amp;EOMONTH($A75,0),근태기록!$L$5:$L$2004,"휴일근로"))</f>
        <v/>
      </c>
      <c r="L75" s="20" t="n"/>
      <c r="M75" s="20" t="n"/>
      <c r="N75" s="20" t="n"/>
      <c r="O75" s="20" t="n"/>
      <c r="P75" s="15">
        <f>IF(OR($A75="",$B75=""),"",SUM(L75:O75))</f>
        <v/>
      </c>
      <c r="Q75" s="20" t="n"/>
      <c r="R75" s="20" t="n"/>
      <c r="S75" s="20" t="n"/>
      <c r="T75" s="20" t="n"/>
      <c r="U75" s="20" t="n"/>
      <c r="V75" s="20" t="n"/>
      <c r="W75" s="15">
        <f>IF(OR($A75="",$B75=""),"",SUM(Q75:V75))</f>
        <v/>
      </c>
      <c r="X75" s="15">
        <f>IF(OR($A75="",$B75=""),"",N(P75)-N(W75))</f>
        <v/>
      </c>
    </row>
    <row r="76">
      <c r="A76" s="43" t="n"/>
      <c r="B76" s="18" t="n"/>
      <c r="C76" s="25">
        <f>IFERROR(IF($B76="","",IF(INDEX(직원명부!$B$5:$B$24,MATCH($B76,직원명부!$A$5:$A$24,0))=0,"",INDEX(직원명부!$B$5:$B$24,MATCH($B76,직원명부!$A$5:$A$24,0)))),"사번 확인")</f>
        <v/>
      </c>
      <c r="D76" s="26">
        <f>IFERROR(IF($B76="","",IF(INDEX(근로자명부!$D$5:$D$24,MATCH($B76,근로자명부!$A$5:$A$24,0))=0,"",INDEX(근로자명부!$D$5:$D$24,MATCH($B76,근로자명부!$A$5:$A$24,0)))),"")</f>
        <v/>
      </c>
      <c r="E76" s="26">
        <f>IFERROR(IF($B76="","",IF(INDEX(직원명부!$C$5:$C$24,MATCH($B76,직원명부!$A$5:$A$24,0))=0,"",INDEX(직원명부!$C$5:$C$24,MATCH($B76,직원명부!$A$5:$A$24,0)))),"")</f>
        <v/>
      </c>
      <c r="F76" s="44">
        <f>IFERROR(IF($B76="","",IF(INDEX(근로자명부!$G$5:$G$24,MATCH($B76,근로자명부!$A$5:$A$24,0))=0,"",INDEX(근로자명부!$G$5:$G$24,MATCH($B76,근로자명부!$A$5:$A$24,0)))),"")</f>
        <v/>
      </c>
      <c r="G76" s="30">
        <f>IF(OR($A76="",$B76=""),"",COUNTIFS(근태기록!$C$5:$C$2004,$B76,근태기록!$A$5:$A$2004,"&gt;="&amp;$A76,근태기록!$A$5:$A$2004,"&lt;="&amp;EOMONTH($A76,0),근태기록!$H$5:$H$2004,"&gt;0"))</f>
        <v/>
      </c>
      <c r="H76" s="33">
        <f>IF(OR($A76="",$B76=""),"",SUMIFS(근태기록!$H$5:$H$2004,근태기록!$C$5:$C$2004,$B76,근태기록!$A$5:$A$2004,"&gt;="&amp;$A76,근태기록!$A$5:$A$2004,"&lt;="&amp;EOMONTH($A76,0)))</f>
        <v/>
      </c>
      <c r="I76" s="33">
        <f>IF(OR($A76="",$B76=""),"",SUMIFS(근태기록!$I$5:$I$2004,근태기록!$C$5:$C$2004,$B76,근태기록!$A$5:$A$2004,"&gt;="&amp;$A76,근태기록!$A$5:$A$2004,"&lt;="&amp;EOMONTH($A76,0)))</f>
        <v/>
      </c>
      <c r="J76" s="33">
        <f>IF(OR($A76="",$B76=""),"",SUMIFS(근태기록!$J$5:$J$2004,근태기록!$C$5:$C$2004,$B76,근태기록!$A$5:$A$2004,"&gt;="&amp;$A76,근태기록!$A$5:$A$2004,"&lt;="&amp;EOMONTH($A76,0)))</f>
        <v/>
      </c>
      <c r="K76" s="33">
        <f>IF(OR($A76="",$B76=""),"",SUMIFS(근태기록!$H$5:$H$2004,근태기록!$C$5:$C$2004,$B76,근태기록!$A$5:$A$2004,"&gt;="&amp;$A76,근태기록!$A$5:$A$2004,"&lt;="&amp;EOMONTH($A76,0),근태기록!$L$5:$L$2004,"휴일근로"))</f>
        <v/>
      </c>
      <c r="L76" s="20" t="n"/>
      <c r="M76" s="20" t="n"/>
      <c r="N76" s="20" t="n"/>
      <c r="O76" s="20" t="n"/>
      <c r="P76" s="15">
        <f>IF(OR($A76="",$B76=""),"",SUM(L76:O76))</f>
        <v/>
      </c>
      <c r="Q76" s="20" t="n"/>
      <c r="R76" s="20" t="n"/>
      <c r="S76" s="20" t="n"/>
      <c r="T76" s="20" t="n"/>
      <c r="U76" s="20" t="n"/>
      <c r="V76" s="20" t="n"/>
      <c r="W76" s="15">
        <f>IF(OR($A76="",$B76=""),"",SUM(Q76:V76))</f>
        <v/>
      </c>
      <c r="X76" s="15">
        <f>IF(OR($A76="",$B76=""),"",N(P76)-N(W76))</f>
        <v/>
      </c>
    </row>
    <row r="77">
      <c r="A77" s="43" t="n"/>
      <c r="B77" s="18" t="n"/>
      <c r="C77" s="25">
        <f>IFERROR(IF($B77="","",IF(INDEX(직원명부!$B$5:$B$24,MATCH($B77,직원명부!$A$5:$A$24,0))=0,"",INDEX(직원명부!$B$5:$B$24,MATCH($B77,직원명부!$A$5:$A$24,0)))),"사번 확인")</f>
        <v/>
      </c>
      <c r="D77" s="26">
        <f>IFERROR(IF($B77="","",IF(INDEX(근로자명부!$D$5:$D$24,MATCH($B77,근로자명부!$A$5:$A$24,0))=0,"",INDEX(근로자명부!$D$5:$D$24,MATCH($B77,근로자명부!$A$5:$A$24,0)))),"")</f>
        <v/>
      </c>
      <c r="E77" s="26">
        <f>IFERROR(IF($B77="","",IF(INDEX(직원명부!$C$5:$C$24,MATCH($B77,직원명부!$A$5:$A$24,0))=0,"",INDEX(직원명부!$C$5:$C$24,MATCH($B77,직원명부!$A$5:$A$24,0)))),"")</f>
        <v/>
      </c>
      <c r="F77" s="44">
        <f>IFERROR(IF($B77="","",IF(INDEX(근로자명부!$G$5:$G$24,MATCH($B77,근로자명부!$A$5:$A$24,0))=0,"",INDEX(근로자명부!$G$5:$G$24,MATCH($B77,근로자명부!$A$5:$A$24,0)))),"")</f>
        <v/>
      </c>
      <c r="G77" s="30">
        <f>IF(OR($A77="",$B77=""),"",COUNTIFS(근태기록!$C$5:$C$2004,$B77,근태기록!$A$5:$A$2004,"&gt;="&amp;$A77,근태기록!$A$5:$A$2004,"&lt;="&amp;EOMONTH($A77,0),근태기록!$H$5:$H$2004,"&gt;0"))</f>
        <v/>
      </c>
      <c r="H77" s="33">
        <f>IF(OR($A77="",$B77=""),"",SUMIFS(근태기록!$H$5:$H$2004,근태기록!$C$5:$C$2004,$B77,근태기록!$A$5:$A$2004,"&gt;="&amp;$A77,근태기록!$A$5:$A$2004,"&lt;="&amp;EOMONTH($A77,0)))</f>
        <v/>
      </c>
      <c r="I77" s="33">
        <f>IF(OR($A77="",$B77=""),"",SUMIFS(근태기록!$I$5:$I$2004,근태기록!$C$5:$C$2004,$B77,근태기록!$A$5:$A$2004,"&gt;="&amp;$A77,근태기록!$A$5:$A$2004,"&lt;="&amp;EOMONTH($A77,0)))</f>
        <v/>
      </c>
      <c r="J77" s="33">
        <f>IF(OR($A77="",$B77=""),"",SUMIFS(근태기록!$J$5:$J$2004,근태기록!$C$5:$C$2004,$B77,근태기록!$A$5:$A$2004,"&gt;="&amp;$A77,근태기록!$A$5:$A$2004,"&lt;="&amp;EOMONTH($A77,0)))</f>
        <v/>
      </c>
      <c r="K77" s="33">
        <f>IF(OR($A77="",$B77=""),"",SUMIFS(근태기록!$H$5:$H$2004,근태기록!$C$5:$C$2004,$B77,근태기록!$A$5:$A$2004,"&gt;="&amp;$A77,근태기록!$A$5:$A$2004,"&lt;="&amp;EOMONTH($A77,0),근태기록!$L$5:$L$2004,"휴일근로"))</f>
        <v/>
      </c>
      <c r="L77" s="20" t="n"/>
      <c r="M77" s="20" t="n"/>
      <c r="N77" s="20" t="n"/>
      <c r="O77" s="20" t="n"/>
      <c r="P77" s="15">
        <f>IF(OR($A77="",$B77=""),"",SUM(L77:O77))</f>
        <v/>
      </c>
      <c r="Q77" s="20" t="n"/>
      <c r="R77" s="20" t="n"/>
      <c r="S77" s="20" t="n"/>
      <c r="T77" s="20" t="n"/>
      <c r="U77" s="20" t="n"/>
      <c r="V77" s="20" t="n"/>
      <c r="W77" s="15">
        <f>IF(OR($A77="",$B77=""),"",SUM(Q77:V77))</f>
        <v/>
      </c>
      <c r="X77" s="15">
        <f>IF(OR($A77="",$B77=""),"",N(P77)-N(W77))</f>
        <v/>
      </c>
    </row>
    <row r="78">
      <c r="A78" s="43" t="n"/>
      <c r="B78" s="18" t="n"/>
      <c r="C78" s="25">
        <f>IFERROR(IF($B78="","",IF(INDEX(직원명부!$B$5:$B$24,MATCH($B78,직원명부!$A$5:$A$24,0))=0,"",INDEX(직원명부!$B$5:$B$24,MATCH($B78,직원명부!$A$5:$A$24,0)))),"사번 확인")</f>
        <v/>
      </c>
      <c r="D78" s="26">
        <f>IFERROR(IF($B78="","",IF(INDEX(근로자명부!$D$5:$D$24,MATCH($B78,근로자명부!$A$5:$A$24,0))=0,"",INDEX(근로자명부!$D$5:$D$24,MATCH($B78,근로자명부!$A$5:$A$24,0)))),"")</f>
        <v/>
      </c>
      <c r="E78" s="26">
        <f>IFERROR(IF($B78="","",IF(INDEX(직원명부!$C$5:$C$24,MATCH($B78,직원명부!$A$5:$A$24,0))=0,"",INDEX(직원명부!$C$5:$C$24,MATCH($B78,직원명부!$A$5:$A$24,0)))),"")</f>
        <v/>
      </c>
      <c r="F78" s="44">
        <f>IFERROR(IF($B78="","",IF(INDEX(근로자명부!$G$5:$G$24,MATCH($B78,근로자명부!$A$5:$A$24,0))=0,"",INDEX(근로자명부!$G$5:$G$24,MATCH($B78,근로자명부!$A$5:$A$24,0)))),"")</f>
        <v/>
      </c>
      <c r="G78" s="30">
        <f>IF(OR($A78="",$B78=""),"",COUNTIFS(근태기록!$C$5:$C$2004,$B78,근태기록!$A$5:$A$2004,"&gt;="&amp;$A78,근태기록!$A$5:$A$2004,"&lt;="&amp;EOMONTH($A78,0),근태기록!$H$5:$H$2004,"&gt;0"))</f>
        <v/>
      </c>
      <c r="H78" s="33">
        <f>IF(OR($A78="",$B78=""),"",SUMIFS(근태기록!$H$5:$H$2004,근태기록!$C$5:$C$2004,$B78,근태기록!$A$5:$A$2004,"&gt;="&amp;$A78,근태기록!$A$5:$A$2004,"&lt;="&amp;EOMONTH($A78,0)))</f>
        <v/>
      </c>
      <c r="I78" s="33">
        <f>IF(OR($A78="",$B78=""),"",SUMIFS(근태기록!$I$5:$I$2004,근태기록!$C$5:$C$2004,$B78,근태기록!$A$5:$A$2004,"&gt;="&amp;$A78,근태기록!$A$5:$A$2004,"&lt;="&amp;EOMONTH($A78,0)))</f>
        <v/>
      </c>
      <c r="J78" s="33">
        <f>IF(OR($A78="",$B78=""),"",SUMIFS(근태기록!$J$5:$J$2004,근태기록!$C$5:$C$2004,$B78,근태기록!$A$5:$A$2004,"&gt;="&amp;$A78,근태기록!$A$5:$A$2004,"&lt;="&amp;EOMONTH($A78,0)))</f>
        <v/>
      </c>
      <c r="K78" s="33">
        <f>IF(OR($A78="",$B78=""),"",SUMIFS(근태기록!$H$5:$H$2004,근태기록!$C$5:$C$2004,$B78,근태기록!$A$5:$A$2004,"&gt;="&amp;$A78,근태기록!$A$5:$A$2004,"&lt;="&amp;EOMONTH($A78,0),근태기록!$L$5:$L$2004,"휴일근로"))</f>
        <v/>
      </c>
      <c r="L78" s="20" t="n"/>
      <c r="M78" s="20" t="n"/>
      <c r="N78" s="20" t="n"/>
      <c r="O78" s="20" t="n"/>
      <c r="P78" s="15">
        <f>IF(OR($A78="",$B78=""),"",SUM(L78:O78))</f>
        <v/>
      </c>
      <c r="Q78" s="20" t="n"/>
      <c r="R78" s="20" t="n"/>
      <c r="S78" s="20" t="n"/>
      <c r="T78" s="20" t="n"/>
      <c r="U78" s="20" t="n"/>
      <c r="V78" s="20" t="n"/>
      <c r="W78" s="15">
        <f>IF(OR($A78="",$B78=""),"",SUM(Q78:V78))</f>
        <v/>
      </c>
      <c r="X78" s="15">
        <f>IF(OR($A78="",$B78=""),"",N(P78)-N(W78))</f>
        <v/>
      </c>
    </row>
    <row r="79">
      <c r="A79" s="43" t="n"/>
      <c r="B79" s="18" t="n"/>
      <c r="C79" s="25">
        <f>IFERROR(IF($B79="","",IF(INDEX(직원명부!$B$5:$B$24,MATCH($B79,직원명부!$A$5:$A$24,0))=0,"",INDEX(직원명부!$B$5:$B$24,MATCH($B79,직원명부!$A$5:$A$24,0)))),"사번 확인")</f>
        <v/>
      </c>
      <c r="D79" s="26">
        <f>IFERROR(IF($B79="","",IF(INDEX(근로자명부!$D$5:$D$24,MATCH($B79,근로자명부!$A$5:$A$24,0))=0,"",INDEX(근로자명부!$D$5:$D$24,MATCH($B79,근로자명부!$A$5:$A$24,0)))),"")</f>
        <v/>
      </c>
      <c r="E79" s="26">
        <f>IFERROR(IF($B79="","",IF(INDEX(직원명부!$C$5:$C$24,MATCH($B79,직원명부!$A$5:$A$24,0))=0,"",INDEX(직원명부!$C$5:$C$24,MATCH($B79,직원명부!$A$5:$A$24,0)))),"")</f>
        <v/>
      </c>
      <c r="F79" s="44">
        <f>IFERROR(IF($B79="","",IF(INDEX(근로자명부!$G$5:$G$24,MATCH($B79,근로자명부!$A$5:$A$24,0))=0,"",INDEX(근로자명부!$G$5:$G$24,MATCH($B79,근로자명부!$A$5:$A$24,0)))),"")</f>
        <v/>
      </c>
      <c r="G79" s="30">
        <f>IF(OR($A79="",$B79=""),"",COUNTIFS(근태기록!$C$5:$C$2004,$B79,근태기록!$A$5:$A$2004,"&gt;="&amp;$A79,근태기록!$A$5:$A$2004,"&lt;="&amp;EOMONTH($A79,0),근태기록!$H$5:$H$2004,"&gt;0"))</f>
        <v/>
      </c>
      <c r="H79" s="33">
        <f>IF(OR($A79="",$B79=""),"",SUMIFS(근태기록!$H$5:$H$2004,근태기록!$C$5:$C$2004,$B79,근태기록!$A$5:$A$2004,"&gt;="&amp;$A79,근태기록!$A$5:$A$2004,"&lt;="&amp;EOMONTH($A79,0)))</f>
        <v/>
      </c>
      <c r="I79" s="33">
        <f>IF(OR($A79="",$B79=""),"",SUMIFS(근태기록!$I$5:$I$2004,근태기록!$C$5:$C$2004,$B79,근태기록!$A$5:$A$2004,"&gt;="&amp;$A79,근태기록!$A$5:$A$2004,"&lt;="&amp;EOMONTH($A79,0)))</f>
        <v/>
      </c>
      <c r="J79" s="33">
        <f>IF(OR($A79="",$B79=""),"",SUMIFS(근태기록!$J$5:$J$2004,근태기록!$C$5:$C$2004,$B79,근태기록!$A$5:$A$2004,"&gt;="&amp;$A79,근태기록!$A$5:$A$2004,"&lt;="&amp;EOMONTH($A79,0)))</f>
        <v/>
      </c>
      <c r="K79" s="33">
        <f>IF(OR($A79="",$B79=""),"",SUMIFS(근태기록!$H$5:$H$2004,근태기록!$C$5:$C$2004,$B79,근태기록!$A$5:$A$2004,"&gt;="&amp;$A79,근태기록!$A$5:$A$2004,"&lt;="&amp;EOMONTH($A79,0),근태기록!$L$5:$L$2004,"휴일근로"))</f>
        <v/>
      </c>
      <c r="L79" s="20" t="n"/>
      <c r="M79" s="20" t="n"/>
      <c r="N79" s="20" t="n"/>
      <c r="O79" s="20" t="n"/>
      <c r="P79" s="15">
        <f>IF(OR($A79="",$B79=""),"",SUM(L79:O79))</f>
        <v/>
      </c>
      <c r="Q79" s="20" t="n"/>
      <c r="R79" s="20" t="n"/>
      <c r="S79" s="20" t="n"/>
      <c r="T79" s="20" t="n"/>
      <c r="U79" s="20" t="n"/>
      <c r="V79" s="20" t="n"/>
      <c r="W79" s="15">
        <f>IF(OR($A79="",$B79=""),"",SUM(Q79:V79))</f>
        <v/>
      </c>
      <c r="X79" s="15">
        <f>IF(OR($A79="",$B79=""),"",N(P79)-N(W79))</f>
        <v/>
      </c>
    </row>
    <row r="80">
      <c r="A80" s="43" t="n"/>
      <c r="B80" s="18" t="n"/>
      <c r="C80" s="25">
        <f>IFERROR(IF($B80="","",IF(INDEX(직원명부!$B$5:$B$24,MATCH($B80,직원명부!$A$5:$A$24,0))=0,"",INDEX(직원명부!$B$5:$B$24,MATCH($B80,직원명부!$A$5:$A$24,0)))),"사번 확인")</f>
        <v/>
      </c>
      <c r="D80" s="26">
        <f>IFERROR(IF($B80="","",IF(INDEX(근로자명부!$D$5:$D$24,MATCH($B80,근로자명부!$A$5:$A$24,0))=0,"",INDEX(근로자명부!$D$5:$D$24,MATCH($B80,근로자명부!$A$5:$A$24,0)))),"")</f>
        <v/>
      </c>
      <c r="E80" s="26">
        <f>IFERROR(IF($B80="","",IF(INDEX(직원명부!$C$5:$C$24,MATCH($B80,직원명부!$A$5:$A$24,0))=0,"",INDEX(직원명부!$C$5:$C$24,MATCH($B80,직원명부!$A$5:$A$24,0)))),"")</f>
        <v/>
      </c>
      <c r="F80" s="44">
        <f>IFERROR(IF($B80="","",IF(INDEX(근로자명부!$G$5:$G$24,MATCH($B80,근로자명부!$A$5:$A$24,0))=0,"",INDEX(근로자명부!$G$5:$G$24,MATCH($B80,근로자명부!$A$5:$A$24,0)))),"")</f>
        <v/>
      </c>
      <c r="G80" s="30">
        <f>IF(OR($A80="",$B80=""),"",COUNTIFS(근태기록!$C$5:$C$2004,$B80,근태기록!$A$5:$A$2004,"&gt;="&amp;$A80,근태기록!$A$5:$A$2004,"&lt;="&amp;EOMONTH($A80,0),근태기록!$H$5:$H$2004,"&gt;0"))</f>
        <v/>
      </c>
      <c r="H80" s="33">
        <f>IF(OR($A80="",$B80=""),"",SUMIFS(근태기록!$H$5:$H$2004,근태기록!$C$5:$C$2004,$B80,근태기록!$A$5:$A$2004,"&gt;="&amp;$A80,근태기록!$A$5:$A$2004,"&lt;="&amp;EOMONTH($A80,0)))</f>
        <v/>
      </c>
      <c r="I80" s="33">
        <f>IF(OR($A80="",$B80=""),"",SUMIFS(근태기록!$I$5:$I$2004,근태기록!$C$5:$C$2004,$B80,근태기록!$A$5:$A$2004,"&gt;="&amp;$A80,근태기록!$A$5:$A$2004,"&lt;="&amp;EOMONTH($A80,0)))</f>
        <v/>
      </c>
      <c r="J80" s="33">
        <f>IF(OR($A80="",$B80=""),"",SUMIFS(근태기록!$J$5:$J$2004,근태기록!$C$5:$C$2004,$B80,근태기록!$A$5:$A$2004,"&gt;="&amp;$A80,근태기록!$A$5:$A$2004,"&lt;="&amp;EOMONTH($A80,0)))</f>
        <v/>
      </c>
      <c r="K80" s="33">
        <f>IF(OR($A80="",$B80=""),"",SUMIFS(근태기록!$H$5:$H$2004,근태기록!$C$5:$C$2004,$B80,근태기록!$A$5:$A$2004,"&gt;="&amp;$A80,근태기록!$A$5:$A$2004,"&lt;="&amp;EOMONTH($A80,0),근태기록!$L$5:$L$2004,"휴일근로"))</f>
        <v/>
      </c>
      <c r="L80" s="20" t="n"/>
      <c r="M80" s="20" t="n"/>
      <c r="N80" s="20" t="n"/>
      <c r="O80" s="20" t="n"/>
      <c r="P80" s="15">
        <f>IF(OR($A80="",$B80=""),"",SUM(L80:O80))</f>
        <v/>
      </c>
      <c r="Q80" s="20" t="n"/>
      <c r="R80" s="20" t="n"/>
      <c r="S80" s="20" t="n"/>
      <c r="T80" s="20" t="n"/>
      <c r="U80" s="20" t="n"/>
      <c r="V80" s="20" t="n"/>
      <c r="W80" s="15">
        <f>IF(OR($A80="",$B80=""),"",SUM(Q80:V80))</f>
        <v/>
      </c>
      <c r="X80" s="15">
        <f>IF(OR($A80="",$B80=""),"",N(P80)-N(W80))</f>
        <v/>
      </c>
    </row>
    <row r="81">
      <c r="A81" s="43" t="n"/>
      <c r="B81" s="18" t="n"/>
      <c r="C81" s="25">
        <f>IFERROR(IF($B81="","",IF(INDEX(직원명부!$B$5:$B$24,MATCH($B81,직원명부!$A$5:$A$24,0))=0,"",INDEX(직원명부!$B$5:$B$24,MATCH($B81,직원명부!$A$5:$A$24,0)))),"사번 확인")</f>
        <v/>
      </c>
      <c r="D81" s="26">
        <f>IFERROR(IF($B81="","",IF(INDEX(근로자명부!$D$5:$D$24,MATCH($B81,근로자명부!$A$5:$A$24,0))=0,"",INDEX(근로자명부!$D$5:$D$24,MATCH($B81,근로자명부!$A$5:$A$24,0)))),"")</f>
        <v/>
      </c>
      <c r="E81" s="26">
        <f>IFERROR(IF($B81="","",IF(INDEX(직원명부!$C$5:$C$24,MATCH($B81,직원명부!$A$5:$A$24,0))=0,"",INDEX(직원명부!$C$5:$C$24,MATCH($B81,직원명부!$A$5:$A$24,0)))),"")</f>
        <v/>
      </c>
      <c r="F81" s="44">
        <f>IFERROR(IF($B81="","",IF(INDEX(근로자명부!$G$5:$G$24,MATCH($B81,근로자명부!$A$5:$A$24,0))=0,"",INDEX(근로자명부!$G$5:$G$24,MATCH($B81,근로자명부!$A$5:$A$24,0)))),"")</f>
        <v/>
      </c>
      <c r="G81" s="30">
        <f>IF(OR($A81="",$B81=""),"",COUNTIFS(근태기록!$C$5:$C$2004,$B81,근태기록!$A$5:$A$2004,"&gt;="&amp;$A81,근태기록!$A$5:$A$2004,"&lt;="&amp;EOMONTH($A81,0),근태기록!$H$5:$H$2004,"&gt;0"))</f>
        <v/>
      </c>
      <c r="H81" s="33">
        <f>IF(OR($A81="",$B81=""),"",SUMIFS(근태기록!$H$5:$H$2004,근태기록!$C$5:$C$2004,$B81,근태기록!$A$5:$A$2004,"&gt;="&amp;$A81,근태기록!$A$5:$A$2004,"&lt;="&amp;EOMONTH($A81,0)))</f>
        <v/>
      </c>
      <c r="I81" s="33">
        <f>IF(OR($A81="",$B81=""),"",SUMIFS(근태기록!$I$5:$I$2004,근태기록!$C$5:$C$2004,$B81,근태기록!$A$5:$A$2004,"&gt;="&amp;$A81,근태기록!$A$5:$A$2004,"&lt;="&amp;EOMONTH($A81,0)))</f>
        <v/>
      </c>
      <c r="J81" s="33">
        <f>IF(OR($A81="",$B81=""),"",SUMIFS(근태기록!$J$5:$J$2004,근태기록!$C$5:$C$2004,$B81,근태기록!$A$5:$A$2004,"&gt;="&amp;$A81,근태기록!$A$5:$A$2004,"&lt;="&amp;EOMONTH($A81,0)))</f>
        <v/>
      </c>
      <c r="K81" s="33">
        <f>IF(OR($A81="",$B81=""),"",SUMIFS(근태기록!$H$5:$H$2004,근태기록!$C$5:$C$2004,$B81,근태기록!$A$5:$A$2004,"&gt;="&amp;$A81,근태기록!$A$5:$A$2004,"&lt;="&amp;EOMONTH($A81,0),근태기록!$L$5:$L$2004,"휴일근로"))</f>
        <v/>
      </c>
      <c r="L81" s="20" t="n"/>
      <c r="M81" s="20" t="n"/>
      <c r="N81" s="20" t="n"/>
      <c r="O81" s="20" t="n"/>
      <c r="P81" s="15">
        <f>IF(OR($A81="",$B81=""),"",SUM(L81:O81))</f>
        <v/>
      </c>
      <c r="Q81" s="20" t="n"/>
      <c r="R81" s="20" t="n"/>
      <c r="S81" s="20" t="n"/>
      <c r="T81" s="20" t="n"/>
      <c r="U81" s="20" t="n"/>
      <c r="V81" s="20" t="n"/>
      <c r="W81" s="15">
        <f>IF(OR($A81="",$B81=""),"",SUM(Q81:V81))</f>
        <v/>
      </c>
      <c r="X81" s="15">
        <f>IF(OR($A81="",$B81=""),"",N(P81)-N(W81))</f>
        <v/>
      </c>
    </row>
    <row r="82">
      <c r="A82" s="43" t="n"/>
      <c r="B82" s="18" t="n"/>
      <c r="C82" s="25">
        <f>IFERROR(IF($B82="","",IF(INDEX(직원명부!$B$5:$B$24,MATCH($B82,직원명부!$A$5:$A$24,0))=0,"",INDEX(직원명부!$B$5:$B$24,MATCH($B82,직원명부!$A$5:$A$24,0)))),"사번 확인")</f>
        <v/>
      </c>
      <c r="D82" s="26">
        <f>IFERROR(IF($B82="","",IF(INDEX(근로자명부!$D$5:$D$24,MATCH($B82,근로자명부!$A$5:$A$24,0))=0,"",INDEX(근로자명부!$D$5:$D$24,MATCH($B82,근로자명부!$A$5:$A$24,0)))),"")</f>
        <v/>
      </c>
      <c r="E82" s="26">
        <f>IFERROR(IF($B82="","",IF(INDEX(직원명부!$C$5:$C$24,MATCH($B82,직원명부!$A$5:$A$24,0))=0,"",INDEX(직원명부!$C$5:$C$24,MATCH($B82,직원명부!$A$5:$A$24,0)))),"")</f>
        <v/>
      </c>
      <c r="F82" s="44">
        <f>IFERROR(IF($B82="","",IF(INDEX(근로자명부!$G$5:$G$24,MATCH($B82,근로자명부!$A$5:$A$24,0))=0,"",INDEX(근로자명부!$G$5:$G$24,MATCH($B82,근로자명부!$A$5:$A$24,0)))),"")</f>
        <v/>
      </c>
      <c r="G82" s="30">
        <f>IF(OR($A82="",$B82=""),"",COUNTIFS(근태기록!$C$5:$C$2004,$B82,근태기록!$A$5:$A$2004,"&gt;="&amp;$A82,근태기록!$A$5:$A$2004,"&lt;="&amp;EOMONTH($A82,0),근태기록!$H$5:$H$2004,"&gt;0"))</f>
        <v/>
      </c>
      <c r="H82" s="33">
        <f>IF(OR($A82="",$B82=""),"",SUMIFS(근태기록!$H$5:$H$2004,근태기록!$C$5:$C$2004,$B82,근태기록!$A$5:$A$2004,"&gt;="&amp;$A82,근태기록!$A$5:$A$2004,"&lt;="&amp;EOMONTH($A82,0)))</f>
        <v/>
      </c>
      <c r="I82" s="33">
        <f>IF(OR($A82="",$B82=""),"",SUMIFS(근태기록!$I$5:$I$2004,근태기록!$C$5:$C$2004,$B82,근태기록!$A$5:$A$2004,"&gt;="&amp;$A82,근태기록!$A$5:$A$2004,"&lt;="&amp;EOMONTH($A82,0)))</f>
        <v/>
      </c>
      <c r="J82" s="33">
        <f>IF(OR($A82="",$B82=""),"",SUMIFS(근태기록!$J$5:$J$2004,근태기록!$C$5:$C$2004,$B82,근태기록!$A$5:$A$2004,"&gt;="&amp;$A82,근태기록!$A$5:$A$2004,"&lt;="&amp;EOMONTH($A82,0)))</f>
        <v/>
      </c>
      <c r="K82" s="33">
        <f>IF(OR($A82="",$B82=""),"",SUMIFS(근태기록!$H$5:$H$2004,근태기록!$C$5:$C$2004,$B82,근태기록!$A$5:$A$2004,"&gt;="&amp;$A82,근태기록!$A$5:$A$2004,"&lt;="&amp;EOMONTH($A82,0),근태기록!$L$5:$L$2004,"휴일근로"))</f>
        <v/>
      </c>
      <c r="L82" s="20" t="n"/>
      <c r="M82" s="20" t="n"/>
      <c r="N82" s="20" t="n"/>
      <c r="O82" s="20" t="n"/>
      <c r="P82" s="15">
        <f>IF(OR($A82="",$B82=""),"",SUM(L82:O82))</f>
        <v/>
      </c>
      <c r="Q82" s="20" t="n"/>
      <c r="R82" s="20" t="n"/>
      <c r="S82" s="20" t="n"/>
      <c r="T82" s="20" t="n"/>
      <c r="U82" s="20" t="n"/>
      <c r="V82" s="20" t="n"/>
      <c r="W82" s="15">
        <f>IF(OR($A82="",$B82=""),"",SUM(Q82:V82))</f>
        <v/>
      </c>
      <c r="X82" s="15">
        <f>IF(OR($A82="",$B82=""),"",N(P82)-N(W82))</f>
        <v/>
      </c>
    </row>
    <row r="83">
      <c r="A83" s="43" t="n"/>
      <c r="B83" s="18" t="n"/>
      <c r="C83" s="25">
        <f>IFERROR(IF($B83="","",IF(INDEX(직원명부!$B$5:$B$24,MATCH($B83,직원명부!$A$5:$A$24,0))=0,"",INDEX(직원명부!$B$5:$B$24,MATCH($B83,직원명부!$A$5:$A$24,0)))),"사번 확인")</f>
        <v/>
      </c>
      <c r="D83" s="26">
        <f>IFERROR(IF($B83="","",IF(INDEX(근로자명부!$D$5:$D$24,MATCH($B83,근로자명부!$A$5:$A$24,0))=0,"",INDEX(근로자명부!$D$5:$D$24,MATCH($B83,근로자명부!$A$5:$A$24,0)))),"")</f>
        <v/>
      </c>
      <c r="E83" s="26">
        <f>IFERROR(IF($B83="","",IF(INDEX(직원명부!$C$5:$C$24,MATCH($B83,직원명부!$A$5:$A$24,0))=0,"",INDEX(직원명부!$C$5:$C$24,MATCH($B83,직원명부!$A$5:$A$24,0)))),"")</f>
        <v/>
      </c>
      <c r="F83" s="44">
        <f>IFERROR(IF($B83="","",IF(INDEX(근로자명부!$G$5:$G$24,MATCH($B83,근로자명부!$A$5:$A$24,0))=0,"",INDEX(근로자명부!$G$5:$G$24,MATCH($B83,근로자명부!$A$5:$A$24,0)))),"")</f>
        <v/>
      </c>
      <c r="G83" s="30">
        <f>IF(OR($A83="",$B83=""),"",COUNTIFS(근태기록!$C$5:$C$2004,$B83,근태기록!$A$5:$A$2004,"&gt;="&amp;$A83,근태기록!$A$5:$A$2004,"&lt;="&amp;EOMONTH($A83,0),근태기록!$H$5:$H$2004,"&gt;0"))</f>
        <v/>
      </c>
      <c r="H83" s="33">
        <f>IF(OR($A83="",$B83=""),"",SUMIFS(근태기록!$H$5:$H$2004,근태기록!$C$5:$C$2004,$B83,근태기록!$A$5:$A$2004,"&gt;="&amp;$A83,근태기록!$A$5:$A$2004,"&lt;="&amp;EOMONTH($A83,0)))</f>
        <v/>
      </c>
      <c r="I83" s="33">
        <f>IF(OR($A83="",$B83=""),"",SUMIFS(근태기록!$I$5:$I$2004,근태기록!$C$5:$C$2004,$B83,근태기록!$A$5:$A$2004,"&gt;="&amp;$A83,근태기록!$A$5:$A$2004,"&lt;="&amp;EOMONTH($A83,0)))</f>
        <v/>
      </c>
      <c r="J83" s="33">
        <f>IF(OR($A83="",$B83=""),"",SUMIFS(근태기록!$J$5:$J$2004,근태기록!$C$5:$C$2004,$B83,근태기록!$A$5:$A$2004,"&gt;="&amp;$A83,근태기록!$A$5:$A$2004,"&lt;="&amp;EOMONTH($A83,0)))</f>
        <v/>
      </c>
      <c r="K83" s="33">
        <f>IF(OR($A83="",$B83=""),"",SUMIFS(근태기록!$H$5:$H$2004,근태기록!$C$5:$C$2004,$B83,근태기록!$A$5:$A$2004,"&gt;="&amp;$A83,근태기록!$A$5:$A$2004,"&lt;="&amp;EOMONTH($A83,0),근태기록!$L$5:$L$2004,"휴일근로"))</f>
        <v/>
      </c>
      <c r="L83" s="20" t="n"/>
      <c r="M83" s="20" t="n"/>
      <c r="N83" s="20" t="n"/>
      <c r="O83" s="20" t="n"/>
      <c r="P83" s="15">
        <f>IF(OR($A83="",$B83=""),"",SUM(L83:O83))</f>
        <v/>
      </c>
      <c r="Q83" s="20" t="n"/>
      <c r="R83" s="20" t="n"/>
      <c r="S83" s="20" t="n"/>
      <c r="T83" s="20" t="n"/>
      <c r="U83" s="20" t="n"/>
      <c r="V83" s="20" t="n"/>
      <c r="W83" s="15">
        <f>IF(OR($A83="",$B83=""),"",SUM(Q83:V83))</f>
        <v/>
      </c>
      <c r="X83" s="15">
        <f>IF(OR($A83="",$B83=""),"",N(P83)-N(W83))</f>
        <v/>
      </c>
    </row>
    <row r="84">
      <c r="A84" s="43" t="n"/>
      <c r="B84" s="18" t="n"/>
      <c r="C84" s="25">
        <f>IFERROR(IF($B84="","",IF(INDEX(직원명부!$B$5:$B$24,MATCH($B84,직원명부!$A$5:$A$24,0))=0,"",INDEX(직원명부!$B$5:$B$24,MATCH($B84,직원명부!$A$5:$A$24,0)))),"사번 확인")</f>
        <v/>
      </c>
      <c r="D84" s="26">
        <f>IFERROR(IF($B84="","",IF(INDEX(근로자명부!$D$5:$D$24,MATCH($B84,근로자명부!$A$5:$A$24,0))=0,"",INDEX(근로자명부!$D$5:$D$24,MATCH($B84,근로자명부!$A$5:$A$24,0)))),"")</f>
        <v/>
      </c>
      <c r="E84" s="26">
        <f>IFERROR(IF($B84="","",IF(INDEX(직원명부!$C$5:$C$24,MATCH($B84,직원명부!$A$5:$A$24,0))=0,"",INDEX(직원명부!$C$5:$C$24,MATCH($B84,직원명부!$A$5:$A$24,0)))),"")</f>
        <v/>
      </c>
      <c r="F84" s="44">
        <f>IFERROR(IF($B84="","",IF(INDEX(근로자명부!$G$5:$G$24,MATCH($B84,근로자명부!$A$5:$A$24,0))=0,"",INDEX(근로자명부!$G$5:$G$24,MATCH($B84,근로자명부!$A$5:$A$24,0)))),"")</f>
        <v/>
      </c>
      <c r="G84" s="30">
        <f>IF(OR($A84="",$B84=""),"",COUNTIFS(근태기록!$C$5:$C$2004,$B84,근태기록!$A$5:$A$2004,"&gt;="&amp;$A84,근태기록!$A$5:$A$2004,"&lt;="&amp;EOMONTH($A84,0),근태기록!$H$5:$H$2004,"&gt;0"))</f>
        <v/>
      </c>
      <c r="H84" s="33">
        <f>IF(OR($A84="",$B84=""),"",SUMIFS(근태기록!$H$5:$H$2004,근태기록!$C$5:$C$2004,$B84,근태기록!$A$5:$A$2004,"&gt;="&amp;$A84,근태기록!$A$5:$A$2004,"&lt;="&amp;EOMONTH($A84,0)))</f>
        <v/>
      </c>
      <c r="I84" s="33">
        <f>IF(OR($A84="",$B84=""),"",SUMIFS(근태기록!$I$5:$I$2004,근태기록!$C$5:$C$2004,$B84,근태기록!$A$5:$A$2004,"&gt;="&amp;$A84,근태기록!$A$5:$A$2004,"&lt;="&amp;EOMONTH($A84,0)))</f>
        <v/>
      </c>
      <c r="J84" s="33">
        <f>IF(OR($A84="",$B84=""),"",SUMIFS(근태기록!$J$5:$J$2004,근태기록!$C$5:$C$2004,$B84,근태기록!$A$5:$A$2004,"&gt;="&amp;$A84,근태기록!$A$5:$A$2004,"&lt;="&amp;EOMONTH($A84,0)))</f>
        <v/>
      </c>
      <c r="K84" s="33">
        <f>IF(OR($A84="",$B84=""),"",SUMIFS(근태기록!$H$5:$H$2004,근태기록!$C$5:$C$2004,$B84,근태기록!$A$5:$A$2004,"&gt;="&amp;$A84,근태기록!$A$5:$A$2004,"&lt;="&amp;EOMONTH($A84,0),근태기록!$L$5:$L$2004,"휴일근로"))</f>
        <v/>
      </c>
      <c r="L84" s="20" t="n"/>
      <c r="M84" s="20" t="n"/>
      <c r="N84" s="20" t="n"/>
      <c r="O84" s="20" t="n"/>
      <c r="P84" s="15">
        <f>IF(OR($A84="",$B84=""),"",SUM(L84:O84))</f>
        <v/>
      </c>
      <c r="Q84" s="20" t="n"/>
      <c r="R84" s="20" t="n"/>
      <c r="S84" s="20" t="n"/>
      <c r="T84" s="20" t="n"/>
      <c r="U84" s="20" t="n"/>
      <c r="V84" s="20" t="n"/>
      <c r="W84" s="15">
        <f>IF(OR($A84="",$B84=""),"",SUM(Q84:V84))</f>
        <v/>
      </c>
      <c r="X84" s="15">
        <f>IF(OR($A84="",$B84=""),"",N(P84)-N(W84))</f>
        <v/>
      </c>
    </row>
    <row r="85">
      <c r="A85" s="43" t="n"/>
      <c r="B85" s="18" t="n"/>
      <c r="C85" s="25">
        <f>IFERROR(IF($B85="","",IF(INDEX(직원명부!$B$5:$B$24,MATCH($B85,직원명부!$A$5:$A$24,0))=0,"",INDEX(직원명부!$B$5:$B$24,MATCH($B85,직원명부!$A$5:$A$24,0)))),"사번 확인")</f>
        <v/>
      </c>
      <c r="D85" s="26">
        <f>IFERROR(IF($B85="","",IF(INDEX(근로자명부!$D$5:$D$24,MATCH($B85,근로자명부!$A$5:$A$24,0))=0,"",INDEX(근로자명부!$D$5:$D$24,MATCH($B85,근로자명부!$A$5:$A$24,0)))),"")</f>
        <v/>
      </c>
      <c r="E85" s="26">
        <f>IFERROR(IF($B85="","",IF(INDEX(직원명부!$C$5:$C$24,MATCH($B85,직원명부!$A$5:$A$24,0))=0,"",INDEX(직원명부!$C$5:$C$24,MATCH($B85,직원명부!$A$5:$A$24,0)))),"")</f>
        <v/>
      </c>
      <c r="F85" s="44">
        <f>IFERROR(IF($B85="","",IF(INDEX(근로자명부!$G$5:$G$24,MATCH($B85,근로자명부!$A$5:$A$24,0))=0,"",INDEX(근로자명부!$G$5:$G$24,MATCH($B85,근로자명부!$A$5:$A$24,0)))),"")</f>
        <v/>
      </c>
      <c r="G85" s="30">
        <f>IF(OR($A85="",$B85=""),"",COUNTIFS(근태기록!$C$5:$C$2004,$B85,근태기록!$A$5:$A$2004,"&gt;="&amp;$A85,근태기록!$A$5:$A$2004,"&lt;="&amp;EOMONTH($A85,0),근태기록!$H$5:$H$2004,"&gt;0"))</f>
        <v/>
      </c>
      <c r="H85" s="33">
        <f>IF(OR($A85="",$B85=""),"",SUMIFS(근태기록!$H$5:$H$2004,근태기록!$C$5:$C$2004,$B85,근태기록!$A$5:$A$2004,"&gt;="&amp;$A85,근태기록!$A$5:$A$2004,"&lt;="&amp;EOMONTH($A85,0)))</f>
        <v/>
      </c>
      <c r="I85" s="33">
        <f>IF(OR($A85="",$B85=""),"",SUMIFS(근태기록!$I$5:$I$2004,근태기록!$C$5:$C$2004,$B85,근태기록!$A$5:$A$2004,"&gt;="&amp;$A85,근태기록!$A$5:$A$2004,"&lt;="&amp;EOMONTH($A85,0)))</f>
        <v/>
      </c>
      <c r="J85" s="33">
        <f>IF(OR($A85="",$B85=""),"",SUMIFS(근태기록!$J$5:$J$2004,근태기록!$C$5:$C$2004,$B85,근태기록!$A$5:$A$2004,"&gt;="&amp;$A85,근태기록!$A$5:$A$2004,"&lt;="&amp;EOMONTH($A85,0)))</f>
        <v/>
      </c>
      <c r="K85" s="33">
        <f>IF(OR($A85="",$B85=""),"",SUMIFS(근태기록!$H$5:$H$2004,근태기록!$C$5:$C$2004,$B85,근태기록!$A$5:$A$2004,"&gt;="&amp;$A85,근태기록!$A$5:$A$2004,"&lt;="&amp;EOMONTH($A85,0),근태기록!$L$5:$L$2004,"휴일근로"))</f>
        <v/>
      </c>
      <c r="L85" s="20" t="n"/>
      <c r="M85" s="20" t="n"/>
      <c r="N85" s="20" t="n"/>
      <c r="O85" s="20" t="n"/>
      <c r="P85" s="15">
        <f>IF(OR($A85="",$B85=""),"",SUM(L85:O85))</f>
        <v/>
      </c>
      <c r="Q85" s="20" t="n"/>
      <c r="R85" s="20" t="n"/>
      <c r="S85" s="20" t="n"/>
      <c r="T85" s="20" t="n"/>
      <c r="U85" s="20" t="n"/>
      <c r="V85" s="20" t="n"/>
      <c r="W85" s="15">
        <f>IF(OR($A85="",$B85=""),"",SUM(Q85:V85))</f>
        <v/>
      </c>
      <c r="X85" s="15">
        <f>IF(OR($A85="",$B85=""),"",N(P85)-N(W85))</f>
        <v/>
      </c>
    </row>
    <row r="86">
      <c r="A86" s="43" t="n"/>
      <c r="B86" s="18" t="n"/>
      <c r="C86" s="25">
        <f>IFERROR(IF($B86="","",IF(INDEX(직원명부!$B$5:$B$24,MATCH($B86,직원명부!$A$5:$A$24,0))=0,"",INDEX(직원명부!$B$5:$B$24,MATCH($B86,직원명부!$A$5:$A$24,0)))),"사번 확인")</f>
        <v/>
      </c>
      <c r="D86" s="26">
        <f>IFERROR(IF($B86="","",IF(INDEX(근로자명부!$D$5:$D$24,MATCH($B86,근로자명부!$A$5:$A$24,0))=0,"",INDEX(근로자명부!$D$5:$D$24,MATCH($B86,근로자명부!$A$5:$A$24,0)))),"")</f>
        <v/>
      </c>
      <c r="E86" s="26">
        <f>IFERROR(IF($B86="","",IF(INDEX(직원명부!$C$5:$C$24,MATCH($B86,직원명부!$A$5:$A$24,0))=0,"",INDEX(직원명부!$C$5:$C$24,MATCH($B86,직원명부!$A$5:$A$24,0)))),"")</f>
        <v/>
      </c>
      <c r="F86" s="44">
        <f>IFERROR(IF($B86="","",IF(INDEX(근로자명부!$G$5:$G$24,MATCH($B86,근로자명부!$A$5:$A$24,0))=0,"",INDEX(근로자명부!$G$5:$G$24,MATCH($B86,근로자명부!$A$5:$A$24,0)))),"")</f>
        <v/>
      </c>
      <c r="G86" s="30">
        <f>IF(OR($A86="",$B86=""),"",COUNTIFS(근태기록!$C$5:$C$2004,$B86,근태기록!$A$5:$A$2004,"&gt;="&amp;$A86,근태기록!$A$5:$A$2004,"&lt;="&amp;EOMONTH($A86,0),근태기록!$H$5:$H$2004,"&gt;0"))</f>
        <v/>
      </c>
      <c r="H86" s="33">
        <f>IF(OR($A86="",$B86=""),"",SUMIFS(근태기록!$H$5:$H$2004,근태기록!$C$5:$C$2004,$B86,근태기록!$A$5:$A$2004,"&gt;="&amp;$A86,근태기록!$A$5:$A$2004,"&lt;="&amp;EOMONTH($A86,0)))</f>
        <v/>
      </c>
      <c r="I86" s="33">
        <f>IF(OR($A86="",$B86=""),"",SUMIFS(근태기록!$I$5:$I$2004,근태기록!$C$5:$C$2004,$B86,근태기록!$A$5:$A$2004,"&gt;="&amp;$A86,근태기록!$A$5:$A$2004,"&lt;="&amp;EOMONTH($A86,0)))</f>
        <v/>
      </c>
      <c r="J86" s="33">
        <f>IF(OR($A86="",$B86=""),"",SUMIFS(근태기록!$J$5:$J$2004,근태기록!$C$5:$C$2004,$B86,근태기록!$A$5:$A$2004,"&gt;="&amp;$A86,근태기록!$A$5:$A$2004,"&lt;="&amp;EOMONTH($A86,0)))</f>
        <v/>
      </c>
      <c r="K86" s="33">
        <f>IF(OR($A86="",$B86=""),"",SUMIFS(근태기록!$H$5:$H$2004,근태기록!$C$5:$C$2004,$B86,근태기록!$A$5:$A$2004,"&gt;="&amp;$A86,근태기록!$A$5:$A$2004,"&lt;="&amp;EOMONTH($A86,0),근태기록!$L$5:$L$2004,"휴일근로"))</f>
        <v/>
      </c>
      <c r="L86" s="20" t="n"/>
      <c r="M86" s="20" t="n"/>
      <c r="N86" s="20" t="n"/>
      <c r="O86" s="20" t="n"/>
      <c r="P86" s="15">
        <f>IF(OR($A86="",$B86=""),"",SUM(L86:O86))</f>
        <v/>
      </c>
      <c r="Q86" s="20" t="n"/>
      <c r="R86" s="20" t="n"/>
      <c r="S86" s="20" t="n"/>
      <c r="T86" s="20" t="n"/>
      <c r="U86" s="20" t="n"/>
      <c r="V86" s="20" t="n"/>
      <c r="W86" s="15">
        <f>IF(OR($A86="",$B86=""),"",SUM(Q86:V86))</f>
        <v/>
      </c>
      <c r="X86" s="15">
        <f>IF(OR($A86="",$B86=""),"",N(P86)-N(W86))</f>
        <v/>
      </c>
    </row>
    <row r="87">
      <c r="A87" s="43" t="n"/>
      <c r="B87" s="18" t="n"/>
      <c r="C87" s="25">
        <f>IFERROR(IF($B87="","",IF(INDEX(직원명부!$B$5:$B$24,MATCH($B87,직원명부!$A$5:$A$24,0))=0,"",INDEX(직원명부!$B$5:$B$24,MATCH($B87,직원명부!$A$5:$A$24,0)))),"사번 확인")</f>
        <v/>
      </c>
      <c r="D87" s="26">
        <f>IFERROR(IF($B87="","",IF(INDEX(근로자명부!$D$5:$D$24,MATCH($B87,근로자명부!$A$5:$A$24,0))=0,"",INDEX(근로자명부!$D$5:$D$24,MATCH($B87,근로자명부!$A$5:$A$24,0)))),"")</f>
        <v/>
      </c>
      <c r="E87" s="26">
        <f>IFERROR(IF($B87="","",IF(INDEX(직원명부!$C$5:$C$24,MATCH($B87,직원명부!$A$5:$A$24,0))=0,"",INDEX(직원명부!$C$5:$C$24,MATCH($B87,직원명부!$A$5:$A$24,0)))),"")</f>
        <v/>
      </c>
      <c r="F87" s="44">
        <f>IFERROR(IF($B87="","",IF(INDEX(근로자명부!$G$5:$G$24,MATCH($B87,근로자명부!$A$5:$A$24,0))=0,"",INDEX(근로자명부!$G$5:$G$24,MATCH($B87,근로자명부!$A$5:$A$24,0)))),"")</f>
        <v/>
      </c>
      <c r="G87" s="30">
        <f>IF(OR($A87="",$B87=""),"",COUNTIFS(근태기록!$C$5:$C$2004,$B87,근태기록!$A$5:$A$2004,"&gt;="&amp;$A87,근태기록!$A$5:$A$2004,"&lt;="&amp;EOMONTH($A87,0),근태기록!$H$5:$H$2004,"&gt;0"))</f>
        <v/>
      </c>
      <c r="H87" s="33">
        <f>IF(OR($A87="",$B87=""),"",SUMIFS(근태기록!$H$5:$H$2004,근태기록!$C$5:$C$2004,$B87,근태기록!$A$5:$A$2004,"&gt;="&amp;$A87,근태기록!$A$5:$A$2004,"&lt;="&amp;EOMONTH($A87,0)))</f>
        <v/>
      </c>
      <c r="I87" s="33">
        <f>IF(OR($A87="",$B87=""),"",SUMIFS(근태기록!$I$5:$I$2004,근태기록!$C$5:$C$2004,$B87,근태기록!$A$5:$A$2004,"&gt;="&amp;$A87,근태기록!$A$5:$A$2004,"&lt;="&amp;EOMONTH($A87,0)))</f>
        <v/>
      </c>
      <c r="J87" s="33">
        <f>IF(OR($A87="",$B87=""),"",SUMIFS(근태기록!$J$5:$J$2004,근태기록!$C$5:$C$2004,$B87,근태기록!$A$5:$A$2004,"&gt;="&amp;$A87,근태기록!$A$5:$A$2004,"&lt;="&amp;EOMONTH($A87,0)))</f>
        <v/>
      </c>
      <c r="K87" s="33">
        <f>IF(OR($A87="",$B87=""),"",SUMIFS(근태기록!$H$5:$H$2004,근태기록!$C$5:$C$2004,$B87,근태기록!$A$5:$A$2004,"&gt;="&amp;$A87,근태기록!$A$5:$A$2004,"&lt;="&amp;EOMONTH($A87,0),근태기록!$L$5:$L$2004,"휴일근로"))</f>
        <v/>
      </c>
      <c r="L87" s="20" t="n"/>
      <c r="M87" s="20" t="n"/>
      <c r="N87" s="20" t="n"/>
      <c r="O87" s="20" t="n"/>
      <c r="P87" s="15">
        <f>IF(OR($A87="",$B87=""),"",SUM(L87:O87))</f>
        <v/>
      </c>
      <c r="Q87" s="20" t="n"/>
      <c r="R87" s="20" t="n"/>
      <c r="S87" s="20" t="n"/>
      <c r="T87" s="20" t="n"/>
      <c r="U87" s="20" t="n"/>
      <c r="V87" s="20" t="n"/>
      <c r="W87" s="15">
        <f>IF(OR($A87="",$B87=""),"",SUM(Q87:V87))</f>
        <v/>
      </c>
      <c r="X87" s="15">
        <f>IF(OR($A87="",$B87=""),"",N(P87)-N(W87))</f>
        <v/>
      </c>
    </row>
    <row r="88">
      <c r="A88" s="43" t="n"/>
      <c r="B88" s="18" t="n"/>
      <c r="C88" s="25">
        <f>IFERROR(IF($B88="","",IF(INDEX(직원명부!$B$5:$B$24,MATCH($B88,직원명부!$A$5:$A$24,0))=0,"",INDEX(직원명부!$B$5:$B$24,MATCH($B88,직원명부!$A$5:$A$24,0)))),"사번 확인")</f>
        <v/>
      </c>
      <c r="D88" s="26">
        <f>IFERROR(IF($B88="","",IF(INDEX(근로자명부!$D$5:$D$24,MATCH($B88,근로자명부!$A$5:$A$24,0))=0,"",INDEX(근로자명부!$D$5:$D$24,MATCH($B88,근로자명부!$A$5:$A$24,0)))),"")</f>
        <v/>
      </c>
      <c r="E88" s="26">
        <f>IFERROR(IF($B88="","",IF(INDEX(직원명부!$C$5:$C$24,MATCH($B88,직원명부!$A$5:$A$24,0))=0,"",INDEX(직원명부!$C$5:$C$24,MATCH($B88,직원명부!$A$5:$A$24,0)))),"")</f>
        <v/>
      </c>
      <c r="F88" s="44">
        <f>IFERROR(IF($B88="","",IF(INDEX(근로자명부!$G$5:$G$24,MATCH($B88,근로자명부!$A$5:$A$24,0))=0,"",INDEX(근로자명부!$G$5:$G$24,MATCH($B88,근로자명부!$A$5:$A$24,0)))),"")</f>
        <v/>
      </c>
      <c r="G88" s="30">
        <f>IF(OR($A88="",$B88=""),"",COUNTIFS(근태기록!$C$5:$C$2004,$B88,근태기록!$A$5:$A$2004,"&gt;="&amp;$A88,근태기록!$A$5:$A$2004,"&lt;="&amp;EOMONTH($A88,0),근태기록!$H$5:$H$2004,"&gt;0"))</f>
        <v/>
      </c>
      <c r="H88" s="33">
        <f>IF(OR($A88="",$B88=""),"",SUMIFS(근태기록!$H$5:$H$2004,근태기록!$C$5:$C$2004,$B88,근태기록!$A$5:$A$2004,"&gt;="&amp;$A88,근태기록!$A$5:$A$2004,"&lt;="&amp;EOMONTH($A88,0)))</f>
        <v/>
      </c>
      <c r="I88" s="33">
        <f>IF(OR($A88="",$B88=""),"",SUMIFS(근태기록!$I$5:$I$2004,근태기록!$C$5:$C$2004,$B88,근태기록!$A$5:$A$2004,"&gt;="&amp;$A88,근태기록!$A$5:$A$2004,"&lt;="&amp;EOMONTH($A88,0)))</f>
        <v/>
      </c>
      <c r="J88" s="33">
        <f>IF(OR($A88="",$B88=""),"",SUMIFS(근태기록!$J$5:$J$2004,근태기록!$C$5:$C$2004,$B88,근태기록!$A$5:$A$2004,"&gt;="&amp;$A88,근태기록!$A$5:$A$2004,"&lt;="&amp;EOMONTH($A88,0)))</f>
        <v/>
      </c>
      <c r="K88" s="33">
        <f>IF(OR($A88="",$B88=""),"",SUMIFS(근태기록!$H$5:$H$2004,근태기록!$C$5:$C$2004,$B88,근태기록!$A$5:$A$2004,"&gt;="&amp;$A88,근태기록!$A$5:$A$2004,"&lt;="&amp;EOMONTH($A88,0),근태기록!$L$5:$L$2004,"휴일근로"))</f>
        <v/>
      </c>
      <c r="L88" s="20" t="n"/>
      <c r="M88" s="20" t="n"/>
      <c r="N88" s="20" t="n"/>
      <c r="O88" s="20" t="n"/>
      <c r="P88" s="15">
        <f>IF(OR($A88="",$B88=""),"",SUM(L88:O88))</f>
        <v/>
      </c>
      <c r="Q88" s="20" t="n"/>
      <c r="R88" s="20" t="n"/>
      <c r="S88" s="20" t="n"/>
      <c r="T88" s="20" t="n"/>
      <c r="U88" s="20" t="n"/>
      <c r="V88" s="20" t="n"/>
      <c r="W88" s="15">
        <f>IF(OR($A88="",$B88=""),"",SUM(Q88:V88))</f>
        <v/>
      </c>
      <c r="X88" s="15">
        <f>IF(OR($A88="",$B88=""),"",N(P88)-N(W88))</f>
        <v/>
      </c>
    </row>
    <row r="89">
      <c r="A89" s="43" t="n"/>
      <c r="B89" s="18" t="n"/>
      <c r="C89" s="25">
        <f>IFERROR(IF($B89="","",IF(INDEX(직원명부!$B$5:$B$24,MATCH($B89,직원명부!$A$5:$A$24,0))=0,"",INDEX(직원명부!$B$5:$B$24,MATCH($B89,직원명부!$A$5:$A$24,0)))),"사번 확인")</f>
        <v/>
      </c>
      <c r="D89" s="26">
        <f>IFERROR(IF($B89="","",IF(INDEX(근로자명부!$D$5:$D$24,MATCH($B89,근로자명부!$A$5:$A$24,0))=0,"",INDEX(근로자명부!$D$5:$D$24,MATCH($B89,근로자명부!$A$5:$A$24,0)))),"")</f>
        <v/>
      </c>
      <c r="E89" s="26">
        <f>IFERROR(IF($B89="","",IF(INDEX(직원명부!$C$5:$C$24,MATCH($B89,직원명부!$A$5:$A$24,0))=0,"",INDEX(직원명부!$C$5:$C$24,MATCH($B89,직원명부!$A$5:$A$24,0)))),"")</f>
        <v/>
      </c>
      <c r="F89" s="44">
        <f>IFERROR(IF($B89="","",IF(INDEX(근로자명부!$G$5:$G$24,MATCH($B89,근로자명부!$A$5:$A$24,0))=0,"",INDEX(근로자명부!$G$5:$G$24,MATCH($B89,근로자명부!$A$5:$A$24,0)))),"")</f>
        <v/>
      </c>
      <c r="G89" s="30">
        <f>IF(OR($A89="",$B89=""),"",COUNTIFS(근태기록!$C$5:$C$2004,$B89,근태기록!$A$5:$A$2004,"&gt;="&amp;$A89,근태기록!$A$5:$A$2004,"&lt;="&amp;EOMONTH($A89,0),근태기록!$H$5:$H$2004,"&gt;0"))</f>
        <v/>
      </c>
      <c r="H89" s="33">
        <f>IF(OR($A89="",$B89=""),"",SUMIFS(근태기록!$H$5:$H$2004,근태기록!$C$5:$C$2004,$B89,근태기록!$A$5:$A$2004,"&gt;="&amp;$A89,근태기록!$A$5:$A$2004,"&lt;="&amp;EOMONTH($A89,0)))</f>
        <v/>
      </c>
      <c r="I89" s="33">
        <f>IF(OR($A89="",$B89=""),"",SUMIFS(근태기록!$I$5:$I$2004,근태기록!$C$5:$C$2004,$B89,근태기록!$A$5:$A$2004,"&gt;="&amp;$A89,근태기록!$A$5:$A$2004,"&lt;="&amp;EOMONTH($A89,0)))</f>
        <v/>
      </c>
      <c r="J89" s="33">
        <f>IF(OR($A89="",$B89=""),"",SUMIFS(근태기록!$J$5:$J$2004,근태기록!$C$5:$C$2004,$B89,근태기록!$A$5:$A$2004,"&gt;="&amp;$A89,근태기록!$A$5:$A$2004,"&lt;="&amp;EOMONTH($A89,0)))</f>
        <v/>
      </c>
      <c r="K89" s="33">
        <f>IF(OR($A89="",$B89=""),"",SUMIFS(근태기록!$H$5:$H$2004,근태기록!$C$5:$C$2004,$B89,근태기록!$A$5:$A$2004,"&gt;="&amp;$A89,근태기록!$A$5:$A$2004,"&lt;="&amp;EOMONTH($A89,0),근태기록!$L$5:$L$2004,"휴일근로"))</f>
        <v/>
      </c>
      <c r="L89" s="20" t="n"/>
      <c r="M89" s="20" t="n"/>
      <c r="N89" s="20" t="n"/>
      <c r="O89" s="20" t="n"/>
      <c r="P89" s="15">
        <f>IF(OR($A89="",$B89=""),"",SUM(L89:O89))</f>
        <v/>
      </c>
      <c r="Q89" s="20" t="n"/>
      <c r="R89" s="20" t="n"/>
      <c r="S89" s="20" t="n"/>
      <c r="T89" s="20" t="n"/>
      <c r="U89" s="20" t="n"/>
      <c r="V89" s="20" t="n"/>
      <c r="W89" s="15">
        <f>IF(OR($A89="",$B89=""),"",SUM(Q89:V89))</f>
        <v/>
      </c>
      <c r="X89" s="15">
        <f>IF(OR($A89="",$B89=""),"",N(P89)-N(W89))</f>
        <v/>
      </c>
    </row>
    <row r="90">
      <c r="A90" s="43" t="n"/>
      <c r="B90" s="18" t="n"/>
      <c r="C90" s="25">
        <f>IFERROR(IF($B90="","",IF(INDEX(직원명부!$B$5:$B$24,MATCH($B90,직원명부!$A$5:$A$24,0))=0,"",INDEX(직원명부!$B$5:$B$24,MATCH($B90,직원명부!$A$5:$A$24,0)))),"사번 확인")</f>
        <v/>
      </c>
      <c r="D90" s="26">
        <f>IFERROR(IF($B90="","",IF(INDEX(근로자명부!$D$5:$D$24,MATCH($B90,근로자명부!$A$5:$A$24,0))=0,"",INDEX(근로자명부!$D$5:$D$24,MATCH($B90,근로자명부!$A$5:$A$24,0)))),"")</f>
        <v/>
      </c>
      <c r="E90" s="26">
        <f>IFERROR(IF($B90="","",IF(INDEX(직원명부!$C$5:$C$24,MATCH($B90,직원명부!$A$5:$A$24,0))=0,"",INDEX(직원명부!$C$5:$C$24,MATCH($B90,직원명부!$A$5:$A$24,0)))),"")</f>
        <v/>
      </c>
      <c r="F90" s="44">
        <f>IFERROR(IF($B90="","",IF(INDEX(근로자명부!$G$5:$G$24,MATCH($B90,근로자명부!$A$5:$A$24,0))=0,"",INDEX(근로자명부!$G$5:$G$24,MATCH($B90,근로자명부!$A$5:$A$24,0)))),"")</f>
        <v/>
      </c>
      <c r="G90" s="30">
        <f>IF(OR($A90="",$B90=""),"",COUNTIFS(근태기록!$C$5:$C$2004,$B90,근태기록!$A$5:$A$2004,"&gt;="&amp;$A90,근태기록!$A$5:$A$2004,"&lt;="&amp;EOMONTH($A90,0),근태기록!$H$5:$H$2004,"&gt;0"))</f>
        <v/>
      </c>
      <c r="H90" s="33">
        <f>IF(OR($A90="",$B90=""),"",SUMIFS(근태기록!$H$5:$H$2004,근태기록!$C$5:$C$2004,$B90,근태기록!$A$5:$A$2004,"&gt;="&amp;$A90,근태기록!$A$5:$A$2004,"&lt;="&amp;EOMONTH($A90,0)))</f>
        <v/>
      </c>
      <c r="I90" s="33">
        <f>IF(OR($A90="",$B90=""),"",SUMIFS(근태기록!$I$5:$I$2004,근태기록!$C$5:$C$2004,$B90,근태기록!$A$5:$A$2004,"&gt;="&amp;$A90,근태기록!$A$5:$A$2004,"&lt;="&amp;EOMONTH($A90,0)))</f>
        <v/>
      </c>
      <c r="J90" s="33">
        <f>IF(OR($A90="",$B90=""),"",SUMIFS(근태기록!$J$5:$J$2004,근태기록!$C$5:$C$2004,$B90,근태기록!$A$5:$A$2004,"&gt;="&amp;$A90,근태기록!$A$5:$A$2004,"&lt;="&amp;EOMONTH($A90,0)))</f>
        <v/>
      </c>
      <c r="K90" s="33">
        <f>IF(OR($A90="",$B90=""),"",SUMIFS(근태기록!$H$5:$H$2004,근태기록!$C$5:$C$2004,$B90,근태기록!$A$5:$A$2004,"&gt;="&amp;$A90,근태기록!$A$5:$A$2004,"&lt;="&amp;EOMONTH($A90,0),근태기록!$L$5:$L$2004,"휴일근로"))</f>
        <v/>
      </c>
      <c r="L90" s="20" t="n"/>
      <c r="M90" s="20" t="n"/>
      <c r="N90" s="20" t="n"/>
      <c r="O90" s="20" t="n"/>
      <c r="P90" s="15">
        <f>IF(OR($A90="",$B90=""),"",SUM(L90:O90))</f>
        <v/>
      </c>
      <c r="Q90" s="20" t="n"/>
      <c r="R90" s="20" t="n"/>
      <c r="S90" s="20" t="n"/>
      <c r="T90" s="20" t="n"/>
      <c r="U90" s="20" t="n"/>
      <c r="V90" s="20" t="n"/>
      <c r="W90" s="15">
        <f>IF(OR($A90="",$B90=""),"",SUM(Q90:V90))</f>
        <v/>
      </c>
      <c r="X90" s="15">
        <f>IF(OR($A90="",$B90=""),"",N(P90)-N(W90))</f>
        <v/>
      </c>
    </row>
    <row r="91">
      <c r="A91" s="43" t="n"/>
      <c r="B91" s="18" t="n"/>
      <c r="C91" s="25">
        <f>IFERROR(IF($B91="","",IF(INDEX(직원명부!$B$5:$B$24,MATCH($B91,직원명부!$A$5:$A$24,0))=0,"",INDEX(직원명부!$B$5:$B$24,MATCH($B91,직원명부!$A$5:$A$24,0)))),"사번 확인")</f>
        <v/>
      </c>
      <c r="D91" s="26">
        <f>IFERROR(IF($B91="","",IF(INDEX(근로자명부!$D$5:$D$24,MATCH($B91,근로자명부!$A$5:$A$24,0))=0,"",INDEX(근로자명부!$D$5:$D$24,MATCH($B91,근로자명부!$A$5:$A$24,0)))),"")</f>
        <v/>
      </c>
      <c r="E91" s="26">
        <f>IFERROR(IF($B91="","",IF(INDEX(직원명부!$C$5:$C$24,MATCH($B91,직원명부!$A$5:$A$24,0))=0,"",INDEX(직원명부!$C$5:$C$24,MATCH($B91,직원명부!$A$5:$A$24,0)))),"")</f>
        <v/>
      </c>
      <c r="F91" s="44">
        <f>IFERROR(IF($B91="","",IF(INDEX(근로자명부!$G$5:$G$24,MATCH($B91,근로자명부!$A$5:$A$24,0))=0,"",INDEX(근로자명부!$G$5:$G$24,MATCH($B91,근로자명부!$A$5:$A$24,0)))),"")</f>
        <v/>
      </c>
      <c r="G91" s="30">
        <f>IF(OR($A91="",$B91=""),"",COUNTIFS(근태기록!$C$5:$C$2004,$B91,근태기록!$A$5:$A$2004,"&gt;="&amp;$A91,근태기록!$A$5:$A$2004,"&lt;="&amp;EOMONTH($A91,0),근태기록!$H$5:$H$2004,"&gt;0"))</f>
        <v/>
      </c>
      <c r="H91" s="33">
        <f>IF(OR($A91="",$B91=""),"",SUMIFS(근태기록!$H$5:$H$2004,근태기록!$C$5:$C$2004,$B91,근태기록!$A$5:$A$2004,"&gt;="&amp;$A91,근태기록!$A$5:$A$2004,"&lt;="&amp;EOMONTH($A91,0)))</f>
        <v/>
      </c>
      <c r="I91" s="33">
        <f>IF(OR($A91="",$B91=""),"",SUMIFS(근태기록!$I$5:$I$2004,근태기록!$C$5:$C$2004,$B91,근태기록!$A$5:$A$2004,"&gt;="&amp;$A91,근태기록!$A$5:$A$2004,"&lt;="&amp;EOMONTH($A91,0)))</f>
        <v/>
      </c>
      <c r="J91" s="33">
        <f>IF(OR($A91="",$B91=""),"",SUMIFS(근태기록!$J$5:$J$2004,근태기록!$C$5:$C$2004,$B91,근태기록!$A$5:$A$2004,"&gt;="&amp;$A91,근태기록!$A$5:$A$2004,"&lt;="&amp;EOMONTH($A91,0)))</f>
        <v/>
      </c>
      <c r="K91" s="33">
        <f>IF(OR($A91="",$B91=""),"",SUMIFS(근태기록!$H$5:$H$2004,근태기록!$C$5:$C$2004,$B91,근태기록!$A$5:$A$2004,"&gt;="&amp;$A91,근태기록!$A$5:$A$2004,"&lt;="&amp;EOMONTH($A91,0),근태기록!$L$5:$L$2004,"휴일근로"))</f>
        <v/>
      </c>
      <c r="L91" s="20" t="n"/>
      <c r="M91" s="20" t="n"/>
      <c r="N91" s="20" t="n"/>
      <c r="O91" s="20" t="n"/>
      <c r="P91" s="15">
        <f>IF(OR($A91="",$B91=""),"",SUM(L91:O91))</f>
        <v/>
      </c>
      <c r="Q91" s="20" t="n"/>
      <c r="R91" s="20" t="n"/>
      <c r="S91" s="20" t="n"/>
      <c r="T91" s="20" t="n"/>
      <c r="U91" s="20" t="n"/>
      <c r="V91" s="20" t="n"/>
      <c r="W91" s="15">
        <f>IF(OR($A91="",$B91=""),"",SUM(Q91:V91))</f>
        <v/>
      </c>
      <c r="X91" s="15">
        <f>IF(OR($A91="",$B91=""),"",N(P91)-N(W91))</f>
        <v/>
      </c>
    </row>
    <row r="92">
      <c r="A92" s="43" t="n"/>
      <c r="B92" s="18" t="n"/>
      <c r="C92" s="25">
        <f>IFERROR(IF($B92="","",IF(INDEX(직원명부!$B$5:$B$24,MATCH($B92,직원명부!$A$5:$A$24,0))=0,"",INDEX(직원명부!$B$5:$B$24,MATCH($B92,직원명부!$A$5:$A$24,0)))),"사번 확인")</f>
        <v/>
      </c>
      <c r="D92" s="26">
        <f>IFERROR(IF($B92="","",IF(INDEX(근로자명부!$D$5:$D$24,MATCH($B92,근로자명부!$A$5:$A$24,0))=0,"",INDEX(근로자명부!$D$5:$D$24,MATCH($B92,근로자명부!$A$5:$A$24,0)))),"")</f>
        <v/>
      </c>
      <c r="E92" s="26">
        <f>IFERROR(IF($B92="","",IF(INDEX(직원명부!$C$5:$C$24,MATCH($B92,직원명부!$A$5:$A$24,0))=0,"",INDEX(직원명부!$C$5:$C$24,MATCH($B92,직원명부!$A$5:$A$24,0)))),"")</f>
        <v/>
      </c>
      <c r="F92" s="44">
        <f>IFERROR(IF($B92="","",IF(INDEX(근로자명부!$G$5:$G$24,MATCH($B92,근로자명부!$A$5:$A$24,0))=0,"",INDEX(근로자명부!$G$5:$G$24,MATCH($B92,근로자명부!$A$5:$A$24,0)))),"")</f>
        <v/>
      </c>
      <c r="G92" s="30">
        <f>IF(OR($A92="",$B92=""),"",COUNTIFS(근태기록!$C$5:$C$2004,$B92,근태기록!$A$5:$A$2004,"&gt;="&amp;$A92,근태기록!$A$5:$A$2004,"&lt;="&amp;EOMONTH($A92,0),근태기록!$H$5:$H$2004,"&gt;0"))</f>
        <v/>
      </c>
      <c r="H92" s="33">
        <f>IF(OR($A92="",$B92=""),"",SUMIFS(근태기록!$H$5:$H$2004,근태기록!$C$5:$C$2004,$B92,근태기록!$A$5:$A$2004,"&gt;="&amp;$A92,근태기록!$A$5:$A$2004,"&lt;="&amp;EOMONTH($A92,0)))</f>
        <v/>
      </c>
      <c r="I92" s="33">
        <f>IF(OR($A92="",$B92=""),"",SUMIFS(근태기록!$I$5:$I$2004,근태기록!$C$5:$C$2004,$B92,근태기록!$A$5:$A$2004,"&gt;="&amp;$A92,근태기록!$A$5:$A$2004,"&lt;="&amp;EOMONTH($A92,0)))</f>
        <v/>
      </c>
      <c r="J92" s="33">
        <f>IF(OR($A92="",$B92=""),"",SUMIFS(근태기록!$J$5:$J$2004,근태기록!$C$5:$C$2004,$B92,근태기록!$A$5:$A$2004,"&gt;="&amp;$A92,근태기록!$A$5:$A$2004,"&lt;="&amp;EOMONTH($A92,0)))</f>
        <v/>
      </c>
      <c r="K92" s="33">
        <f>IF(OR($A92="",$B92=""),"",SUMIFS(근태기록!$H$5:$H$2004,근태기록!$C$5:$C$2004,$B92,근태기록!$A$5:$A$2004,"&gt;="&amp;$A92,근태기록!$A$5:$A$2004,"&lt;="&amp;EOMONTH($A92,0),근태기록!$L$5:$L$2004,"휴일근로"))</f>
        <v/>
      </c>
      <c r="L92" s="20" t="n"/>
      <c r="M92" s="20" t="n"/>
      <c r="N92" s="20" t="n"/>
      <c r="O92" s="20" t="n"/>
      <c r="P92" s="15">
        <f>IF(OR($A92="",$B92=""),"",SUM(L92:O92))</f>
        <v/>
      </c>
      <c r="Q92" s="20" t="n"/>
      <c r="R92" s="20" t="n"/>
      <c r="S92" s="20" t="n"/>
      <c r="T92" s="20" t="n"/>
      <c r="U92" s="20" t="n"/>
      <c r="V92" s="20" t="n"/>
      <c r="W92" s="15">
        <f>IF(OR($A92="",$B92=""),"",SUM(Q92:V92))</f>
        <v/>
      </c>
      <c r="X92" s="15">
        <f>IF(OR($A92="",$B92=""),"",N(P92)-N(W92))</f>
        <v/>
      </c>
    </row>
    <row r="93">
      <c r="A93" s="43" t="n"/>
      <c r="B93" s="18" t="n"/>
      <c r="C93" s="25">
        <f>IFERROR(IF($B93="","",IF(INDEX(직원명부!$B$5:$B$24,MATCH($B93,직원명부!$A$5:$A$24,0))=0,"",INDEX(직원명부!$B$5:$B$24,MATCH($B93,직원명부!$A$5:$A$24,0)))),"사번 확인")</f>
        <v/>
      </c>
      <c r="D93" s="26">
        <f>IFERROR(IF($B93="","",IF(INDEX(근로자명부!$D$5:$D$24,MATCH($B93,근로자명부!$A$5:$A$24,0))=0,"",INDEX(근로자명부!$D$5:$D$24,MATCH($B93,근로자명부!$A$5:$A$24,0)))),"")</f>
        <v/>
      </c>
      <c r="E93" s="26">
        <f>IFERROR(IF($B93="","",IF(INDEX(직원명부!$C$5:$C$24,MATCH($B93,직원명부!$A$5:$A$24,0))=0,"",INDEX(직원명부!$C$5:$C$24,MATCH($B93,직원명부!$A$5:$A$24,0)))),"")</f>
        <v/>
      </c>
      <c r="F93" s="44">
        <f>IFERROR(IF($B93="","",IF(INDEX(근로자명부!$G$5:$G$24,MATCH($B93,근로자명부!$A$5:$A$24,0))=0,"",INDEX(근로자명부!$G$5:$G$24,MATCH($B93,근로자명부!$A$5:$A$24,0)))),"")</f>
        <v/>
      </c>
      <c r="G93" s="30">
        <f>IF(OR($A93="",$B93=""),"",COUNTIFS(근태기록!$C$5:$C$2004,$B93,근태기록!$A$5:$A$2004,"&gt;="&amp;$A93,근태기록!$A$5:$A$2004,"&lt;="&amp;EOMONTH($A93,0),근태기록!$H$5:$H$2004,"&gt;0"))</f>
        <v/>
      </c>
      <c r="H93" s="33">
        <f>IF(OR($A93="",$B93=""),"",SUMIFS(근태기록!$H$5:$H$2004,근태기록!$C$5:$C$2004,$B93,근태기록!$A$5:$A$2004,"&gt;="&amp;$A93,근태기록!$A$5:$A$2004,"&lt;="&amp;EOMONTH($A93,0)))</f>
        <v/>
      </c>
      <c r="I93" s="33">
        <f>IF(OR($A93="",$B93=""),"",SUMIFS(근태기록!$I$5:$I$2004,근태기록!$C$5:$C$2004,$B93,근태기록!$A$5:$A$2004,"&gt;="&amp;$A93,근태기록!$A$5:$A$2004,"&lt;="&amp;EOMONTH($A93,0)))</f>
        <v/>
      </c>
      <c r="J93" s="33">
        <f>IF(OR($A93="",$B93=""),"",SUMIFS(근태기록!$J$5:$J$2004,근태기록!$C$5:$C$2004,$B93,근태기록!$A$5:$A$2004,"&gt;="&amp;$A93,근태기록!$A$5:$A$2004,"&lt;="&amp;EOMONTH($A93,0)))</f>
        <v/>
      </c>
      <c r="K93" s="33">
        <f>IF(OR($A93="",$B93=""),"",SUMIFS(근태기록!$H$5:$H$2004,근태기록!$C$5:$C$2004,$B93,근태기록!$A$5:$A$2004,"&gt;="&amp;$A93,근태기록!$A$5:$A$2004,"&lt;="&amp;EOMONTH($A93,0),근태기록!$L$5:$L$2004,"휴일근로"))</f>
        <v/>
      </c>
      <c r="L93" s="20" t="n"/>
      <c r="M93" s="20" t="n"/>
      <c r="N93" s="20" t="n"/>
      <c r="O93" s="20" t="n"/>
      <c r="P93" s="15">
        <f>IF(OR($A93="",$B93=""),"",SUM(L93:O93))</f>
        <v/>
      </c>
      <c r="Q93" s="20" t="n"/>
      <c r="R93" s="20" t="n"/>
      <c r="S93" s="20" t="n"/>
      <c r="T93" s="20" t="n"/>
      <c r="U93" s="20" t="n"/>
      <c r="V93" s="20" t="n"/>
      <c r="W93" s="15">
        <f>IF(OR($A93="",$B93=""),"",SUM(Q93:V93))</f>
        <v/>
      </c>
      <c r="X93" s="15">
        <f>IF(OR($A93="",$B93=""),"",N(P93)-N(W93))</f>
        <v/>
      </c>
    </row>
    <row r="94">
      <c r="A94" s="43" t="n"/>
      <c r="B94" s="18" t="n"/>
      <c r="C94" s="25">
        <f>IFERROR(IF($B94="","",IF(INDEX(직원명부!$B$5:$B$24,MATCH($B94,직원명부!$A$5:$A$24,0))=0,"",INDEX(직원명부!$B$5:$B$24,MATCH($B94,직원명부!$A$5:$A$24,0)))),"사번 확인")</f>
        <v/>
      </c>
      <c r="D94" s="26">
        <f>IFERROR(IF($B94="","",IF(INDEX(근로자명부!$D$5:$D$24,MATCH($B94,근로자명부!$A$5:$A$24,0))=0,"",INDEX(근로자명부!$D$5:$D$24,MATCH($B94,근로자명부!$A$5:$A$24,0)))),"")</f>
        <v/>
      </c>
      <c r="E94" s="26">
        <f>IFERROR(IF($B94="","",IF(INDEX(직원명부!$C$5:$C$24,MATCH($B94,직원명부!$A$5:$A$24,0))=0,"",INDEX(직원명부!$C$5:$C$24,MATCH($B94,직원명부!$A$5:$A$24,0)))),"")</f>
        <v/>
      </c>
      <c r="F94" s="44">
        <f>IFERROR(IF($B94="","",IF(INDEX(근로자명부!$G$5:$G$24,MATCH($B94,근로자명부!$A$5:$A$24,0))=0,"",INDEX(근로자명부!$G$5:$G$24,MATCH($B94,근로자명부!$A$5:$A$24,0)))),"")</f>
        <v/>
      </c>
      <c r="G94" s="30">
        <f>IF(OR($A94="",$B94=""),"",COUNTIFS(근태기록!$C$5:$C$2004,$B94,근태기록!$A$5:$A$2004,"&gt;="&amp;$A94,근태기록!$A$5:$A$2004,"&lt;="&amp;EOMONTH($A94,0),근태기록!$H$5:$H$2004,"&gt;0"))</f>
        <v/>
      </c>
      <c r="H94" s="33">
        <f>IF(OR($A94="",$B94=""),"",SUMIFS(근태기록!$H$5:$H$2004,근태기록!$C$5:$C$2004,$B94,근태기록!$A$5:$A$2004,"&gt;="&amp;$A94,근태기록!$A$5:$A$2004,"&lt;="&amp;EOMONTH($A94,0)))</f>
        <v/>
      </c>
      <c r="I94" s="33">
        <f>IF(OR($A94="",$B94=""),"",SUMIFS(근태기록!$I$5:$I$2004,근태기록!$C$5:$C$2004,$B94,근태기록!$A$5:$A$2004,"&gt;="&amp;$A94,근태기록!$A$5:$A$2004,"&lt;="&amp;EOMONTH($A94,0)))</f>
        <v/>
      </c>
      <c r="J94" s="33">
        <f>IF(OR($A94="",$B94=""),"",SUMIFS(근태기록!$J$5:$J$2004,근태기록!$C$5:$C$2004,$B94,근태기록!$A$5:$A$2004,"&gt;="&amp;$A94,근태기록!$A$5:$A$2004,"&lt;="&amp;EOMONTH($A94,0)))</f>
        <v/>
      </c>
      <c r="K94" s="33">
        <f>IF(OR($A94="",$B94=""),"",SUMIFS(근태기록!$H$5:$H$2004,근태기록!$C$5:$C$2004,$B94,근태기록!$A$5:$A$2004,"&gt;="&amp;$A94,근태기록!$A$5:$A$2004,"&lt;="&amp;EOMONTH($A94,0),근태기록!$L$5:$L$2004,"휴일근로"))</f>
        <v/>
      </c>
      <c r="L94" s="20" t="n"/>
      <c r="M94" s="20" t="n"/>
      <c r="N94" s="20" t="n"/>
      <c r="O94" s="20" t="n"/>
      <c r="P94" s="15">
        <f>IF(OR($A94="",$B94=""),"",SUM(L94:O94))</f>
        <v/>
      </c>
      <c r="Q94" s="20" t="n"/>
      <c r="R94" s="20" t="n"/>
      <c r="S94" s="20" t="n"/>
      <c r="T94" s="20" t="n"/>
      <c r="U94" s="20" t="n"/>
      <c r="V94" s="20" t="n"/>
      <c r="W94" s="15">
        <f>IF(OR($A94="",$B94=""),"",SUM(Q94:V94))</f>
        <v/>
      </c>
      <c r="X94" s="15">
        <f>IF(OR($A94="",$B94=""),"",N(P94)-N(W94))</f>
        <v/>
      </c>
    </row>
    <row r="95">
      <c r="A95" s="43" t="n"/>
      <c r="B95" s="18" t="n"/>
      <c r="C95" s="25">
        <f>IFERROR(IF($B95="","",IF(INDEX(직원명부!$B$5:$B$24,MATCH($B95,직원명부!$A$5:$A$24,0))=0,"",INDEX(직원명부!$B$5:$B$24,MATCH($B95,직원명부!$A$5:$A$24,0)))),"사번 확인")</f>
        <v/>
      </c>
      <c r="D95" s="26">
        <f>IFERROR(IF($B95="","",IF(INDEX(근로자명부!$D$5:$D$24,MATCH($B95,근로자명부!$A$5:$A$24,0))=0,"",INDEX(근로자명부!$D$5:$D$24,MATCH($B95,근로자명부!$A$5:$A$24,0)))),"")</f>
        <v/>
      </c>
      <c r="E95" s="26">
        <f>IFERROR(IF($B95="","",IF(INDEX(직원명부!$C$5:$C$24,MATCH($B95,직원명부!$A$5:$A$24,0))=0,"",INDEX(직원명부!$C$5:$C$24,MATCH($B95,직원명부!$A$5:$A$24,0)))),"")</f>
        <v/>
      </c>
      <c r="F95" s="44">
        <f>IFERROR(IF($B95="","",IF(INDEX(근로자명부!$G$5:$G$24,MATCH($B95,근로자명부!$A$5:$A$24,0))=0,"",INDEX(근로자명부!$G$5:$G$24,MATCH($B95,근로자명부!$A$5:$A$24,0)))),"")</f>
        <v/>
      </c>
      <c r="G95" s="30">
        <f>IF(OR($A95="",$B95=""),"",COUNTIFS(근태기록!$C$5:$C$2004,$B95,근태기록!$A$5:$A$2004,"&gt;="&amp;$A95,근태기록!$A$5:$A$2004,"&lt;="&amp;EOMONTH($A95,0),근태기록!$H$5:$H$2004,"&gt;0"))</f>
        <v/>
      </c>
      <c r="H95" s="33">
        <f>IF(OR($A95="",$B95=""),"",SUMIFS(근태기록!$H$5:$H$2004,근태기록!$C$5:$C$2004,$B95,근태기록!$A$5:$A$2004,"&gt;="&amp;$A95,근태기록!$A$5:$A$2004,"&lt;="&amp;EOMONTH($A95,0)))</f>
        <v/>
      </c>
      <c r="I95" s="33">
        <f>IF(OR($A95="",$B95=""),"",SUMIFS(근태기록!$I$5:$I$2004,근태기록!$C$5:$C$2004,$B95,근태기록!$A$5:$A$2004,"&gt;="&amp;$A95,근태기록!$A$5:$A$2004,"&lt;="&amp;EOMONTH($A95,0)))</f>
        <v/>
      </c>
      <c r="J95" s="33">
        <f>IF(OR($A95="",$B95=""),"",SUMIFS(근태기록!$J$5:$J$2004,근태기록!$C$5:$C$2004,$B95,근태기록!$A$5:$A$2004,"&gt;="&amp;$A95,근태기록!$A$5:$A$2004,"&lt;="&amp;EOMONTH($A95,0)))</f>
        <v/>
      </c>
      <c r="K95" s="33">
        <f>IF(OR($A95="",$B95=""),"",SUMIFS(근태기록!$H$5:$H$2004,근태기록!$C$5:$C$2004,$B95,근태기록!$A$5:$A$2004,"&gt;="&amp;$A95,근태기록!$A$5:$A$2004,"&lt;="&amp;EOMONTH($A95,0),근태기록!$L$5:$L$2004,"휴일근로"))</f>
        <v/>
      </c>
      <c r="L95" s="20" t="n"/>
      <c r="M95" s="20" t="n"/>
      <c r="N95" s="20" t="n"/>
      <c r="O95" s="20" t="n"/>
      <c r="P95" s="15">
        <f>IF(OR($A95="",$B95=""),"",SUM(L95:O95))</f>
        <v/>
      </c>
      <c r="Q95" s="20" t="n"/>
      <c r="R95" s="20" t="n"/>
      <c r="S95" s="20" t="n"/>
      <c r="T95" s="20" t="n"/>
      <c r="U95" s="20" t="n"/>
      <c r="V95" s="20" t="n"/>
      <c r="W95" s="15">
        <f>IF(OR($A95="",$B95=""),"",SUM(Q95:V95))</f>
        <v/>
      </c>
      <c r="X95" s="15">
        <f>IF(OR($A95="",$B95=""),"",N(P95)-N(W95))</f>
        <v/>
      </c>
    </row>
    <row r="96">
      <c r="A96" s="43" t="n"/>
      <c r="B96" s="18" t="n"/>
      <c r="C96" s="25">
        <f>IFERROR(IF($B96="","",IF(INDEX(직원명부!$B$5:$B$24,MATCH($B96,직원명부!$A$5:$A$24,0))=0,"",INDEX(직원명부!$B$5:$B$24,MATCH($B96,직원명부!$A$5:$A$24,0)))),"사번 확인")</f>
        <v/>
      </c>
      <c r="D96" s="26">
        <f>IFERROR(IF($B96="","",IF(INDEX(근로자명부!$D$5:$D$24,MATCH($B96,근로자명부!$A$5:$A$24,0))=0,"",INDEX(근로자명부!$D$5:$D$24,MATCH($B96,근로자명부!$A$5:$A$24,0)))),"")</f>
        <v/>
      </c>
      <c r="E96" s="26">
        <f>IFERROR(IF($B96="","",IF(INDEX(직원명부!$C$5:$C$24,MATCH($B96,직원명부!$A$5:$A$24,0))=0,"",INDEX(직원명부!$C$5:$C$24,MATCH($B96,직원명부!$A$5:$A$24,0)))),"")</f>
        <v/>
      </c>
      <c r="F96" s="44">
        <f>IFERROR(IF($B96="","",IF(INDEX(근로자명부!$G$5:$G$24,MATCH($B96,근로자명부!$A$5:$A$24,0))=0,"",INDEX(근로자명부!$G$5:$G$24,MATCH($B96,근로자명부!$A$5:$A$24,0)))),"")</f>
        <v/>
      </c>
      <c r="G96" s="30">
        <f>IF(OR($A96="",$B96=""),"",COUNTIFS(근태기록!$C$5:$C$2004,$B96,근태기록!$A$5:$A$2004,"&gt;="&amp;$A96,근태기록!$A$5:$A$2004,"&lt;="&amp;EOMONTH($A96,0),근태기록!$H$5:$H$2004,"&gt;0"))</f>
        <v/>
      </c>
      <c r="H96" s="33">
        <f>IF(OR($A96="",$B96=""),"",SUMIFS(근태기록!$H$5:$H$2004,근태기록!$C$5:$C$2004,$B96,근태기록!$A$5:$A$2004,"&gt;="&amp;$A96,근태기록!$A$5:$A$2004,"&lt;="&amp;EOMONTH($A96,0)))</f>
        <v/>
      </c>
      <c r="I96" s="33">
        <f>IF(OR($A96="",$B96=""),"",SUMIFS(근태기록!$I$5:$I$2004,근태기록!$C$5:$C$2004,$B96,근태기록!$A$5:$A$2004,"&gt;="&amp;$A96,근태기록!$A$5:$A$2004,"&lt;="&amp;EOMONTH($A96,0)))</f>
        <v/>
      </c>
      <c r="J96" s="33">
        <f>IF(OR($A96="",$B96=""),"",SUMIFS(근태기록!$J$5:$J$2004,근태기록!$C$5:$C$2004,$B96,근태기록!$A$5:$A$2004,"&gt;="&amp;$A96,근태기록!$A$5:$A$2004,"&lt;="&amp;EOMONTH($A96,0)))</f>
        <v/>
      </c>
      <c r="K96" s="33">
        <f>IF(OR($A96="",$B96=""),"",SUMIFS(근태기록!$H$5:$H$2004,근태기록!$C$5:$C$2004,$B96,근태기록!$A$5:$A$2004,"&gt;="&amp;$A96,근태기록!$A$5:$A$2004,"&lt;="&amp;EOMONTH($A96,0),근태기록!$L$5:$L$2004,"휴일근로"))</f>
        <v/>
      </c>
      <c r="L96" s="20" t="n"/>
      <c r="M96" s="20" t="n"/>
      <c r="N96" s="20" t="n"/>
      <c r="O96" s="20" t="n"/>
      <c r="P96" s="15">
        <f>IF(OR($A96="",$B96=""),"",SUM(L96:O96))</f>
        <v/>
      </c>
      <c r="Q96" s="20" t="n"/>
      <c r="R96" s="20" t="n"/>
      <c r="S96" s="20" t="n"/>
      <c r="T96" s="20" t="n"/>
      <c r="U96" s="20" t="n"/>
      <c r="V96" s="20" t="n"/>
      <c r="W96" s="15">
        <f>IF(OR($A96="",$B96=""),"",SUM(Q96:V96))</f>
        <v/>
      </c>
      <c r="X96" s="15">
        <f>IF(OR($A96="",$B96=""),"",N(P96)-N(W96))</f>
        <v/>
      </c>
    </row>
    <row r="97">
      <c r="A97" s="43" t="n"/>
      <c r="B97" s="18" t="n"/>
      <c r="C97" s="25">
        <f>IFERROR(IF($B97="","",IF(INDEX(직원명부!$B$5:$B$24,MATCH($B97,직원명부!$A$5:$A$24,0))=0,"",INDEX(직원명부!$B$5:$B$24,MATCH($B97,직원명부!$A$5:$A$24,0)))),"사번 확인")</f>
        <v/>
      </c>
      <c r="D97" s="26">
        <f>IFERROR(IF($B97="","",IF(INDEX(근로자명부!$D$5:$D$24,MATCH($B97,근로자명부!$A$5:$A$24,0))=0,"",INDEX(근로자명부!$D$5:$D$24,MATCH($B97,근로자명부!$A$5:$A$24,0)))),"")</f>
        <v/>
      </c>
      <c r="E97" s="26">
        <f>IFERROR(IF($B97="","",IF(INDEX(직원명부!$C$5:$C$24,MATCH($B97,직원명부!$A$5:$A$24,0))=0,"",INDEX(직원명부!$C$5:$C$24,MATCH($B97,직원명부!$A$5:$A$24,0)))),"")</f>
        <v/>
      </c>
      <c r="F97" s="44">
        <f>IFERROR(IF($B97="","",IF(INDEX(근로자명부!$G$5:$G$24,MATCH($B97,근로자명부!$A$5:$A$24,0))=0,"",INDEX(근로자명부!$G$5:$G$24,MATCH($B97,근로자명부!$A$5:$A$24,0)))),"")</f>
        <v/>
      </c>
      <c r="G97" s="30">
        <f>IF(OR($A97="",$B97=""),"",COUNTIFS(근태기록!$C$5:$C$2004,$B97,근태기록!$A$5:$A$2004,"&gt;="&amp;$A97,근태기록!$A$5:$A$2004,"&lt;="&amp;EOMONTH($A97,0),근태기록!$H$5:$H$2004,"&gt;0"))</f>
        <v/>
      </c>
      <c r="H97" s="33">
        <f>IF(OR($A97="",$B97=""),"",SUMIFS(근태기록!$H$5:$H$2004,근태기록!$C$5:$C$2004,$B97,근태기록!$A$5:$A$2004,"&gt;="&amp;$A97,근태기록!$A$5:$A$2004,"&lt;="&amp;EOMONTH($A97,0)))</f>
        <v/>
      </c>
      <c r="I97" s="33">
        <f>IF(OR($A97="",$B97=""),"",SUMIFS(근태기록!$I$5:$I$2004,근태기록!$C$5:$C$2004,$B97,근태기록!$A$5:$A$2004,"&gt;="&amp;$A97,근태기록!$A$5:$A$2004,"&lt;="&amp;EOMONTH($A97,0)))</f>
        <v/>
      </c>
      <c r="J97" s="33">
        <f>IF(OR($A97="",$B97=""),"",SUMIFS(근태기록!$J$5:$J$2004,근태기록!$C$5:$C$2004,$B97,근태기록!$A$5:$A$2004,"&gt;="&amp;$A97,근태기록!$A$5:$A$2004,"&lt;="&amp;EOMONTH($A97,0)))</f>
        <v/>
      </c>
      <c r="K97" s="33">
        <f>IF(OR($A97="",$B97=""),"",SUMIFS(근태기록!$H$5:$H$2004,근태기록!$C$5:$C$2004,$B97,근태기록!$A$5:$A$2004,"&gt;="&amp;$A97,근태기록!$A$5:$A$2004,"&lt;="&amp;EOMONTH($A97,0),근태기록!$L$5:$L$2004,"휴일근로"))</f>
        <v/>
      </c>
      <c r="L97" s="20" t="n"/>
      <c r="M97" s="20" t="n"/>
      <c r="N97" s="20" t="n"/>
      <c r="O97" s="20" t="n"/>
      <c r="P97" s="15">
        <f>IF(OR($A97="",$B97=""),"",SUM(L97:O97))</f>
        <v/>
      </c>
      <c r="Q97" s="20" t="n"/>
      <c r="R97" s="20" t="n"/>
      <c r="S97" s="20" t="n"/>
      <c r="T97" s="20" t="n"/>
      <c r="U97" s="20" t="n"/>
      <c r="V97" s="20" t="n"/>
      <c r="W97" s="15">
        <f>IF(OR($A97="",$B97=""),"",SUM(Q97:V97))</f>
        <v/>
      </c>
      <c r="X97" s="15">
        <f>IF(OR($A97="",$B97=""),"",N(P97)-N(W97))</f>
        <v/>
      </c>
    </row>
    <row r="98">
      <c r="A98" s="43" t="n"/>
      <c r="B98" s="18" t="n"/>
      <c r="C98" s="25">
        <f>IFERROR(IF($B98="","",IF(INDEX(직원명부!$B$5:$B$24,MATCH($B98,직원명부!$A$5:$A$24,0))=0,"",INDEX(직원명부!$B$5:$B$24,MATCH($B98,직원명부!$A$5:$A$24,0)))),"사번 확인")</f>
        <v/>
      </c>
      <c r="D98" s="26">
        <f>IFERROR(IF($B98="","",IF(INDEX(근로자명부!$D$5:$D$24,MATCH($B98,근로자명부!$A$5:$A$24,0))=0,"",INDEX(근로자명부!$D$5:$D$24,MATCH($B98,근로자명부!$A$5:$A$24,0)))),"")</f>
        <v/>
      </c>
      <c r="E98" s="26">
        <f>IFERROR(IF($B98="","",IF(INDEX(직원명부!$C$5:$C$24,MATCH($B98,직원명부!$A$5:$A$24,0))=0,"",INDEX(직원명부!$C$5:$C$24,MATCH($B98,직원명부!$A$5:$A$24,0)))),"")</f>
        <v/>
      </c>
      <c r="F98" s="44">
        <f>IFERROR(IF($B98="","",IF(INDEX(근로자명부!$G$5:$G$24,MATCH($B98,근로자명부!$A$5:$A$24,0))=0,"",INDEX(근로자명부!$G$5:$G$24,MATCH($B98,근로자명부!$A$5:$A$24,0)))),"")</f>
        <v/>
      </c>
      <c r="G98" s="30">
        <f>IF(OR($A98="",$B98=""),"",COUNTIFS(근태기록!$C$5:$C$2004,$B98,근태기록!$A$5:$A$2004,"&gt;="&amp;$A98,근태기록!$A$5:$A$2004,"&lt;="&amp;EOMONTH($A98,0),근태기록!$H$5:$H$2004,"&gt;0"))</f>
        <v/>
      </c>
      <c r="H98" s="33">
        <f>IF(OR($A98="",$B98=""),"",SUMIFS(근태기록!$H$5:$H$2004,근태기록!$C$5:$C$2004,$B98,근태기록!$A$5:$A$2004,"&gt;="&amp;$A98,근태기록!$A$5:$A$2004,"&lt;="&amp;EOMONTH($A98,0)))</f>
        <v/>
      </c>
      <c r="I98" s="33">
        <f>IF(OR($A98="",$B98=""),"",SUMIFS(근태기록!$I$5:$I$2004,근태기록!$C$5:$C$2004,$B98,근태기록!$A$5:$A$2004,"&gt;="&amp;$A98,근태기록!$A$5:$A$2004,"&lt;="&amp;EOMONTH($A98,0)))</f>
        <v/>
      </c>
      <c r="J98" s="33">
        <f>IF(OR($A98="",$B98=""),"",SUMIFS(근태기록!$J$5:$J$2004,근태기록!$C$5:$C$2004,$B98,근태기록!$A$5:$A$2004,"&gt;="&amp;$A98,근태기록!$A$5:$A$2004,"&lt;="&amp;EOMONTH($A98,0)))</f>
        <v/>
      </c>
      <c r="K98" s="33">
        <f>IF(OR($A98="",$B98=""),"",SUMIFS(근태기록!$H$5:$H$2004,근태기록!$C$5:$C$2004,$B98,근태기록!$A$5:$A$2004,"&gt;="&amp;$A98,근태기록!$A$5:$A$2004,"&lt;="&amp;EOMONTH($A98,0),근태기록!$L$5:$L$2004,"휴일근로"))</f>
        <v/>
      </c>
      <c r="L98" s="20" t="n"/>
      <c r="M98" s="20" t="n"/>
      <c r="N98" s="20" t="n"/>
      <c r="O98" s="20" t="n"/>
      <c r="P98" s="15">
        <f>IF(OR($A98="",$B98=""),"",SUM(L98:O98))</f>
        <v/>
      </c>
      <c r="Q98" s="20" t="n"/>
      <c r="R98" s="20" t="n"/>
      <c r="S98" s="20" t="n"/>
      <c r="T98" s="20" t="n"/>
      <c r="U98" s="20" t="n"/>
      <c r="V98" s="20" t="n"/>
      <c r="W98" s="15">
        <f>IF(OR($A98="",$B98=""),"",SUM(Q98:V98))</f>
        <v/>
      </c>
      <c r="X98" s="15">
        <f>IF(OR($A98="",$B98=""),"",N(P98)-N(W98))</f>
        <v/>
      </c>
    </row>
    <row r="99">
      <c r="A99" s="43" t="n"/>
      <c r="B99" s="18" t="n"/>
      <c r="C99" s="25">
        <f>IFERROR(IF($B99="","",IF(INDEX(직원명부!$B$5:$B$24,MATCH($B99,직원명부!$A$5:$A$24,0))=0,"",INDEX(직원명부!$B$5:$B$24,MATCH($B99,직원명부!$A$5:$A$24,0)))),"사번 확인")</f>
        <v/>
      </c>
      <c r="D99" s="26">
        <f>IFERROR(IF($B99="","",IF(INDEX(근로자명부!$D$5:$D$24,MATCH($B99,근로자명부!$A$5:$A$24,0))=0,"",INDEX(근로자명부!$D$5:$D$24,MATCH($B99,근로자명부!$A$5:$A$24,0)))),"")</f>
        <v/>
      </c>
      <c r="E99" s="26">
        <f>IFERROR(IF($B99="","",IF(INDEX(직원명부!$C$5:$C$24,MATCH($B99,직원명부!$A$5:$A$24,0))=0,"",INDEX(직원명부!$C$5:$C$24,MATCH($B99,직원명부!$A$5:$A$24,0)))),"")</f>
        <v/>
      </c>
      <c r="F99" s="44">
        <f>IFERROR(IF($B99="","",IF(INDEX(근로자명부!$G$5:$G$24,MATCH($B99,근로자명부!$A$5:$A$24,0))=0,"",INDEX(근로자명부!$G$5:$G$24,MATCH($B99,근로자명부!$A$5:$A$24,0)))),"")</f>
        <v/>
      </c>
      <c r="G99" s="30">
        <f>IF(OR($A99="",$B99=""),"",COUNTIFS(근태기록!$C$5:$C$2004,$B99,근태기록!$A$5:$A$2004,"&gt;="&amp;$A99,근태기록!$A$5:$A$2004,"&lt;="&amp;EOMONTH($A99,0),근태기록!$H$5:$H$2004,"&gt;0"))</f>
        <v/>
      </c>
      <c r="H99" s="33">
        <f>IF(OR($A99="",$B99=""),"",SUMIFS(근태기록!$H$5:$H$2004,근태기록!$C$5:$C$2004,$B99,근태기록!$A$5:$A$2004,"&gt;="&amp;$A99,근태기록!$A$5:$A$2004,"&lt;="&amp;EOMONTH($A99,0)))</f>
        <v/>
      </c>
      <c r="I99" s="33">
        <f>IF(OR($A99="",$B99=""),"",SUMIFS(근태기록!$I$5:$I$2004,근태기록!$C$5:$C$2004,$B99,근태기록!$A$5:$A$2004,"&gt;="&amp;$A99,근태기록!$A$5:$A$2004,"&lt;="&amp;EOMONTH($A99,0)))</f>
        <v/>
      </c>
      <c r="J99" s="33">
        <f>IF(OR($A99="",$B99=""),"",SUMIFS(근태기록!$J$5:$J$2004,근태기록!$C$5:$C$2004,$B99,근태기록!$A$5:$A$2004,"&gt;="&amp;$A99,근태기록!$A$5:$A$2004,"&lt;="&amp;EOMONTH($A99,0)))</f>
        <v/>
      </c>
      <c r="K99" s="33">
        <f>IF(OR($A99="",$B99=""),"",SUMIFS(근태기록!$H$5:$H$2004,근태기록!$C$5:$C$2004,$B99,근태기록!$A$5:$A$2004,"&gt;="&amp;$A99,근태기록!$A$5:$A$2004,"&lt;="&amp;EOMONTH($A99,0),근태기록!$L$5:$L$2004,"휴일근로"))</f>
        <v/>
      </c>
      <c r="L99" s="20" t="n"/>
      <c r="M99" s="20" t="n"/>
      <c r="N99" s="20" t="n"/>
      <c r="O99" s="20" t="n"/>
      <c r="P99" s="15">
        <f>IF(OR($A99="",$B99=""),"",SUM(L99:O99))</f>
        <v/>
      </c>
      <c r="Q99" s="20" t="n"/>
      <c r="R99" s="20" t="n"/>
      <c r="S99" s="20" t="n"/>
      <c r="T99" s="20" t="n"/>
      <c r="U99" s="20" t="n"/>
      <c r="V99" s="20" t="n"/>
      <c r="W99" s="15">
        <f>IF(OR($A99="",$B99=""),"",SUM(Q99:V99))</f>
        <v/>
      </c>
      <c r="X99" s="15">
        <f>IF(OR($A99="",$B99=""),"",N(P99)-N(W99))</f>
        <v/>
      </c>
    </row>
    <row r="100">
      <c r="A100" s="43" t="n"/>
      <c r="B100" s="18" t="n"/>
      <c r="C100" s="25">
        <f>IFERROR(IF($B100="","",IF(INDEX(직원명부!$B$5:$B$24,MATCH($B100,직원명부!$A$5:$A$24,0))=0,"",INDEX(직원명부!$B$5:$B$24,MATCH($B100,직원명부!$A$5:$A$24,0)))),"사번 확인")</f>
        <v/>
      </c>
      <c r="D100" s="26">
        <f>IFERROR(IF($B100="","",IF(INDEX(근로자명부!$D$5:$D$24,MATCH($B100,근로자명부!$A$5:$A$24,0))=0,"",INDEX(근로자명부!$D$5:$D$24,MATCH($B100,근로자명부!$A$5:$A$24,0)))),"")</f>
        <v/>
      </c>
      <c r="E100" s="26">
        <f>IFERROR(IF($B100="","",IF(INDEX(직원명부!$C$5:$C$24,MATCH($B100,직원명부!$A$5:$A$24,0))=0,"",INDEX(직원명부!$C$5:$C$24,MATCH($B100,직원명부!$A$5:$A$24,0)))),"")</f>
        <v/>
      </c>
      <c r="F100" s="44">
        <f>IFERROR(IF($B100="","",IF(INDEX(근로자명부!$G$5:$G$24,MATCH($B100,근로자명부!$A$5:$A$24,0))=0,"",INDEX(근로자명부!$G$5:$G$24,MATCH($B100,근로자명부!$A$5:$A$24,0)))),"")</f>
        <v/>
      </c>
      <c r="G100" s="30">
        <f>IF(OR($A100="",$B100=""),"",COUNTIFS(근태기록!$C$5:$C$2004,$B100,근태기록!$A$5:$A$2004,"&gt;="&amp;$A100,근태기록!$A$5:$A$2004,"&lt;="&amp;EOMONTH($A100,0),근태기록!$H$5:$H$2004,"&gt;0"))</f>
        <v/>
      </c>
      <c r="H100" s="33">
        <f>IF(OR($A100="",$B100=""),"",SUMIFS(근태기록!$H$5:$H$2004,근태기록!$C$5:$C$2004,$B100,근태기록!$A$5:$A$2004,"&gt;="&amp;$A100,근태기록!$A$5:$A$2004,"&lt;="&amp;EOMONTH($A100,0)))</f>
        <v/>
      </c>
      <c r="I100" s="33">
        <f>IF(OR($A100="",$B100=""),"",SUMIFS(근태기록!$I$5:$I$2004,근태기록!$C$5:$C$2004,$B100,근태기록!$A$5:$A$2004,"&gt;="&amp;$A100,근태기록!$A$5:$A$2004,"&lt;="&amp;EOMONTH($A100,0)))</f>
        <v/>
      </c>
      <c r="J100" s="33">
        <f>IF(OR($A100="",$B100=""),"",SUMIFS(근태기록!$J$5:$J$2004,근태기록!$C$5:$C$2004,$B100,근태기록!$A$5:$A$2004,"&gt;="&amp;$A100,근태기록!$A$5:$A$2004,"&lt;="&amp;EOMONTH($A100,0)))</f>
        <v/>
      </c>
      <c r="K100" s="33">
        <f>IF(OR($A100="",$B100=""),"",SUMIFS(근태기록!$H$5:$H$2004,근태기록!$C$5:$C$2004,$B100,근태기록!$A$5:$A$2004,"&gt;="&amp;$A100,근태기록!$A$5:$A$2004,"&lt;="&amp;EOMONTH($A100,0),근태기록!$L$5:$L$2004,"휴일근로"))</f>
        <v/>
      </c>
      <c r="L100" s="20" t="n"/>
      <c r="M100" s="20" t="n"/>
      <c r="N100" s="20" t="n"/>
      <c r="O100" s="20" t="n"/>
      <c r="P100" s="15">
        <f>IF(OR($A100="",$B100=""),"",SUM(L100:O100))</f>
        <v/>
      </c>
      <c r="Q100" s="20" t="n"/>
      <c r="R100" s="20" t="n"/>
      <c r="S100" s="20" t="n"/>
      <c r="T100" s="20" t="n"/>
      <c r="U100" s="20" t="n"/>
      <c r="V100" s="20" t="n"/>
      <c r="W100" s="15">
        <f>IF(OR($A100="",$B100=""),"",SUM(Q100:V100))</f>
        <v/>
      </c>
      <c r="X100" s="15">
        <f>IF(OR($A100="",$B100=""),"",N(P100)-N(W100))</f>
        <v/>
      </c>
    </row>
    <row r="101">
      <c r="A101" s="43" t="n"/>
      <c r="B101" s="18" t="n"/>
      <c r="C101" s="25">
        <f>IFERROR(IF($B101="","",IF(INDEX(직원명부!$B$5:$B$24,MATCH($B101,직원명부!$A$5:$A$24,0))=0,"",INDEX(직원명부!$B$5:$B$24,MATCH($B101,직원명부!$A$5:$A$24,0)))),"사번 확인")</f>
        <v/>
      </c>
      <c r="D101" s="26">
        <f>IFERROR(IF($B101="","",IF(INDEX(근로자명부!$D$5:$D$24,MATCH($B101,근로자명부!$A$5:$A$24,0))=0,"",INDEX(근로자명부!$D$5:$D$24,MATCH($B101,근로자명부!$A$5:$A$24,0)))),"")</f>
        <v/>
      </c>
      <c r="E101" s="26">
        <f>IFERROR(IF($B101="","",IF(INDEX(직원명부!$C$5:$C$24,MATCH($B101,직원명부!$A$5:$A$24,0))=0,"",INDEX(직원명부!$C$5:$C$24,MATCH($B101,직원명부!$A$5:$A$24,0)))),"")</f>
        <v/>
      </c>
      <c r="F101" s="44">
        <f>IFERROR(IF($B101="","",IF(INDEX(근로자명부!$G$5:$G$24,MATCH($B101,근로자명부!$A$5:$A$24,0))=0,"",INDEX(근로자명부!$G$5:$G$24,MATCH($B101,근로자명부!$A$5:$A$24,0)))),"")</f>
        <v/>
      </c>
      <c r="G101" s="30">
        <f>IF(OR($A101="",$B101=""),"",COUNTIFS(근태기록!$C$5:$C$2004,$B101,근태기록!$A$5:$A$2004,"&gt;="&amp;$A101,근태기록!$A$5:$A$2004,"&lt;="&amp;EOMONTH($A101,0),근태기록!$H$5:$H$2004,"&gt;0"))</f>
        <v/>
      </c>
      <c r="H101" s="33">
        <f>IF(OR($A101="",$B101=""),"",SUMIFS(근태기록!$H$5:$H$2004,근태기록!$C$5:$C$2004,$B101,근태기록!$A$5:$A$2004,"&gt;="&amp;$A101,근태기록!$A$5:$A$2004,"&lt;="&amp;EOMONTH($A101,0)))</f>
        <v/>
      </c>
      <c r="I101" s="33">
        <f>IF(OR($A101="",$B101=""),"",SUMIFS(근태기록!$I$5:$I$2004,근태기록!$C$5:$C$2004,$B101,근태기록!$A$5:$A$2004,"&gt;="&amp;$A101,근태기록!$A$5:$A$2004,"&lt;="&amp;EOMONTH($A101,0)))</f>
        <v/>
      </c>
      <c r="J101" s="33">
        <f>IF(OR($A101="",$B101=""),"",SUMIFS(근태기록!$J$5:$J$2004,근태기록!$C$5:$C$2004,$B101,근태기록!$A$5:$A$2004,"&gt;="&amp;$A101,근태기록!$A$5:$A$2004,"&lt;="&amp;EOMONTH($A101,0)))</f>
        <v/>
      </c>
      <c r="K101" s="33">
        <f>IF(OR($A101="",$B101=""),"",SUMIFS(근태기록!$H$5:$H$2004,근태기록!$C$5:$C$2004,$B101,근태기록!$A$5:$A$2004,"&gt;="&amp;$A101,근태기록!$A$5:$A$2004,"&lt;="&amp;EOMONTH($A101,0),근태기록!$L$5:$L$2004,"휴일근로"))</f>
        <v/>
      </c>
      <c r="L101" s="20" t="n"/>
      <c r="M101" s="20" t="n"/>
      <c r="N101" s="20" t="n"/>
      <c r="O101" s="20" t="n"/>
      <c r="P101" s="15">
        <f>IF(OR($A101="",$B101=""),"",SUM(L101:O101))</f>
        <v/>
      </c>
      <c r="Q101" s="20" t="n"/>
      <c r="R101" s="20" t="n"/>
      <c r="S101" s="20" t="n"/>
      <c r="T101" s="20" t="n"/>
      <c r="U101" s="20" t="n"/>
      <c r="V101" s="20" t="n"/>
      <c r="W101" s="15">
        <f>IF(OR($A101="",$B101=""),"",SUM(Q101:V101))</f>
        <v/>
      </c>
      <c r="X101" s="15">
        <f>IF(OR($A101="",$B101=""),"",N(P101)-N(W101))</f>
        <v/>
      </c>
    </row>
    <row r="102">
      <c r="A102" s="43" t="n"/>
      <c r="B102" s="18" t="n"/>
      <c r="C102" s="25">
        <f>IFERROR(IF($B102="","",IF(INDEX(직원명부!$B$5:$B$24,MATCH($B102,직원명부!$A$5:$A$24,0))=0,"",INDEX(직원명부!$B$5:$B$24,MATCH($B102,직원명부!$A$5:$A$24,0)))),"사번 확인")</f>
        <v/>
      </c>
      <c r="D102" s="26">
        <f>IFERROR(IF($B102="","",IF(INDEX(근로자명부!$D$5:$D$24,MATCH($B102,근로자명부!$A$5:$A$24,0))=0,"",INDEX(근로자명부!$D$5:$D$24,MATCH($B102,근로자명부!$A$5:$A$24,0)))),"")</f>
        <v/>
      </c>
      <c r="E102" s="26">
        <f>IFERROR(IF($B102="","",IF(INDEX(직원명부!$C$5:$C$24,MATCH($B102,직원명부!$A$5:$A$24,0))=0,"",INDEX(직원명부!$C$5:$C$24,MATCH($B102,직원명부!$A$5:$A$24,0)))),"")</f>
        <v/>
      </c>
      <c r="F102" s="44">
        <f>IFERROR(IF($B102="","",IF(INDEX(근로자명부!$G$5:$G$24,MATCH($B102,근로자명부!$A$5:$A$24,0))=0,"",INDEX(근로자명부!$G$5:$G$24,MATCH($B102,근로자명부!$A$5:$A$24,0)))),"")</f>
        <v/>
      </c>
      <c r="G102" s="30">
        <f>IF(OR($A102="",$B102=""),"",COUNTIFS(근태기록!$C$5:$C$2004,$B102,근태기록!$A$5:$A$2004,"&gt;="&amp;$A102,근태기록!$A$5:$A$2004,"&lt;="&amp;EOMONTH($A102,0),근태기록!$H$5:$H$2004,"&gt;0"))</f>
        <v/>
      </c>
      <c r="H102" s="33">
        <f>IF(OR($A102="",$B102=""),"",SUMIFS(근태기록!$H$5:$H$2004,근태기록!$C$5:$C$2004,$B102,근태기록!$A$5:$A$2004,"&gt;="&amp;$A102,근태기록!$A$5:$A$2004,"&lt;="&amp;EOMONTH($A102,0)))</f>
        <v/>
      </c>
      <c r="I102" s="33">
        <f>IF(OR($A102="",$B102=""),"",SUMIFS(근태기록!$I$5:$I$2004,근태기록!$C$5:$C$2004,$B102,근태기록!$A$5:$A$2004,"&gt;="&amp;$A102,근태기록!$A$5:$A$2004,"&lt;="&amp;EOMONTH($A102,0)))</f>
        <v/>
      </c>
      <c r="J102" s="33">
        <f>IF(OR($A102="",$B102=""),"",SUMIFS(근태기록!$J$5:$J$2004,근태기록!$C$5:$C$2004,$B102,근태기록!$A$5:$A$2004,"&gt;="&amp;$A102,근태기록!$A$5:$A$2004,"&lt;="&amp;EOMONTH($A102,0)))</f>
        <v/>
      </c>
      <c r="K102" s="33">
        <f>IF(OR($A102="",$B102=""),"",SUMIFS(근태기록!$H$5:$H$2004,근태기록!$C$5:$C$2004,$B102,근태기록!$A$5:$A$2004,"&gt;="&amp;$A102,근태기록!$A$5:$A$2004,"&lt;="&amp;EOMONTH($A102,0),근태기록!$L$5:$L$2004,"휴일근로"))</f>
        <v/>
      </c>
      <c r="L102" s="20" t="n"/>
      <c r="M102" s="20" t="n"/>
      <c r="N102" s="20" t="n"/>
      <c r="O102" s="20" t="n"/>
      <c r="P102" s="15">
        <f>IF(OR($A102="",$B102=""),"",SUM(L102:O102))</f>
        <v/>
      </c>
      <c r="Q102" s="20" t="n"/>
      <c r="R102" s="20" t="n"/>
      <c r="S102" s="20" t="n"/>
      <c r="T102" s="20" t="n"/>
      <c r="U102" s="20" t="n"/>
      <c r="V102" s="20" t="n"/>
      <c r="W102" s="15">
        <f>IF(OR($A102="",$B102=""),"",SUM(Q102:V102))</f>
        <v/>
      </c>
      <c r="X102" s="15">
        <f>IF(OR($A102="",$B102=""),"",N(P102)-N(W102))</f>
        <v/>
      </c>
    </row>
    <row r="103">
      <c r="A103" s="43" t="n"/>
      <c r="B103" s="18" t="n"/>
      <c r="C103" s="25">
        <f>IFERROR(IF($B103="","",IF(INDEX(직원명부!$B$5:$B$24,MATCH($B103,직원명부!$A$5:$A$24,0))=0,"",INDEX(직원명부!$B$5:$B$24,MATCH($B103,직원명부!$A$5:$A$24,0)))),"사번 확인")</f>
        <v/>
      </c>
      <c r="D103" s="26">
        <f>IFERROR(IF($B103="","",IF(INDEX(근로자명부!$D$5:$D$24,MATCH($B103,근로자명부!$A$5:$A$24,0))=0,"",INDEX(근로자명부!$D$5:$D$24,MATCH($B103,근로자명부!$A$5:$A$24,0)))),"")</f>
        <v/>
      </c>
      <c r="E103" s="26">
        <f>IFERROR(IF($B103="","",IF(INDEX(직원명부!$C$5:$C$24,MATCH($B103,직원명부!$A$5:$A$24,0))=0,"",INDEX(직원명부!$C$5:$C$24,MATCH($B103,직원명부!$A$5:$A$24,0)))),"")</f>
        <v/>
      </c>
      <c r="F103" s="44">
        <f>IFERROR(IF($B103="","",IF(INDEX(근로자명부!$G$5:$G$24,MATCH($B103,근로자명부!$A$5:$A$24,0))=0,"",INDEX(근로자명부!$G$5:$G$24,MATCH($B103,근로자명부!$A$5:$A$24,0)))),"")</f>
        <v/>
      </c>
      <c r="G103" s="30">
        <f>IF(OR($A103="",$B103=""),"",COUNTIFS(근태기록!$C$5:$C$2004,$B103,근태기록!$A$5:$A$2004,"&gt;="&amp;$A103,근태기록!$A$5:$A$2004,"&lt;="&amp;EOMONTH($A103,0),근태기록!$H$5:$H$2004,"&gt;0"))</f>
        <v/>
      </c>
      <c r="H103" s="33">
        <f>IF(OR($A103="",$B103=""),"",SUMIFS(근태기록!$H$5:$H$2004,근태기록!$C$5:$C$2004,$B103,근태기록!$A$5:$A$2004,"&gt;="&amp;$A103,근태기록!$A$5:$A$2004,"&lt;="&amp;EOMONTH($A103,0)))</f>
        <v/>
      </c>
      <c r="I103" s="33">
        <f>IF(OR($A103="",$B103=""),"",SUMIFS(근태기록!$I$5:$I$2004,근태기록!$C$5:$C$2004,$B103,근태기록!$A$5:$A$2004,"&gt;="&amp;$A103,근태기록!$A$5:$A$2004,"&lt;="&amp;EOMONTH($A103,0)))</f>
        <v/>
      </c>
      <c r="J103" s="33">
        <f>IF(OR($A103="",$B103=""),"",SUMIFS(근태기록!$J$5:$J$2004,근태기록!$C$5:$C$2004,$B103,근태기록!$A$5:$A$2004,"&gt;="&amp;$A103,근태기록!$A$5:$A$2004,"&lt;="&amp;EOMONTH($A103,0)))</f>
        <v/>
      </c>
      <c r="K103" s="33">
        <f>IF(OR($A103="",$B103=""),"",SUMIFS(근태기록!$H$5:$H$2004,근태기록!$C$5:$C$2004,$B103,근태기록!$A$5:$A$2004,"&gt;="&amp;$A103,근태기록!$A$5:$A$2004,"&lt;="&amp;EOMONTH($A103,0),근태기록!$L$5:$L$2004,"휴일근로"))</f>
        <v/>
      </c>
      <c r="L103" s="20" t="n"/>
      <c r="M103" s="20" t="n"/>
      <c r="N103" s="20" t="n"/>
      <c r="O103" s="20" t="n"/>
      <c r="P103" s="15">
        <f>IF(OR($A103="",$B103=""),"",SUM(L103:O103))</f>
        <v/>
      </c>
      <c r="Q103" s="20" t="n"/>
      <c r="R103" s="20" t="n"/>
      <c r="S103" s="20" t="n"/>
      <c r="T103" s="20" t="n"/>
      <c r="U103" s="20" t="n"/>
      <c r="V103" s="20" t="n"/>
      <c r="W103" s="15">
        <f>IF(OR($A103="",$B103=""),"",SUM(Q103:V103))</f>
        <v/>
      </c>
      <c r="X103" s="15">
        <f>IF(OR($A103="",$B103=""),"",N(P103)-N(W103))</f>
        <v/>
      </c>
    </row>
    <row r="104">
      <c r="A104" s="43" t="n"/>
      <c r="B104" s="18" t="n"/>
      <c r="C104" s="25">
        <f>IFERROR(IF($B104="","",IF(INDEX(직원명부!$B$5:$B$24,MATCH($B104,직원명부!$A$5:$A$24,0))=0,"",INDEX(직원명부!$B$5:$B$24,MATCH($B104,직원명부!$A$5:$A$24,0)))),"사번 확인")</f>
        <v/>
      </c>
      <c r="D104" s="26">
        <f>IFERROR(IF($B104="","",IF(INDEX(근로자명부!$D$5:$D$24,MATCH($B104,근로자명부!$A$5:$A$24,0))=0,"",INDEX(근로자명부!$D$5:$D$24,MATCH($B104,근로자명부!$A$5:$A$24,0)))),"")</f>
        <v/>
      </c>
      <c r="E104" s="26">
        <f>IFERROR(IF($B104="","",IF(INDEX(직원명부!$C$5:$C$24,MATCH($B104,직원명부!$A$5:$A$24,0))=0,"",INDEX(직원명부!$C$5:$C$24,MATCH($B104,직원명부!$A$5:$A$24,0)))),"")</f>
        <v/>
      </c>
      <c r="F104" s="44">
        <f>IFERROR(IF($B104="","",IF(INDEX(근로자명부!$G$5:$G$24,MATCH($B104,근로자명부!$A$5:$A$24,0))=0,"",INDEX(근로자명부!$G$5:$G$24,MATCH($B104,근로자명부!$A$5:$A$24,0)))),"")</f>
        <v/>
      </c>
      <c r="G104" s="30">
        <f>IF(OR($A104="",$B104=""),"",COUNTIFS(근태기록!$C$5:$C$2004,$B104,근태기록!$A$5:$A$2004,"&gt;="&amp;$A104,근태기록!$A$5:$A$2004,"&lt;="&amp;EOMONTH($A104,0),근태기록!$H$5:$H$2004,"&gt;0"))</f>
        <v/>
      </c>
      <c r="H104" s="33">
        <f>IF(OR($A104="",$B104=""),"",SUMIFS(근태기록!$H$5:$H$2004,근태기록!$C$5:$C$2004,$B104,근태기록!$A$5:$A$2004,"&gt;="&amp;$A104,근태기록!$A$5:$A$2004,"&lt;="&amp;EOMONTH($A104,0)))</f>
        <v/>
      </c>
      <c r="I104" s="33">
        <f>IF(OR($A104="",$B104=""),"",SUMIFS(근태기록!$I$5:$I$2004,근태기록!$C$5:$C$2004,$B104,근태기록!$A$5:$A$2004,"&gt;="&amp;$A104,근태기록!$A$5:$A$2004,"&lt;="&amp;EOMONTH($A104,0)))</f>
        <v/>
      </c>
      <c r="J104" s="33">
        <f>IF(OR($A104="",$B104=""),"",SUMIFS(근태기록!$J$5:$J$2004,근태기록!$C$5:$C$2004,$B104,근태기록!$A$5:$A$2004,"&gt;="&amp;$A104,근태기록!$A$5:$A$2004,"&lt;="&amp;EOMONTH($A104,0)))</f>
        <v/>
      </c>
      <c r="K104" s="33">
        <f>IF(OR($A104="",$B104=""),"",SUMIFS(근태기록!$H$5:$H$2004,근태기록!$C$5:$C$2004,$B104,근태기록!$A$5:$A$2004,"&gt;="&amp;$A104,근태기록!$A$5:$A$2004,"&lt;="&amp;EOMONTH($A104,0),근태기록!$L$5:$L$2004,"휴일근로"))</f>
        <v/>
      </c>
      <c r="L104" s="20" t="n"/>
      <c r="M104" s="20" t="n"/>
      <c r="N104" s="20" t="n"/>
      <c r="O104" s="20" t="n"/>
      <c r="P104" s="15">
        <f>IF(OR($A104="",$B104=""),"",SUM(L104:O104))</f>
        <v/>
      </c>
      <c r="Q104" s="20" t="n"/>
      <c r="R104" s="20" t="n"/>
      <c r="S104" s="20" t="n"/>
      <c r="T104" s="20" t="n"/>
      <c r="U104" s="20" t="n"/>
      <c r="V104" s="20" t="n"/>
      <c r="W104" s="15">
        <f>IF(OR($A104="",$B104=""),"",SUM(Q104:V104))</f>
        <v/>
      </c>
      <c r="X104" s="15">
        <f>IF(OR($A104="",$B104=""),"",N(P104)-N(W104))</f>
        <v/>
      </c>
    </row>
    <row r="105">
      <c r="A105" s="43" t="n"/>
      <c r="B105" s="18" t="n"/>
      <c r="C105" s="25">
        <f>IFERROR(IF($B105="","",IF(INDEX(직원명부!$B$5:$B$24,MATCH($B105,직원명부!$A$5:$A$24,0))=0,"",INDEX(직원명부!$B$5:$B$24,MATCH($B105,직원명부!$A$5:$A$24,0)))),"사번 확인")</f>
        <v/>
      </c>
      <c r="D105" s="26">
        <f>IFERROR(IF($B105="","",IF(INDEX(근로자명부!$D$5:$D$24,MATCH($B105,근로자명부!$A$5:$A$24,0))=0,"",INDEX(근로자명부!$D$5:$D$24,MATCH($B105,근로자명부!$A$5:$A$24,0)))),"")</f>
        <v/>
      </c>
      <c r="E105" s="26">
        <f>IFERROR(IF($B105="","",IF(INDEX(직원명부!$C$5:$C$24,MATCH($B105,직원명부!$A$5:$A$24,0))=0,"",INDEX(직원명부!$C$5:$C$24,MATCH($B105,직원명부!$A$5:$A$24,0)))),"")</f>
        <v/>
      </c>
      <c r="F105" s="44">
        <f>IFERROR(IF($B105="","",IF(INDEX(근로자명부!$G$5:$G$24,MATCH($B105,근로자명부!$A$5:$A$24,0))=0,"",INDEX(근로자명부!$G$5:$G$24,MATCH($B105,근로자명부!$A$5:$A$24,0)))),"")</f>
        <v/>
      </c>
      <c r="G105" s="30">
        <f>IF(OR($A105="",$B105=""),"",COUNTIFS(근태기록!$C$5:$C$2004,$B105,근태기록!$A$5:$A$2004,"&gt;="&amp;$A105,근태기록!$A$5:$A$2004,"&lt;="&amp;EOMONTH($A105,0),근태기록!$H$5:$H$2004,"&gt;0"))</f>
        <v/>
      </c>
      <c r="H105" s="33">
        <f>IF(OR($A105="",$B105=""),"",SUMIFS(근태기록!$H$5:$H$2004,근태기록!$C$5:$C$2004,$B105,근태기록!$A$5:$A$2004,"&gt;="&amp;$A105,근태기록!$A$5:$A$2004,"&lt;="&amp;EOMONTH($A105,0)))</f>
        <v/>
      </c>
      <c r="I105" s="33">
        <f>IF(OR($A105="",$B105=""),"",SUMIFS(근태기록!$I$5:$I$2004,근태기록!$C$5:$C$2004,$B105,근태기록!$A$5:$A$2004,"&gt;="&amp;$A105,근태기록!$A$5:$A$2004,"&lt;="&amp;EOMONTH($A105,0)))</f>
        <v/>
      </c>
      <c r="J105" s="33">
        <f>IF(OR($A105="",$B105=""),"",SUMIFS(근태기록!$J$5:$J$2004,근태기록!$C$5:$C$2004,$B105,근태기록!$A$5:$A$2004,"&gt;="&amp;$A105,근태기록!$A$5:$A$2004,"&lt;="&amp;EOMONTH($A105,0)))</f>
        <v/>
      </c>
      <c r="K105" s="33">
        <f>IF(OR($A105="",$B105=""),"",SUMIFS(근태기록!$H$5:$H$2004,근태기록!$C$5:$C$2004,$B105,근태기록!$A$5:$A$2004,"&gt;="&amp;$A105,근태기록!$A$5:$A$2004,"&lt;="&amp;EOMONTH($A105,0),근태기록!$L$5:$L$2004,"휴일근로"))</f>
        <v/>
      </c>
      <c r="L105" s="20" t="n"/>
      <c r="M105" s="20" t="n"/>
      <c r="N105" s="20" t="n"/>
      <c r="O105" s="20" t="n"/>
      <c r="P105" s="15">
        <f>IF(OR($A105="",$B105=""),"",SUM(L105:O105))</f>
        <v/>
      </c>
      <c r="Q105" s="20" t="n"/>
      <c r="R105" s="20" t="n"/>
      <c r="S105" s="20" t="n"/>
      <c r="T105" s="20" t="n"/>
      <c r="U105" s="20" t="n"/>
      <c r="V105" s="20" t="n"/>
      <c r="W105" s="15">
        <f>IF(OR($A105="",$B105=""),"",SUM(Q105:V105))</f>
        <v/>
      </c>
      <c r="X105" s="15">
        <f>IF(OR($A105="",$B105=""),"",N(P105)-N(W105))</f>
        <v/>
      </c>
    </row>
    <row r="106">
      <c r="A106" s="43" t="n"/>
      <c r="B106" s="18" t="n"/>
      <c r="C106" s="25">
        <f>IFERROR(IF($B106="","",IF(INDEX(직원명부!$B$5:$B$24,MATCH($B106,직원명부!$A$5:$A$24,0))=0,"",INDEX(직원명부!$B$5:$B$24,MATCH($B106,직원명부!$A$5:$A$24,0)))),"사번 확인")</f>
        <v/>
      </c>
      <c r="D106" s="26">
        <f>IFERROR(IF($B106="","",IF(INDEX(근로자명부!$D$5:$D$24,MATCH($B106,근로자명부!$A$5:$A$24,0))=0,"",INDEX(근로자명부!$D$5:$D$24,MATCH($B106,근로자명부!$A$5:$A$24,0)))),"")</f>
        <v/>
      </c>
      <c r="E106" s="26">
        <f>IFERROR(IF($B106="","",IF(INDEX(직원명부!$C$5:$C$24,MATCH($B106,직원명부!$A$5:$A$24,0))=0,"",INDEX(직원명부!$C$5:$C$24,MATCH($B106,직원명부!$A$5:$A$24,0)))),"")</f>
        <v/>
      </c>
      <c r="F106" s="44">
        <f>IFERROR(IF($B106="","",IF(INDEX(근로자명부!$G$5:$G$24,MATCH($B106,근로자명부!$A$5:$A$24,0))=0,"",INDEX(근로자명부!$G$5:$G$24,MATCH($B106,근로자명부!$A$5:$A$24,0)))),"")</f>
        <v/>
      </c>
      <c r="G106" s="30">
        <f>IF(OR($A106="",$B106=""),"",COUNTIFS(근태기록!$C$5:$C$2004,$B106,근태기록!$A$5:$A$2004,"&gt;="&amp;$A106,근태기록!$A$5:$A$2004,"&lt;="&amp;EOMONTH($A106,0),근태기록!$H$5:$H$2004,"&gt;0"))</f>
        <v/>
      </c>
      <c r="H106" s="33">
        <f>IF(OR($A106="",$B106=""),"",SUMIFS(근태기록!$H$5:$H$2004,근태기록!$C$5:$C$2004,$B106,근태기록!$A$5:$A$2004,"&gt;="&amp;$A106,근태기록!$A$5:$A$2004,"&lt;="&amp;EOMONTH($A106,0)))</f>
        <v/>
      </c>
      <c r="I106" s="33">
        <f>IF(OR($A106="",$B106=""),"",SUMIFS(근태기록!$I$5:$I$2004,근태기록!$C$5:$C$2004,$B106,근태기록!$A$5:$A$2004,"&gt;="&amp;$A106,근태기록!$A$5:$A$2004,"&lt;="&amp;EOMONTH($A106,0)))</f>
        <v/>
      </c>
      <c r="J106" s="33">
        <f>IF(OR($A106="",$B106=""),"",SUMIFS(근태기록!$J$5:$J$2004,근태기록!$C$5:$C$2004,$B106,근태기록!$A$5:$A$2004,"&gt;="&amp;$A106,근태기록!$A$5:$A$2004,"&lt;="&amp;EOMONTH($A106,0)))</f>
        <v/>
      </c>
      <c r="K106" s="33">
        <f>IF(OR($A106="",$B106=""),"",SUMIFS(근태기록!$H$5:$H$2004,근태기록!$C$5:$C$2004,$B106,근태기록!$A$5:$A$2004,"&gt;="&amp;$A106,근태기록!$A$5:$A$2004,"&lt;="&amp;EOMONTH($A106,0),근태기록!$L$5:$L$2004,"휴일근로"))</f>
        <v/>
      </c>
      <c r="L106" s="20" t="n"/>
      <c r="M106" s="20" t="n"/>
      <c r="N106" s="20" t="n"/>
      <c r="O106" s="20" t="n"/>
      <c r="P106" s="15">
        <f>IF(OR($A106="",$B106=""),"",SUM(L106:O106))</f>
        <v/>
      </c>
      <c r="Q106" s="20" t="n"/>
      <c r="R106" s="20" t="n"/>
      <c r="S106" s="20" t="n"/>
      <c r="T106" s="20" t="n"/>
      <c r="U106" s="20" t="n"/>
      <c r="V106" s="20" t="n"/>
      <c r="W106" s="15">
        <f>IF(OR($A106="",$B106=""),"",SUM(Q106:V106))</f>
        <v/>
      </c>
      <c r="X106" s="15">
        <f>IF(OR($A106="",$B106=""),"",N(P106)-N(W106))</f>
        <v/>
      </c>
    </row>
    <row r="107">
      <c r="A107" s="43" t="n"/>
      <c r="B107" s="18" t="n"/>
      <c r="C107" s="25">
        <f>IFERROR(IF($B107="","",IF(INDEX(직원명부!$B$5:$B$24,MATCH($B107,직원명부!$A$5:$A$24,0))=0,"",INDEX(직원명부!$B$5:$B$24,MATCH($B107,직원명부!$A$5:$A$24,0)))),"사번 확인")</f>
        <v/>
      </c>
      <c r="D107" s="26">
        <f>IFERROR(IF($B107="","",IF(INDEX(근로자명부!$D$5:$D$24,MATCH($B107,근로자명부!$A$5:$A$24,0))=0,"",INDEX(근로자명부!$D$5:$D$24,MATCH($B107,근로자명부!$A$5:$A$24,0)))),"")</f>
        <v/>
      </c>
      <c r="E107" s="26">
        <f>IFERROR(IF($B107="","",IF(INDEX(직원명부!$C$5:$C$24,MATCH($B107,직원명부!$A$5:$A$24,0))=0,"",INDEX(직원명부!$C$5:$C$24,MATCH($B107,직원명부!$A$5:$A$24,0)))),"")</f>
        <v/>
      </c>
      <c r="F107" s="44">
        <f>IFERROR(IF($B107="","",IF(INDEX(근로자명부!$G$5:$G$24,MATCH($B107,근로자명부!$A$5:$A$24,0))=0,"",INDEX(근로자명부!$G$5:$G$24,MATCH($B107,근로자명부!$A$5:$A$24,0)))),"")</f>
        <v/>
      </c>
      <c r="G107" s="30">
        <f>IF(OR($A107="",$B107=""),"",COUNTIFS(근태기록!$C$5:$C$2004,$B107,근태기록!$A$5:$A$2004,"&gt;="&amp;$A107,근태기록!$A$5:$A$2004,"&lt;="&amp;EOMONTH($A107,0),근태기록!$H$5:$H$2004,"&gt;0"))</f>
        <v/>
      </c>
      <c r="H107" s="33">
        <f>IF(OR($A107="",$B107=""),"",SUMIFS(근태기록!$H$5:$H$2004,근태기록!$C$5:$C$2004,$B107,근태기록!$A$5:$A$2004,"&gt;="&amp;$A107,근태기록!$A$5:$A$2004,"&lt;="&amp;EOMONTH($A107,0)))</f>
        <v/>
      </c>
      <c r="I107" s="33">
        <f>IF(OR($A107="",$B107=""),"",SUMIFS(근태기록!$I$5:$I$2004,근태기록!$C$5:$C$2004,$B107,근태기록!$A$5:$A$2004,"&gt;="&amp;$A107,근태기록!$A$5:$A$2004,"&lt;="&amp;EOMONTH($A107,0)))</f>
        <v/>
      </c>
      <c r="J107" s="33">
        <f>IF(OR($A107="",$B107=""),"",SUMIFS(근태기록!$J$5:$J$2004,근태기록!$C$5:$C$2004,$B107,근태기록!$A$5:$A$2004,"&gt;="&amp;$A107,근태기록!$A$5:$A$2004,"&lt;="&amp;EOMONTH($A107,0)))</f>
        <v/>
      </c>
      <c r="K107" s="33">
        <f>IF(OR($A107="",$B107=""),"",SUMIFS(근태기록!$H$5:$H$2004,근태기록!$C$5:$C$2004,$B107,근태기록!$A$5:$A$2004,"&gt;="&amp;$A107,근태기록!$A$5:$A$2004,"&lt;="&amp;EOMONTH($A107,0),근태기록!$L$5:$L$2004,"휴일근로"))</f>
        <v/>
      </c>
      <c r="L107" s="20" t="n"/>
      <c r="M107" s="20" t="n"/>
      <c r="N107" s="20" t="n"/>
      <c r="O107" s="20" t="n"/>
      <c r="P107" s="15">
        <f>IF(OR($A107="",$B107=""),"",SUM(L107:O107))</f>
        <v/>
      </c>
      <c r="Q107" s="20" t="n"/>
      <c r="R107" s="20" t="n"/>
      <c r="S107" s="20" t="n"/>
      <c r="T107" s="20" t="n"/>
      <c r="U107" s="20" t="n"/>
      <c r="V107" s="20" t="n"/>
      <c r="W107" s="15">
        <f>IF(OR($A107="",$B107=""),"",SUM(Q107:V107))</f>
        <v/>
      </c>
      <c r="X107" s="15">
        <f>IF(OR($A107="",$B107=""),"",N(P107)-N(W107))</f>
        <v/>
      </c>
    </row>
    <row r="108">
      <c r="A108" s="43" t="n"/>
      <c r="B108" s="18" t="n"/>
      <c r="C108" s="25">
        <f>IFERROR(IF($B108="","",IF(INDEX(직원명부!$B$5:$B$24,MATCH($B108,직원명부!$A$5:$A$24,0))=0,"",INDEX(직원명부!$B$5:$B$24,MATCH($B108,직원명부!$A$5:$A$24,0)))),"사번 확인")</f>
        <v/>
      </c>
      <c r="D108" s="26">
        <f>IFERROR(IF($B108="","",IF(INDEX(근로자명부!$D$5:$D$24,MATCH($B108,근로자명부!$A$5:$A$24,0))=0,"",INDEX(근로자명부!$D$5:$D$24,MATCH($B108,근로자명부!$A$5:$A$24,0)))),"")</f>
        <v/>
      </c>
      <c r="E108" s="26">
        <f>IFERROR(IF($B108="","",IF(INDEX(직원명부!$C$5:$C$24,MATCH($B108,직원명부!$A$5:$A$24,0))=0,"",INDEX(직원명부!$C$5:$C$24,MATCH($B108,직원명부!$A$5:$A$24,0)))),"")</f>
        <v/>
      </c>
      <c r="F108" s="44">
        <f>IFERROR(IF($B108="","",IF(INDEX(근로자명부!$G$5:$G$24,MATCH($B108,근로자명부!$A$5:$A$24,0))=0,"",INDEX(근로자명부!$G$5:$G$24,MATCH($B108,근로자명부!$A$5:$A$24,0)))),"")</f>
        <v/>
      </c>
      <c r="G108" s="30">
        <f>IF(OR($A108="",$B108=""),"",COUNTIFS(근태기록!$C$5:$C$2004,$B108,근태기록!$A$5:$A$2004,"&gt;="&amp;$A108,근태기록!$A$5:$A$2004,"&lt;="&amp;EOMONTH($A108,0),근태기록!$H$5:$H$2004,"&gt;0"))</f>
        <v/>
      </c>
      <c r="H108" s="33">
        <f>IF(OR($A108="",$B108=""),"",SUMIFS(근태기록!$H$5:$H$2004,근태기록!$C$5:$C$2004,$B108,근태기록!$A$5:$A$2004,"&gt;="&amp;$A108,근태기록!$A$5:$A$2004,"&lt;="&amp;EOMONTH($A108,0)))</f>
        <v/>
      </c>
      <c r="I108" s="33">
        <f>IF(OR($A108="",$B108=""),"",SUMIFS(근태기록!$I$5:$I$2004,근태기록!$C$5:$C$2004,$B108,근태기록!$A$5:$A$2004,"&gt;="&amp;$A108,근태기록!$A$5:$A$2004,"&lt;="&amp;EOMONTH($A108,0)))</f>
        <v/>
      </c>
      <c r="J108" s="33">
        <f>IF(OR($A108="",$B108=""),"",SUMIFS(근태기록!$J$5:$J$2004,근태기록!$C$5:$C$2004,$B108,근태기록!$A$5:$A$2004,"&gt;="&amp;$A108,근태기록!$A$5:$A$2004,"&lt;="&amp;EOMONTH($A108,0)))</f>
        <v/>
      </c>
      <c r="K108" s="33">
        <f>IF(OR($A108="",$B108=""),"",SUMIFS(근태기록!$H$5:$H$2004,근태기록!$C$5:$C$2004,$B108,근태기록!$A$5:$A$2004,"&gt;="&amp;$A108,근태기록!$A$5:$A$2004,"&lt;="&amp;EOMONTH($A108,0),근태기록!$L$5:$L$2004,"휴일근로"))</f>
        <v/>
      </c>
      <c r="L108" s="20" t="n"/>
      <c r="M108" s="20" t="n"/>
      <c r="N108" s="20" t="n"/>
      <c r="O108" s="20" t="n"/>
      <c r="P108" s="15">
        <f>IF(OR($A108="",$B108=""),"",SUM(L108:O108))</f>
        <v/>
      </c>
      <c r="Q108" s="20" t="n"/>
      <c r="R108" s="20" t="n"/>
      <c r="S108" s="20" t="n"/>
      <c r="T108" s="20" t="n"/>
      <c r="U108" s="20" t="n"/>
      <c r="V108" s="20" t="n"/>
      <c r="W108" s="15">
        <f>IF(OR($A108="",$B108=""),"",SUM(Q108:V108))</f>
        <v/>
      </c>
      <c r="X108" s="15">
        <f>IF(OR($A108="",$B108=""),"",N(P108)-N(W108))</f>
        <v/>
      </c>
    </row>
    <row r="109">
      <c r="A109" s="43" t="n"/>
      <c r="B109" s="18" t="n"/>
      <c r="C109" s="25">
        <f>IFERROR(IF($B109="","",IF(INDEX(직원명부!$B$5:$B$24,MATCH($B109,직원명부!$A$5:$A$24,0))=0,"",INDEX(직원명부!$B$5:$B$24,MATCH($B109,직원명부!$A$5:$A$24,0)))),"사번 확인")</f>
        <v/>
      </c>
      <c r="D109" s="26">
        <f>IFERROR(IF($B109="","",IF(INDEX(근로자명부!$D$5:$D$24,MATCH($B109,근로자명부!$A$5:$A$24,0))=0,"",INDEX(근로자명부!$D$5:$D$24,MATCH($B109,근로자명부!$A$5:$A$24,0)))),"")</f>
        <v/>
      </c>
      <c r="E109" s="26">
        <f>IFERROR(IF($B109="","",IF(INDEX(직원명부!$C$5:$C$24,MATCH($B109,직원명부!$A$5:$A$24,0))=0,"",INDEX(직원명부!$C$5:$C$24,MATCH($B109,직원명부!$A$5:$A$24,0)))),"")</f>
        <v/>
      </c>
      <c r="F109" s="44">
        <f>IFERROR(IF($B109="","",IF(INDEX(근로자명부!$G$5:$G$24,MATCH($B109,근로자명부!$A$5:$A$24,0))=0,"",INDEX(근로자명부!$G$5:$G$24,MATCH($B109,근로자명부!$A$5:$A$24,0)))),"")</f>
        <v/>
      </c>
      <c r="G109" s="30">
        <f>IF(OR($A109="",$B109=""),"",COUNTIFS(근태기록!$C$5:$C$2004,$B109,근태기록!$A$5:$A$2004,"&gt;="&amp;$A109,근태기록!$A$5:$A$2004,"&lt;="&amp;EOMONTH($A109,0),근태기록!$H$5:$H$2004,"&gt;0"))</f>
        <v/>
      </c>
      <c r="H109" s="33">
        <f>IF(OR($A109="",$B109=""),"",SUMIFS(근태기록!$H$5:$H$2004,근태기록!$C$5:$C$2004,$B109,근태기록!$A$5:$A$2004,"&gt;="&amp;$A109,근태기록!$A$5:$A$2004,"&lt;="&amp;EOMONTH($A109,0)))</f>
        <v/>
      </c>
      <c r="I109" s="33">
        <f>IF(OR($A109="",$B109=""),"",SUMIFS(근태기록!$I$5:$I$2004,근태기록!$C$5:$C$2004,$B109,근태기록!$A$5:$A$2004,"&gt;="&amp;$A109,근태기록!$A$5:$A$2004,"&lt;="&amp;EOMONTH($A109,0)))</f>
        <v/>
      </c>
      <c r="J109" s="33">
        <f>IF(OR($A109="",$B109=""),"",SUMIFS(근태기록!$J$5:$J$2004,근태기록!$C$5:$C$2004,$B109,근태기록!$A$5:$A$2004,"&gt;="&amp;$A109,근태기록!$A$5:$A$2004,"&lt;="&amp;EOMONTH($A109,0)))</f>
        <v/>
      </c>
      <c r="K109" s="33">
        <f>IF(OR($A109="",$B109=""),"",SUMIFS(근태기록!$H$5:$H$2004,근태기록!$C$5:$C$2004,$B109,근태기록!$A$5:$A$2004,"&gt;="&amp;$A109,근태기록!$A$5:$A$2004,"&lt;="&amp;EOMONTH($A109,0),근태기록!$L$5:$L$2004,"휴일근로"))</f>
        <v/>
      </c>
      <c r="L109" s="20" t="n"/>
      <c r="M109" s="20" t="n"/>
      <c r="N109" s="20" t="n"/>
      <c r="O109" s="20" t="n"/>
      <c r="P109" s="15">
        <f>IF(OR($A109="",$B109=""),"",SUM(L109:O109))</f>
        <v/>
      </c>
      <c r="Q109" s="20" t="n"/>
      <c r="R109" s="20" t="n"/>
      <c r="S109" s="20" t="n"/>
      <c r="T109" s="20" t="n"/>
      <c r="U109" s="20" t="n"/>
      <c r="V109" s="20" t="n"/>
      <c r="W109" s="15">
        <f>IF(OR($A109="",$B109=""),"",SUM(Q109:V109))</f>
        <v/>
      </c>
      <c r="X109" s="15">
        <f>IF(OR($A109="",$B109=""),"",N(P109)-N(W109))</f>
        <v/>
      </c>
    </row>
    <row r="110">
      <c r="A110" s="43" t="n"/>
      <c r="B110" s="18" t="n"/>
      <c r="C110" s="25">
        <f>IFERROR(IF($B110="","",IF(INDEX(직원명부!$B$5:$B$24,MATCH($B110,직원명부!$A$5:$A$24,0))=0,"",INDEX(직원명부!$B$5:$B$24,MATCH($B110,직원명부!$A$5:$A$24,0)))),"사번 확인")</f>
        <v/>
      </c>
      <c r="D110" s="26">
        <f>IFERROR(IF($B110="","",IF(INDEX(근로자명부!$D$5:$D$24,MATCH($B110,근로자명부!$A$5:$A$24,0))=0,"",INDEX(근로자명부!$D$5:$D$24,MATCH($B110,근로자명부!$A$5:$A$24,0)))),"")</f>
        <v/>
      </c>
      <c r="E110" s="26">
        <f>IFERROR(IF($B110="","",IF(INDEX(직원명부!$C$5:$C$24,MATCH($B110,직원명부!$A$5:$A$24,0))=0,"",INDEX(직원명부!$C$5:$C$24,MATCH($B110,직원명부!$A$5:$A$24,0)))),"")</f>
        <v/>
      </c>
      <c r="F110" s="44">
        <f>IFERROR(IF($B110="","",IF(INDEX(근로자명부!$G$5:$G$24,MATCH($B110,근로자명부!$A$5:$A$24,0))=0,"",INDEX(근로자명부!$G$5:$G$24,MATCH($B110,근로자명부!$A$5:$A$24,0)))),"")</f>
        <v/>
      </c>
      <c r="G110" s="30">
        <f>IF(OR($A110="",$B110=""),"",COUNTIFS(근태기록!$C$5:$C$2004,$B110,근태기록!$A$5:$A$2004,"&gt;="&amp;$A110,근태기록!$A$5:$A$2004,"&lt;="&amp;EOMONTH($A110,0),근태기록!$H$5:$H$2004,"&gt;0"))</f>
        <v/>
      </c>
      <c r="H110" s="33">
        <f>IF(OR($A110="",$B110=""),"",SUMIFS(근태기록!$H$5:$H$2004,근태기록!$C$5:$C$2004,$B110,근태기록!$A$5:$A$2004,"&gt;="&amp;$A110,근태기록!$A$5:$A$2004,"&lt;="&amp;EOMONTH($A110,0)))</f>
        <v/>
      </c>
      <c r="I110" s="33">
        <f>IF(OR($A110="",$B110=""),"",SUMIFS(근태기록!$I$5:$I$2004,근태기록!$C$5:$C$2004,$B110,근태기록!$A$5:$A$2004,"&gt;="&amp;$A110,근태기록!$A$5:$A$2004,"&lt;="&amp;EOMONTH($A110,0)))</f>
        <v/>
      </c>
      <c r="J110" s="33">
        <f>IF(OR($A110="",$B110=""),"",SUMIFS(근태기록!$J$5:$J$2004,근태기록!$C$5:$C$2004,$B110,근태기록!$A$5:$A$2004,"&gt;="&amp;$A110,근태기록!$A$5:$A$2004,"&lt;="&amp;EOMONTH($A110,0)))</f>
        <v/>
      </c>
      <c r="K110" s="33">
        <f>IF(OR($A110="",$B110=""),"",SUMIFS(근태기록!$H$5:$H$2004,근태기록!$C$5:$C$2004,$B110,근태기록!$A$5:$A$2004,"&gt;="&amp;$A110,근태기록!$A$5:$A$2004,"&lt;="&amp;EOMONTH($A110,0),근태기록!$L$5:$L$2004,"휴일근로"))</f>
        <v/>
      </c>
      <c r="L110" s="20" t="n"/>
      <c r="M110" s="20" t="n"/>
      <c r="N110" s="20" t="n"/>
      <c r="O110" s="20" t="n"/>
      <c r="P110" s="15">
        <f>IF(OR($A110="",$B110=""),"",SUM(L110:O110))</f>
        <v/>
      </c>
      <c r="Q110" s="20" t="n"/>
      <c r="R110" s="20" t="n"/>
      <c r="S110" s="20" t="n"/>
      <c r="T110" s="20" t="n"/>
      <c r="U110" s="20" t="n"/>
      <c r="V110" s="20" t="n"/>
      <c r="W110" s="15">
        <f>IF(OR($A110="",$B110=""),"",SUM(Q110:V110))</f>
        <v/>
      </c>
      <c r="X110" s="15">
        <f>IF(OR($A110="",$B110=""),"",N(P110)-N(W110))</f>
        <v/>
      </c>
    </row>
    <row r="111">
      <c r="A111" s="43" t="n"/>
      <c r="B111" s="18" t="n"/>
      <c r="C111" s="25">
        <f>IFERROR(IF($B111="","",IF(INDEX(직원명부!$B$5:$B$24,MATCH($B111,직원명부!$A$5:$A$24,0))=0,"",INDEX(직원명부!$B$5:$B$24,MATCH($B111,직원명부!$A$5:$A$24,0)))),"사번 확인")</f>
        <v/>
      </c>
      <c r="D111" s="26">
        <f>IFERROR(IF($B111="","",IF(INDEX(근로자명부!$D$5:$D$24,MATCH($B111,근로자명부!$A$5:$A$24,0))=0,"",INDEX(근로자명부!$D$5:$D$24,MATCH($B111,근로자명부!$A$5:$A$24,0)))),"")</f>
        <v/>
      </c>
      <c r="E111" s="26">
        <f>IFERROR(IF($B111="","",IF(INDEX(직원명부!$C$5:$C$24,MATCH($B111,직원명부!$A$5:$A$24,0))=0,"",INDEX(직원명부!$C$5:$C$24,MATCH($B111,직원명부!$A$5:$A$24,0)))),"")</f>
        <v/>
      </c>
      <c r="F111" s="44">
        <f>IFERROR(IF($B111="","",IF(INDEX(근로자명부!$G$5:$G$24,MATCH($B111,근로자명부!$A$5:$A$24,0))=0,"",INDEX(근로자명부!$G$5:$G$24,MATCH($B111,근로자명부!$A$5:$A$24,0)))),"")</f>
        <v/>
      </c>
      <c r="G111" s="30">
        <f>IF(OR($A111="",$B111=""),"",COUNTIFS(근태기록!$C$5:$C$2004,$B111,근태기록!$A$5:$A$2004,"&gt;="&amp;$A111,근태기록!$A$5:$A$2004,"&lt;="&amp;EOMONTH($A111,0),근태기록!$H$5:$H$2004,"&gt;0"))</f>
        <v/>
      </c>
      <c r="H111" s="33">
        <f>IF(OR($A111="",$B111=""),"",SUMIFS(근태기록!$H$5:$H$2004,근태기록!$C$5:$C$2004,$B111,근태기록!$A$5:$A$2004,"&gt;="&amp;$A111,근태기록!$A$5:$A$2004,"&lt;="&amp;EOMONTH($A111,0)))</f>
        <v/>
      </c>
      <c r="I111" s="33">
        <f>IF(OR($A111="",$B111=""),"",SUMIFS(근태기록!$I$5:$I$2004,근태기록!$C$5:$C$2004,$B111,근태기록!$A$5:$A$2004,"&gt;="&amp;$A111,근태기록!$A$5:$A$2004,"&lt;="&amp;EOMONTH($A111,0)))</f>
        <v/>
      </c>
      <c r="J111" s="33">
        <f>IF(OR($A111="",$B111=""),"",SUMIFS(근태기록!$J$5:$J$2004,근태기록!$C$5:$C$2004,$B111,근태기록!$A$5:$A$2004,"&gt;="&amp;$A111,근태기록!$A$5:$A$2004,"&lt;="&amp;EOMONTH($A111,0)))</f>
        <v/>
      </c>
      <c r="K111" s="33">
        <f>IF(OR($A111="",$B111=""),"",SUMIFS(근태기록!$H$5:$H$2004,근태기록!$C$5:$C$2004,$B111,근태기록!$A$5:$A$2004,"&gt;="&amp;$A111,근태기록!$A$5:$A$2004,"&lt;="&amp;EOMONTH($A111,0),근태기록!$L$5:$L$2004,"휴일근로"))</f>
        <v/>
      </c>
      <c r="L111" s="20" t="n"/>
      <c r="M111" s="20" t="n"/>
      <c r="N111" s="20" t="n"/>
      <c r="O111" s="20" t="n"/>
      <c r="P111" s="15">
        <f>IF(OR($A111="",$B111=""),"",SUM(L111:O111))</f>
        <v/>
      </c>
      <c r="Q111" s="20" t="n"/>
      <c r="R111" s="20" t="n"/>
      <c r="S111" s="20" t="n"/>
      <c r="T111" s="20" t="n"/>
      <c r="U111" s="20" t="n"/>
      <c r="V111" s="20" t="n"/>
      <c r="W111" s="15">
        <f>IF(OR($A111="",$B111=""),"",SUM(Q111:V111))</f>
        <v/>
      </c>
      <c r="X111" s="15">
        <f>IF(OR($A111="",$B111=""),"",N(P111)-N(W111))</f>
        <v/>
      </c>
    </row>
    <row r="112">
      <c r="A112" s="43" t="n"/>
      <c r="B112" s="18" t="n"/>
      <c r="C112" s="25">
        <f>IFERROR(IF($B112="","",IF(INDEX(직원명부!$B$5:$B$24,MATCH($B112,직원명부!$A$5:$A$24,0))=0,"",INDEX(직원명부!$B$5:$B$24,MATCH($B112,직원명부!$A$5:$A$24,0)))),"사번 확인")</f>
        <v/>
      </c>
      <c r="D112" s="26">
        <f>IFERROR(IF($B112="","",IF(INDEX(근로자명부!$D$5:$D$24,MATCH($B112,근로자명부!$A$5:$A$24,0))=0,"",INDEX(근로자명부!$D$5:$D$24,MATCH($B112,근로자명부!$A$5:$A$24,0)))),"")</f>
        <v/>
      </c>
      <c r="E112" s="26">
        <f>IFERROR(IF($B112="","",IF(INDEX(직원명부!$C$5:$C$24,MATCH($B112,직원명부!$A$5:$A$24,0))=0,"",INDEX(직원명부!$C$5:$C$24,MATCH($B112,직원명부!$A$5:$A$24,0)))),"")</f>
        <v/>
      </c>
      <c r="F112" s="44">
        <f>IFERROR(IF($B112="","",IF(INDEX(근로자명부!$G$5:$G$24,MATCH($B112,근로자명부!$A$5:$A$24,0))=0,"",INDEX(근로자명부!$G$5:$G$24,MATCH($B112,근로자명부!$A$5:$A$24,0)))),"")</f>
        <v/>
      </c>
      <c r="G112" s="30">
        <f>IF(OR($A112="",$B112=""),"",COUNTIFS(근태기록!$C$5:$C$2004,$B112,근태기록!$A$5:$A$2004,"&gt;="&amp;$A112,근태기록!$A$5:$A$2004,"&lt;="&amp;EOMONTH($A112,0),근태기록!$H$5:$H$2004,"&gt;0"))</f>
        <v/>
      </c>
      <c r="H112" s="33">
        <f>IF(OR($A112="",$B112=""),"",SUMIFS(근태기록!$H$5:$H$2004,근태기록!$C$5:$C$2004,$B112,근태기록!$A$5:$A$2004,"&gt;="&amp;$A112,근태기록!$A$5:$A$2004,"&lt;="&amp;EOMONTH($A112,0)))</f>
        <v/>
      </c>
      <c r="I112" s="33">
        <f>IF(OR($A112="",$B112=""),"",SUMIFS(근태기록!$I$5:$I$2004,근태기록!$C$5:$C$2004,$B112,근태기록!$A$5:$A$2004,"&gt;="&amp;$A112,근태기록!$A$5:$A$2004,"&lt;="&amp;EOMONTH($A112,0)))</f>
        <v/>
      </c>
      <c r="J112" s="33">
        <f>IF(OR($A112="",$B112=""),"",SUMIFS(근태기록!$J$5:$J$2004,근태기록!$C$5:$C$2004,$B112,근태기록!$A$5:$A$2004,"&gt;="&amp;$A112,근태기록!$A$5:$A$2004,"&lt;="&amp;EOMONTH($A112,0)))</f>
        <v/>
      </c>
      <c r="K112" s="33">
        <f>IF(OR($A112="",$B112=""),"",SUMIFS(근태기록!$H$5:$H$2004,근태기록!$C$5:$C$2004,$B112,근태기록!$A$5:$A$2004,"&gt;="&amp;$A112,근태기록!$A$5:$A$2004,"&lt;="&amp;EOMONTH($A112,0),근태기록!$L$5:$L$2004,"휴일근로"))</f>
        <v/>
      </c>
      <c r="L112" s="20" t="n"/>
      <c r="M112" s="20" t="n"/>
      <c r="N112" s="20" t="n"/>
      <c r="O112" s="20" t="n"/>
      <c r="P112" s="15">
        <f>IF(OR($A112="",$B112=""),"",SUM(L112:O112))</f>
        <v/>
      </c>
      <c r="Q112" s="20" t="n"/>
      <c r="R112" s="20" t="n"/>
      <c r="S112" s="20" t="n"/>
      <c r="T112" s="20" t="n"/>
      <c r="U112" s="20" t="n"/>
      <c r="V112" s="20" t="n"/>
      <c r="W112" s="15">
        <f>IF(OR($A112="",$B112=""),"",SUM(Q112:V112))</f>
        <v/>
      </c>
      <c r="X112" s="15">
        <f>IF(OR($A112="",$B112=""),"",N(P112)-N(W112))</f>
        <v/>
      </c>
    </row>
    <row r="113">
      <c r="A113" s="43" t="n"/>
      <c r="B113" s="18" t="n"/>
      <c r="C113" s="25">
        <f>IFERROR(IF($B113="","",IF(INDEX(직원명부!$B$5:$B$24,MATCH($B113,직원명부!$A$5:$A$24,0))=0,"",INDEX(직원명부!$B$5:$B$24,MATCH($B113,직원명부!$A$5:$A$24,0)))),"사번 확인")</f>
        <v/>
      </c>
      <c r="D113" s="26">
        <f>IFERROR(IF($B113="","",IF(INDEX(근로자명부!$D$5:$D$24,MATCH($B113,근로자명부!$A$5:$A$24,0))=0,"",INDEX(근로자명부!$D$5:$D$24,MATCH($B113,근로자명부!$A$5:$A$24,0)))),"")</f>
        <v/>
      </c>
      <c r="E113" s="26">
        <f>IFERROR(IF($B113="","",IF(INDEX(직원명부!$C$5:$C$24,MATCH($B113,직원명부!$A$5:$A$24,0))=0,"",INDEX(직원명부!$C$5:$C$24,MATCH($B113,직원명부!$A$5:$A$24,0)))),"")</f>
        <v/>
      </c>
      <c r="F113" s="44">
        <f>IFERROR(IF($B113="","",IF(INDEX(근로자명부!$G$5:$G$24,MATCH($B113,근로자명부!$A$5:$A$24,0))=0,"",INDEX(근로자명부!$G$5:$G$24,MATCH($B113,근로자명부!$A$5:$A$24,0)))),"")</f>
        <v/>
      </c>
      <c r="G113" s="30">
        <f>IF(OR($A113="",$B113=""),"",COUNTIFS(근태기록!$C$5:$C$2004,$B113,근태기록!$A$5:$A$2004,"&gt;="&amp;$A113,근태기록!$A$5:$A$2004,"&lt;="&amp;EOMONTH($A113,0),근태기록!$H$5:$H$2004,"&gt;0"))</f>
        <v/>
      </c>
      <c r="H113" s="33">
        <f>IF(OR($A113="",$B113=""),"",SUMIFS(근태기록!$H$5:$H$2004,근태기록!$C$5:$C$2004,$B113,근태기록!$A$5:$A$2004,"&gt;="&amp;$A113,근태기록!$A$5:$A$2004,"&lt;="&amp;EOMONTH($A113,0)))</f>
        <v/>
      </c>
      <c r="I113" s="33">
        <f>IF(OR($A113="",$B113=""),"",SUMIFS(근태기록!$I$5:$I$2004,근태기록!$C$5:$C$2004,$B113,근태기록!$A$5:$A$2004,"&gt;="&amp;$A113,근태기록!$A$5:$A$2004,"&lt;="&amp;EOMONTH($A113,0)))</f>
        <v/>
      </c>
      <c r="J113" s="33">
        <f>IF(OR($A113="",$B113=""),"",SUMIFS(근태기록!$J$5:$J$2004,근태기록!$C$5:$C$2004,$B113,근태기록!$A$5:$A$2004,"&gt;="&amp;$A113,근태기록!$A$5:$A$2004,"&lt;="&amp;EOMONTH($A113,0)))</f>
        <v/>
      </c>
      <c r="K113" s="33">
        <f>IF(OR($A113="",$B113=""),"",SUMIFS(근태기록!$H$5:$H$2004,근태기록!$C$5:$C$2004,$B113,근태기록!$A$5:$A$2004,"&gt;="&amp;$A113,근태기록!$A$5:$A$2004,"&lt;="&amp;EOMONTH($A113,0),근태기록!$L$5:$L$2004,"휴일근로"))</f>
        <v/>
      </c>
      <c r="L113" s="20" t="n"/>
      <c r="M113" s="20" t="n"/>
      <c r="N113" s="20" t="n"/>
      <c r="O113" s="20" t="n"/>
      <c r="P113" s="15">
        <f>IF(OR($A113="",$B113=""),"",SUM(L113:O113))</f>
        <v/>
      </c>
      <c r="Q113" s="20" t="n"/>
      <c r="R113" s="20" t="n"/>
      <c r="S113" s="20" t="n"/>
      <c r="T113" s="20" t="n"/>
      <c r="U113" s="20" t="n"/>
      <c r="V113" s="20" t="n"/>
      <c r="W113" s="15">
        <f>IF(OR($A113="",$B113=""),"",SUM(Q113:V113))</f>
        <v/>
      </c>
      <c r="X113" s="15">
        <f>IF(OR($A113="",$B113=""),"",N(P113)-N(W113))</f>
        <v/>
      </c>
    </row>
    <row r="114">
      <c r="A114" s="43" t="n"/>
      <c r="B114" s="18" t="n"/>
      <c r="C114" s="25">
        <f>IFERROR(IF($B114="","",IF(INDEX(직원명부!$B$5:$B$24,MATCH($B114,직원명부!$A$5:$A$24,0))=0,"",INDEX(직원명부!$B$5:$B$24,MATCH($B114,직원명부!$A$5:$A$24,0)))),"사번 확인")</f>
        <v/>
      </c>
      <c r="D114" s="26">
        <f>IFERROR(IF($B114="","",IF(INDEX(근로자명부!$D$5:$D$24,MATCH($B114,근로자명부!$A$5:$A$24,0))=0,"",INDEX(근로자명부!$D$5:$D$24,MATCH($B114,근로자명부!$A$5:$A$24,0)))),"")</f>
        <v/>
      </c>
      <c r="E114" s="26">
        <f>IFERROR(IF($B114="","",IF(INDEX(직원명부!$C$5:$C$24,MATCH($B114,직원명부!$A$5:$A$24,0))=0,"",INDEX(직원명부!$C$5:$C$24,MATCH($B114,직원명부!$A$5:$A$24,0)))),"")</f>
        <v/>
      </c>
      <c r="F114" s="44">
        <f>IFERROR(IF($B114="","",IF(INDEX(근로자명부!$G$5:$G$24,MATCH($B114,근로자명부!$A$5:$A$24,0))=0,"",INDEX(근로자명부!$G$5:$G$24,MATCH($B114,근로자명부!$A$5:$A$24,0)))),"")</f>
        <v/>
      </c>
      <c r="G114" s="30">
        <f>IF(OR($A114="",$B114=""),"",COUNTIFS(근태기록!$C$5:$C$2004,$B114,근태기록!$A$5:$A$2004,"&gt;="&amp;$A114,근태기록!$A$5:$A$2004,"&lt;="&amp;EOMONTH($A114,0),근태기록!$H$5:$H$2004,"&gt;0"))</f>
        <v/>
      </c>
      <c r="H114" s="33">
        <f>IF(OR($A114="",$B114=""),"",SUMIFS(근태기록!$H$5:$H$2004,근태기록!$C$5:$C$2004,$B114,근태기록!$A$5:$A$2004,"&gt;="&amp;$A114,근태기록!$A$5:$A$2004,"&lt;="&amp;EOMONTH($A114,0)))</f>
        <v/>
      </c>
      <c r="I114" s="33">
        <f>IF(OR($A114="",$B114=""),"",SUMIFS(근태기록!$I$5:$I$2004,근태기록!$C$5:$C$2004,$B114,근태기록!$A$5:$A$2004,"&gt;="&amp;$A114,근태기록!$A$5:$A$2004,"&lt;="&amp;EOMONTH($A114,0)))</f>
        <v/>
      </c>
      <c r="J114" s="33">
        <f>IF(OR($A114="",$B114=""),"",SUMIFS(근태기록!$J$5:$J$2004,근태기록!$C$5:$C$2004,$B114,근태기록!$A$5:$A$2004,"&gt;="&amp;$A114,근태기록!$A$5:$A$2004,"&lt;="&amp;EOMONTH($A114,0)))</f>
        <v/>
      </c>
      <c r="K114" s="33">
        <f>IF(OR($A114="",$B114=""),"",SUMIFS(근태기록!$H$5:$H$2004,근태기록!$C$5:$C$2004,$B114,근태기록!$A$5:$A$2004,"&gt;="&amp;$A114,근태기록!$A$5:$A$2004,"&lt;="&amp;EOMONTH($A114,0),근태기록!$L$5:$L$2004,"휴일근로"))</f>
        <v/>
      </c>
      <c r="L114" s="20" t="n"/>
      <c r="M114" s="20" t="n"/>
      <c r="N114" s="20" t="n"/>
      <c r="O114" s="20" t="n"/>
      <c r="P114" s="15">
        <f>IF(OR($A114="",$B114=""),"",SUM(L114:O114))</f>
        <v/>
      </c>
      <c r="Q114" s="20" t="n"/>
      <c r="R114" s="20" t="n"/>
      <c r="S114" s="20" t="n"/>
      <c r="T114" s="20" t="n"/>
      <c r="U114" s="20" t="n"/>
      <c r="V114" s="20" t="n"/>
      <c r="W114" s="15">
        <f>IF(OR($A114="",$B114=""),"",SUM(Q114:V114))</f>
        <v/>
      </c>
      <c r="X114" s="15">
        <f>IF(OR($A114="",$B114=""),"",N(P114)-N(W114))</f>
        <v/>
      </c>
    </row>
    <row r="115">
      <c r="A115" s="43" t="n"/>
      <c r="B115" s="18" t="n"/>
      <c r="C115" s="25">
        <f>IFERROR(IF($B115="","",IF(INDEX(직원명부!$B$5:$B$24,MATCH($B115,직원명부!$A$5:$A$24,0))=0,"",INDEX(직원명부!$B$5:$B$24,MATCH($B115,직원명부!$A$5:$A$24,0)))),"사번 확인")</f>
        <v/>
      </c>
      <c r="D115" s="26">
        <f>IFERROR(IF($B115="","",IF(INDEX(근로자명부!$D$5:$D$24,MATCH($B115,근로자명부!$A$5:$A$24,0))=0,"",INDEX(근로자명부!$D$5:$D$24,MATCH($B115,근로자명부!$A$5:$A$24,0)))),"")</f>
        <v/>
      </c>
      <c r="E115" s="26">
        <f>IFERROR(IF($B115="","",IF(INDEX(직원명부!$C$5:$C$24,MATCH($B115,직원명부!$A$5:$A$24,0))=0,"",INDEX(직원명부!$C$5:$C$24,MATCH($B115,직원명부!$A$5:$A$24,0)))),"")</f>
        <v/>
      </c>
      <c r="F115" s="44">
        <f>IFERROR(IF($B115="","",IF(INDEX(근로자명부!$G$5:$G$24,MATCH($B115,근로자명부!$A$5:$A$24,0))=0,"",INDEX(근로자명부!$G$5:$G$24,MATCH($B115,근로자명부!$A$5:$A$24,0)))),"")</f>
        <v/>
      </c>
      <c r="G115" s="30">
        <f>IF(OR($A115="",$B115=""),"",COUNTIFS(근태기록!$C$5:$C$2004,$B115,근태기록!$A$5:$A$2004,"&gt;="&amp;$A115,근태기록!$A$5:$A$2004,"&lt;="&amp;EOMONTH($A115,0),근태기록!$H$5:$H$2004,"&gt;0"))</f>
        <v/>
      </c>
      <c r="H115" s="33">
        <f>IF(OR($A115="",$B115=""),"",SUMIFS(근태기록!$H$5:$H$2004,근태기록!$C$5:$C$2004,$B115,근태기록!$A$5:$A$2004,"&gt;="&amp;$A115,근태기록!$A$5:$A$2004,"&lt;="&amp;EOMONTH($A115,0)))</f>
        <v/>
      </c>
      <c r="I115" s="33">
        <f>IF(OR($A115="",$B115=""),"",SUMIFS(근태기록!$I$5:$I$2004,근태기록!$C$5:$C$2004,$B115,근태기록!$A$5:$A$2004,"&gt;="&amp;$A115,근태기록!$A$5:$A$2004,"&lt;="&amp;EOMONTH($A115,0)))</f>
        <v/>
      </c>
      <c r="J115" s="33">
        <f>IF(OR($A115="",$B115=""),"",SUMIFS(근태기록!$J$5:$J$2004,근태기록!$C$5:$C$2004,$B115,근태기록!$A$5:$A$2004,"&gt;="&amp;$A115,근태기록!$A$5:$A$2004,"&lt;="&amp;EOMONTH($A115,0)))</f>
        <v/>
      </c>
      <c r="K115" s="33">
        <f>IF(OR($A115="",$B115=""),"",SUMIFS(근태기록!$H$5:$H$2004,근태기록!$C$5:$C$2004,$B115,근태기록!$A$5:$A$2004,"&gt;="&amp;$A115,근태기록!$A$5:$A$2004,"&lt;="&amp;EOMONTH($A115,0),근태기록!$L$5:$L$2004,"휴일근로"))</f>
        <v/>
      </c>
      <c r="L115" s="20" t="n"/>
      <c r="M115" s="20" t="n"/>
      <c r="N115" s="20" t="n"/>
      <c r="O115" s="20" t="n"/>
      <c r="P115" s="15">
        <f>IF(OR($A115="",$B115=""),"",SUM(L115:O115))</f>
        <v/>
      </c>
      <c r="Q115" s="20" t="n"/>
      <c r="R115" s="20" t="n"/>
      <c r="S115" s="20" t="n"/>
      <c r="T115" s="20" t="n"/>
      <c r="U115" s="20" t="n"/>
      <c r="V115" s="20" t="n"/>
      <c r="W115" s="15">
        <f>IF(OR($A115="",$B115=""),"",SUM(Q115:V115))</f>
        <v/>
      </c>
      <c r="X115" s="15">
        <f>IF(OR($A115="",$B115=""),"",N(P115)-N(W115))</f>
        <v/>
      </c>
    </row>
    <row r="116">
      <c r="A116" s="43" t="n"/>
      <c r="B116" s="18" t="n"/>
      <c r="C116" s="25">
        <f>IFERROR(IF($B116="","",IF(INDEX(직원명부!$B$5:$B$24,MATCH($B116,직원명부!$A$5:$A$24,0))=0,"",INDEX(직원명부!$B$5:$B$24,MATCH($B116,직원명부!$A$5:$A$24,0)))),"사번 확인")</f>
        <v/>
      </c>
      <c r="D116" s="26">
        <f>IFERROR(IF($B116="","",IF(INDEX(근로자명부!$D$5:$D$24,MATCH($B116,근로자명부!$A$5:$A$24,0))=0,"",INDEX(근로자명부!$D$5:$D$24,MATCH($B116,근로자명부!$A$5:$A$24,0)))),"")</f>
        <v/>
      </c>
      <c r="E116" s="26">
        <f>IFERROR(IF($B116="","",IF(INDEX(직원명부!$C$5:$C$24,MATCH($B116,직원명부!$A$5:$A$24,0))=0,"",INDEX(직원명부!$C$5:$C$24,MATCH($B116,직원명부!$A$5:$A$24,0)))),"")</f>
        <v/>
      </c>
      <c r="F116" s="44">
        <f>IFERROR(IF($B116="","",IF(INDEX(근로자명부!$G$5:$G$24,MATCH($B116,근로자명부!$A$5:$A$24,0))=0,"",INDEX(근로자명부!$G$5:$G$24,MATCH($B116,근로자명부!$A$5:$A$24,0)))),"")</f>
        <v/>
      </c>
      <c r="G116" s="30">
        <f>IF(OR($A116="",$B116=""),"",COUNTIFS(근태기록!$C$5:$C$2004,$B116,근태기록!$A$5:$A$2004,"&gt;="&amp;$A116,근태기록!$A$5:$A$2004,"&lt;="&amp;EOMONTH($A116,0),근태기록!$H$5:$H$2004,"&gt;0"))</f>
        <v/>
      </c>
      <c r="H116" s="33">
        <f>IF(OR($A116="",$B116=""),"",SUMIFS(근태기록!$H$5:$H$2004,근태기록!$C$5:$C$2004,$B116,근태기록!$A$5:$A$2004,"&gt;="&amp;$A116,근태기록!$A$5:$A$2004,"&lt;="&amp;EOMONTH($A116,0)))</f>
        <v/>
      </c>
      <c r="I116" s="33">
        <f>IF(OR($A116="",$B116=""),"",SUMIFS(근태기록!$I$5:$I$2004,근태기록!$C$5:$C$2004,$B116,근태기록!$A$5:$A$2004,"&gt;="&amp;$A116,근태기록!$A$5:$A$2004,"&lt;="&amp;EOMONTH($A116,0)))</f>
        <v/>
      </c>
      <c r="J116" s="33">
        <f>IF(OR($A116="",$B116=""),"",SUMIFS(근태기록!$J$5:$J$2004,근태기록!$C$5:$C$2004,$B116,근태기록!$A$5:$A$2004,"&gt;="&amp;$A116,근태기록!$A$5:$A$2004,"&lt;="&amp;EOMONTH($A116,0)))</f>
        <v/>
      </c>
      <c r="K116" s="33">
        <f>IF(OR($A116="",$B116=""),"",SUMIFS(근태기록!$H$5:$H$2004,근태기록!$C$5:$C$2004,$B116,근태기록!$A$5:$A$2004,"&gt;="&amp;$A116,근태기록!$A$5:$A$2004,"&lt;="&amp;EOMONTH($A116,0),근태기록!$L$5:$L$2004,"휴일근로"))</f>
        <v/>
      </c>
      <c r="L116" s="20" t="n"/>
      <c r="M116" s="20" t="n"/>
      <c r="N116" s="20" t="n"/>
      <c r="O116" s="20" t="n"/>
      <c r="P116" s="15">
        <f>IF(OR($A116="",$B116=""),"",SUM(L116:O116))</f>
        <v/>
      </c>
      <c r="Q116" s="20" t="n"/>
      <c r="R116" s="20" t="n"/>
      <c r="S116" s="20" t="n"/>
      <c r="T116" s="20" t="n"/>
      <c r="U116" s="20" t="n"/>
      <c r="V116" s="20" t="n"/>
      <c r="W116" s="15">
        <f>IF(OR($A116="",$B116=""),"",SUM(Q116:V116))</f>
        <v/>
      </c>
      <c r="X116" s="15">
        <f>IF(OR($A116="",$B116=""),"",N(P116)-N(W116))</f>
        <v/>
      </c>
    </row>
    <row r="117">
      <c r="A117" s="43" t="n"/>
      <c r="B117" s="18" t="n"/>
      <c r="C117" s="25">
        <f>IFERROR(IF($B117="","",IF(INDEX(직원명부!$B$5:$B$24,MATCH($B117,직원명부!$A$5:$A$24,0))=0,"",INDEX(직원명부!$B$5:$B$24,MATCH($B117,직원명부!$A$5:$A$24,0)))),"사번 확인")</f>
        <v/>
      </c>
      <c r="D117" s="26">
        <f>IFERROR(IF($B117="","",IF(INDEX(근로자명부!$D$5:$D$24,MATCH($B117,근로자명부!$A$5:$A$24,0))=0,"",INDEX(근로자명부!$D$5:$D$24,MATCH($B117,근로자명부!$A$5:$A$24,0)))),"")</f>
        <v/>
      </c>
      <c r="E117" s="26">
        <f>IFERROR(IF($B117="","",IF(INDEX(직원명부!$C$5:$C$24,MATCH($B117,직원명부!$A$5:$A$24,0))=0,"",INDEX(직원명부!$C$5:$C$24,MATCH($B117,직원명부!$A$5:$A$24,0)))),"")</f>
        <v/>
      </c>
      <c r="F117" s="44">
        <f>IFERROR(IF($B117="","",IF(INDEX(근로자명부!$G$5:$G$24,MATCH($B117,근로자명부!$A$5:$A$24,0))=0,"",INDEX(근로자명부!$G$5:$G$24,MATCH($B117,근로자명부!$A$5:$A$24,0)))),"")</f>
        <v/>
      </c>
      <c r="G117" s="30">
        <f>IF(OR($A117="",$B117=""),"",COUNTIFS(근태기록!$C$5:$C$2004,$B117,근태기록!$A$5:$A$2004,"&gt;="&amp;$A117,근태기록!$A$5:$A$2004,"&lt;="&amp;EOMONTH($A117,0),근태기록!$H$5:$H$2004,"&gt;0"))</f>
        <v/>
      </c>
      <c r="H117" s="33">
        <f>IF(OR($A117="",$B117=""),"",SUMIFS(근태기록!$H$5:$H$2004,근태기록!$C$5:$C$2004,$B117,근태기록!$A$5:$A$2004,"&gt;="&amp;$A117,근태기록!$A$5:$A$2004,"&lt;="&amp;EOMONTH($A117,0)))</f>
        <v/>
      </c>
      <c r="I117" s="33">
        <f>IF(OR($A117="",$B117=""),"",SUMIFS(근태기록!$I$5:$I$2004,근태기록!$C$5:$C$2004,$B117,근태기록!$A$5:$A$2004,"&gt;="&amp;$A117,근태기록!$A$5:$A$2004,"&lt;="&amp;EOMONTH($A117,0)))</f>
        <v/>
      </c>
      <c r="J117" s="33">
        <f>IF(OR($A117="",$B117=""),"",SUMIFS(근태기록!$J$5:$J$2004,근태기록!$C$5:$C$2004,$B117,근태기록!$A$5:$A$2004,"&gt;="&amp;$A117,근태기록!$A$5:$A$2004,"&lt;="&amp;EOMONTH($A117,0)))</f>
        <v/>
      </c>
      <c r="K117" s="33">
        <f>IF(OR($A117="",$B117=""),"",SUMIFS(근태기록!$H$5:$H$2004,근태기록!$C$5:$C$2004,$B117,근태기록!$A$5:$A$2004,"&gt;="&amp;$A117,근태기록!$A$5:$A$2004,"&lt;="&amp;EOMONTH($A117,0),근태기록!$L$5:$L$2004,"휴일근로"))</f>
        <v/>
      </c>
      <c r="L117" s="20" t="n"/>
      <c r="M117" s="20" t="n"/>
      <c r="N117" s="20" t="n"/>
      <c r="O117" s="20" t="n"/>
      <c r="P117" s="15">
        <f>IF(OR($A117="",$B117=""),"",SUM(L117:O117))</f>
        <v/>
      </c>
      <c r="Q117" s="20" t="n"/>
      <c r="R117" s="20" t="n"/>
      <c r="S117" s="20" t="n"/>
      <c r="T117" s="20" t="n"/>
      <c r="U117" s="20" t="n"/>
      <c r="V117" s="20" t="n"/>
      <c r="W117" s="15">
        <f>IF(OR($A117="",$B117=""),"",SUM(Q117:V117))</f>
        <v/>
      </c>
      <c r="X117" s="15">
        <f>IF(OR($A117="",$B117=""),"",N(P117)-N(W117))</f>
        <v/>
      </c>
    </row>
    <row r="118">
      <c r="A118" s="43" t="n"/>
      <c r="B118" s="18" t="n"/>
      <c r="C118" s="25">
        <f>IFERROR(IF($B118="","",IF(INDEX(직원명부!$B$5:$B$24,MATCH($B118,직원명부!$A$5:$A$24,0))=0,"",INDEX(직원명부!$B$5:$B$24,MATCH($B118,직원명부!$A$5:$A$24,0)))),"사번 확인")</f>
        <v/>
      </c>
      <c r="D118" s="26">
        <f>IFERROR(IF($B118="","",IF(INDEX(근로자명부!$D$5:$D$24,MATCH($B118,근로자명부!$A$5:$A$24,0))=0,"",INDEX(근로자명부!$D$5:$D$24,MATCH($B118,근로자명부!$A$5:$A$24,0)))),"")</f>
        <v/>
      </c>
      <c r="E118" s="26">
        <f>IFERROR(IF($B118="","",IF(INDEX(직원명부!$C$5:$C$24,MATCH($B118,직원명부!$A$5:$A$24,0))=0,"",INDEX(직원명부!$C$5:$C$24,MATCH($B118,직원명부!$A$5:$A$24,0)))),"")</f>
        <v/>
      </c>
      <c r="F118" s="44">
        <f>IFERROR(IF($B118="","",IF(INDEX(근로자명부!$G$5:$G$24,MATCH($B118,근로자명부!$A$5:$A$24,0))=0,"",INDEX(근로자명부!$G$5:$G$24,MATCH($B118,근로자명부!$A$5:$A$24,0)))),"")</f>
        <v/>
      </c>
      <c r="G118" s="30">
        <f>IF(OR($A118="",$B118=""),"",COUNTIFS(근태기록!$C$5:$C$2004,$B118,근태기록!$A$5:$A$2004,"&gt;="&amp;$A118,근태기록!$A$5:$A$2004,"&lt;="&amp;EOMONTH($A118,0),근태기록!$H$5:$H$2004,"&gt;0"))</f>
        <v/>
      </c>
      <c r="H118" s="33">
        <f>IF(OR($A118="",$B118=""),"",SUMIFS(근태기록!$H$5:$H$2004,근태기록!$C$5:$C$2004,$B118,근태기록!$A$5:$A$2004,"&gt;="&amp;$A118,근태기록!$A$5:$A$2004,"&lt;="&amp;EOMONTH($A118,0)))</f>
        <v/>
      </c>
      <c r="I118" s="33">
        <f>IF(OR($A118="",$B118=""),"",SUMIFS(근태기록!$I$5:$I$2004,근태기록!$C$5:$C$2004,$B118,근태기록!$A$5:$A$2004,"&gt;="&amp;$A118,근태기록!$A$5:$A$2004,"&lt;="&amp;EOMONTH($A118,0)))</f>
        <v/>
      </c>
      <c r="J118" s="33">
        <f>IF(OR($A118="",$B118=""),"",SUMIFS(근태기록!$J$5:$J$2004,근태기록!$C$5:$C$2004,$B118,근태기록!$A$5:$A$2004,"&gt;="&amp;$A118,근태기록!$A$5:$A$2004,"&lt;="&amp;EOMONTH($A118,0)))</f>
        <v/>
      </c>
      <c r="K118" s="33">
        <f>IF(OR($A118="",$B118=""),"",SUMIFS(근태기록!$H$5:$H$2004,근태기록!$C$5:$C$2004,$B118,근태기록!$A$5:$A$2004,"&gt;="&amp;$A118,근태기록!$A$5:$A$2004,"&lt;="&amp;EOMONTH($A118,0),근태기록!$L$5:$L$2004,"휴일근로"))</f>
        <v/>
      </c>
      <c r="L118" s="20" t="n"/>
      <c r="M118" s="20" t="n"/>
      <c r="N118" s="20" t="n"/>
      <c r="O118" s="20" t="n"/>
      <c r="P118" s="15">
        <f>IF(OR($A118="",$B118=""),"",SUM(L118:O118))</f>
        <v/>
      </c>
      <c r="Q118" s="20" t="n"/>
      <c r="R118" s="20" t="n"/>
      <c r="S118" s="20" t="n"/>
      <c r="T118" s="20" t="n"/>
      <c r="U118" s="20" t="n"/>
      <c r="V118" s="20" t="n"/>
      <c r="W118" s="15">
        <f>IF(OR($A118="",$B118=""),"",SUM(Q118:V118))</f>
        <v/>
      </c>
      <c r="X118" s="15">
        <f>IF(OR($A118="",$B118=""),"",N(P118)-N(W118))</f>
        <v/>
      </c>
    </row>
    <row r="119">
      <c r="A119" s="43" t="n"/>
      <c r="B119" s="18" t="n"/>
      <c r="C119" s="25">
        <f>IFERROR(IF($B119="","",IF(INDEX(직원명부!$B$5:$B$24,MATCH($B119,직원명부!$A$5:$A$24,0))=0,"",INDEX(직원명부!$B$5:$B$24,MATCH($B119,직원명부!$A$5:$A$24,0)))),"사번 확인")</f>
        <v/>
      </c>
      <c r="D119" s="26">
        <f>IFERROR(IF($B119="","",IF(INDEX(근로자명부!$D$5:$D$24,MATCH($B119,근로자명부!$A$5:$A$24,0))=0,"",INDEX(근로자명부!$D$5:$D$24,MATCH($B119,근로자명부!$A$5:$A$24,0)))),"")</f>
        <v/>
      </c>
      <c r="E119" s="26">
        <f>IFERROR(IF($B119="","",IF(INDEX(직원명부!$C$5:$C$24,MATCH($B119,직원명부!$A$5:$A$24,0))=0,"",INDEX(직원명부!$C$5:$C$24,MATCH($B119,직원명부!$A$5:$A$24,0)))),"")</f>
        <v/>
      </c>
      <c r="F119" s="44">
        <f>IFERROR(IF($B119="","",IF(INDEX(근로자명부!$G$5:$G$24,MATCH($B119,근로자명부!$A$5:$A$24,0))=0,"",INDEX(근로자명부!$G$5:$G$24,MATCH($B119,근로자명부!$A$5:$A$24,0)))),"")</f>
        <v/>
      </c>
      <c r="G119" s="30">
        <f>IF(OR($A119="",$B119=""),"",COUNTIFS(근태기록!$C$5:$C$2004,$B119,근태기록!$A$5:$A$2004,"&gt;="&amp;$A119,근태기록!$A$5:$A$2004,"&lt;="&amp;EOMONTH($A119,0),근태기록!$H$5:$H$2004,"&gt;0"))</f>
        <v/>
      </c>
      <c r="H119" s="33">
        <f>IF(OR($A119="",$B119=""),"",SUMIFS(근태기록!$H$5:$H$2004,근태기록!$C$5:$C$2004,$B119,근태기록!$A$5:$A$2004,"&gt;="&amp;$A119,근태기록!$A$5:$A$2004,"&lt;="&amp;EOMONTH($A119,0)))</f>
        <v/>
      </c>
      <c r="I119" s="33">
        <f>IF(OR($A119="",$B119=""),"",SUMIFS(근태기록!$I$5:$I$2004,근태기록!$C$5:$C$2004,$B119,근태기록!$A$5:$A$2004,"&gt;="&amp;$A119,근태기록!$A$5:$A$2004,"&lt;="&amp;EOMONTH($A119,0)))</f>
        <v/>
      </c>
      <c r="J119" s="33">
        <f>IF(OR($A119="",$B119=""),"",SUMIFS(근태기록!$J$5:$J$2004,근태기록!$C$5:$C$2004,$B119,근태기록!$A$5:$A$2004,"&gt;="&amp;$A119,근태기록!$A$5:$A$2004,"&lt;="&amp;EOMONTH($A119,0)))</f>
        <v/>
      </c>
      <c r="K119" s="33">
        <f>IF(OR($A119="",$B119=""),"",SUMIFS(근태기록!$H$5:$H$2004,근태기록!$C$5:$C$2004,$B119,근태기록!$A$5:$A$2004,"&gt;="&amp;$A119,근태기록!$A$5:$A$2004,"&lt;="&amp;EOMONTH($A119,0),근태기록!$L$5:$L$2004,"휴일근로"))</f>
        <v/>
      </c>
      <c r="L119" s="20" t="n"/>
      <c r="M119" s="20" t="n"/>
      <c r="N119" s="20" t="n"/>
      <c r="O119" s="20" t="n"/>
      <c r="P119" s="15">
        <f>IF(OR($A119="",$B119=""),"",SUM(L119:O119))</f>
        <v/>
      </c>
      <c r="Q119" s="20" t="n"/>
      <c r="R119" s="20" t="n"/>
      <c r="S119" s="20" t="n"/>
      <c r="T119" s="20" t="n"/>
      <c r="U119" s="20" t="n"/>
      <c r="V119" s="20" t="n"/>
      <c r="W119" s="15">
        <f>IF(OR($A119="",$B119=""),"",SUM(Q119:V119))</f>
        <v/>
      </c>
      <c r="X119" s="15">
        <f>IF(OR($A119="",$B119=""),"",N(P119)-N(W119))</f>
        <v/>
      </c>
    </row>
    <row r="120">
      <c r="A120" s="43" t="n"/>
      <c r="B120" s="18" t="n"/>
      <c r="C120" s="25">
        <f>IFERROR(IF($B120="","",IF(INDEX(직원명부!$B$5:$B$24,MATCH($B120,직원명부!$A$5:$A$24,0))=0,"",INDEX(직원명부!$B$5:$B$24,MATCH($B120,직원명부!$A$5:$A$24,0)))),"사번 확인")</f>
        <v/>
      </c>
      <c r="D120" s="26">
        <f>IFERROR(IF($B120="","",IF(INDEX(근로자명부!$D$5:$D$24,MATCH($B120,근로자명부!$A$5:$A$24,0))=0,"",INDEX(근로자명부!$D$5:$D$24,MATCH($B120,근로자명부!$A$5:$A$24,0)))),"")</f>
        <v/>
      </c>
      <c r="E120" s="26">
        <f>IFERROR(IF($B120="","",IF(INDEX(직원명부!$C$5:$C$24,MATCH($B120,직원명부!$A$5:$A$24,0))=0,"",INDEX(직원명부!$C$5:$C$24,MATCH($B120,직원명부!$A$5:$A$24,0)))),"")</f>
        <v/>
      </c>
      <c r="F120" s="44">
        <f>IFERROR(IF($B120="","",IF(INDEX(근로자명부!$G$5:$G$24,MATCH($B120,근로자명부!$A$5:$A$24,0))=0,"",INDEX(근로자명부!$G$5:$G$24,MATCH($B120,근로자명부!$A$5:$A$24,0)))),"")</f>
        <v/>
      </c>
      <c r="G120" s="30">
        <f>IF(OR($A120="",$B120=""),"",COUNTIFS(근태기록!$C$5:$C$2004,$B120,근태기록!$A$5:$A$2004,"&gt;="&amp;$A120,근태기록!$A$5:$A$2004,"&lt;="&amp;EOMONTH($A120,0),근태기록!$H$5:$H$2004,"&gt;0"))</f>
        <v/>
      </c>
      <c r="H120" s="33">
        <f>IF(OR($A120="",$B120=""),"",SUMIFS(근태기록!$H$5:$H$2004,근태기록!$C$5:$C$2004,$B120,근태기록!$A$5:$A$2004,"&gt;="&amp;$A120,근태기록!$A$5:$A$2004,"&lt;="&amp;EOMONTH($A120,0)))</f>
        <v/>
      </c>
      <c r="I120" s="33">
        <f>IF(OR($A120="",$B120=""),"",SUMIFS(근태기록!$I$5:$I$2004,근태기록!$C$5:$C$2004,$B120,근태기록!$A$5:$A$2004,"&gt;="&amp;$A120,근태기록!$A$5:$A$2004,"&lt;="&amp;EOMONTH($A120,0)))</f>
        <v/>
      </c>
      <c r="J120" s="33">
        <f>IF(OR($A120="",$B120=""),"",SUMIFS(근태기록!$J$5:$J$2004,근태기록!$C$5:$C$2004,$B120,근태기록!$A$5:$A$2004,"&gt;="&amp;$A120,근태기록!$A$5:$A$2004,"&lt;="&amp;EOMONTH($A120,0)))</f>
        <v/>
      </c>
      <c r="K120" s="33">
        <f>IF(OR($A120="",$B120=""),"",SUMIFS(근태기록!$H$5:$H$2004,근태기록!$C$5:$C$2004,$B120,근태기록!$A$5:$A$2004,"&gt;="&amp;$A120,근태기록!$A$5:$A$2004,"&lt;="&amp;EOMONTH($A120,0),근태기록!$L$5:$L$2004,"휴일근로"))</f>
        <v/>
      </c>
      <c r="L120" s="20" t="n"/>
      <c r="M120" s="20" t="n"/>
      <c r="N120" s="20" t="n"/>
      <c r="O120" s="20" t="n"/>
      <c r="P120" s="15">
        <f>IF(OR($A120="",$B120=""),"",SUM(L120:O120))</f>
        <v/>
      </c>
      <c r="Q120" s="20" t="n"/>
      <c r="R120" s="20" t="n"/>
      <c r="S120" s="20" t="n"/>
      <c r="T120" s="20" t="n"/>
      <c r="U120" s="20" t="n"/>
      <c r="V120" s="20" t="n"/>
      <c r="W120" s="15">
        <f>IF(OR($A120="",$B120=""),"",SUM(Q120:V120))</f>
        <v/>
      </c>
      <c r="X120" s="15">
        <f>IF(OR($A120="",$B120=""),"",N(P120)-N(W120))</f>
        <v/>
      </c>
    </row>
    <row r="121">
      <c r="A121" s="43" t="n"/>
      <c r="B121" s="18" t="n"/>
      <c r="C121" s="25">
        <f>IFERROR(IF($B121="","",IF(INDEX(직원명부!$B$5:$B$24,MATCH($B121,직원명부!$A$5:$A$24,0))=0,"",INDEX(직원명부!$B$5:$B$24,MATCH($B121,직원명부!$A$5:$A$24,0)))),"사번 확인")</f>
        <v/>
      </c>
      <c r="D121" s="26">
        <f>IFERROR(IF($B121="","",IF(INDEX(근로자명부!$D$5:$D$24,MATCH($B121,근로자명부!$A$5:$A$24,0))=0,"",INDEX(근로자명부!$D$5:$D$24,MATCH($B121,근로자명부!$A$5:$A$24,0)))),"")</f>
        <v/>
      </c>
      <c r="E121" s="26">
        <f>IFERROR(IF($B121="","",IF(INDEX(직원명부!$C$5:$C$24,MATCH($B121,직원명부!$A$5:$A$24,0))=0,"",INDEX(직원명부!$C$5:$C$24,MATCH($B121,직원명부!$A$5:$A$24,0)))),"")</f>
        <v/>
      </c>
      <c r="F121" s="44">
        <f>IFERROR(IF($B121="","",IF(INDEX(근로자명부!$G$5:$G$24,MATCH($B121,근로자명부!$A$5:$A$24,0))=0,"",INDEX(근로자명부!$G$5:$G$24,MATCH($B121,근로자명부!$A$5:$A$24,0)))),"")</f>
        <v/>
      </c>
      <c r="G121" s="30">
        <f>IF(OR($A121="",$B121=""),"",COUNTIFS(근태기록!$C$5:$C$2004,$B121,근태기록!$A$5:$A$2004,"&gt;="&amp;$A121,근태기록!$A$5:$A$2004,"&lt;="&amp;EOMONTH($A121,0),근태기록!$H$5:$H$2004,"&gt;0"))</f>
        <v/>
      </c>
      <c r="H121" s="33">
        <f>IF(OR($A121="",$B121=""),"",SUMIFS(근태기록!$H$5:$H$2004,근태기록!$C$5:$C$2004,$B121,근태기록!$A$5:$A$2004,"&gt;="&amp;$A121,근태기록!$A$5:$A$2004,"&lt;="&amp;EOMONTH($A121,0)))</f>
        <v/>
      </c>
      <c r="I121" s="33">
        <f>IF(OR($A121="",$B121=""),"",SUMIFS(근태기록!$I$5:$I$2004,근태기록!$C$5:$C$2004,$B121,근태기록!$A$5:$A$2004,"&gt;="&amp;$A121,근태기록!$A$5:$A$2004,"&lt;="&amp;EOMONTH($A121,0)))</f>
        <v/>
      </c>
      <c r="J121" s="33">
        <f>IF(OR($A121="",$B121=""),"",SUMIFS(근태기록!$J$5:$J$2004,근태기록!$C$5:$C$2004,$B121,근태기록!$A$5:$A$2004,"&gt;="&amp;$A121,근태기록!$A$5:$A$2004,"&lt;="&amp;EOMONTH($A121,0)))</f>
        <v/>
      </c>
      <c r="K121" s="33">
        <f>IF(OR($A121="",$B121=""),"",SUMIFS(근태기록!$H$5:$H$2004,근태기록!$C$5:$C$2004,$B121,근태기록!$A$5:$A$2004,"&gt;="&amp;$A121,근태기록!$A$5:$A$2004,"&lt;="&amp;EOMONTH($A121,0),근태기록!$L$5:$L$2004,"휴일근로"))</f>
        <v/>
      </c>
      <c r="L121" s="20" t="n"/>
      <c r="M121" s="20" t="n"/>
      <c r="N121" s="20" t="n"/>
      <c r="O121" s="20" t="n"/>
      <c r="P121" s="15">
        <f>IF(OR($A121="",$B121=""),"",SUM(L121:O121))</f>
        <v/>
      </c>
      <c r="Q121" s="20" t="n"/>
      <c r="R121" s="20" t="n"/>
      <c r="S121" s="20" t="n"/>
      <c r="T121" s="20" t="n"/>
      <c r="U121" s="20" t="n"/>
      <c r="V121" s="20" t="n"/>
      <c r="W121" s="15">
        <f>IF(OR($A121="",$B121=""),"",SUM(Q121:V121))</f>
        <v/>
      </c>
      <c r="X121" s="15">
        <f>IF(OR($A121="",$B121=""),"",N(P121)-N(W121))</f>
        <v/>
      </c>
    </row>
    <row r="122">
      <c r="A122" s="43" t="n"/>
      <c r="B122" s="18" t="n"/>
      <c r="C122" s="25">
        <f>IFERROR(IF($B122="","",IF(INDEX(직원명부!$B$5:$B$24,MATCH($B122,직원명부!$A$5:$A$24,0))=0,"",INDEX(직원명부!$B$5:$B$24,MATCH($B122,직원명부!$A$5:$A$24,0)))),"사번 확인")</f>
        <v/>
      </c>
      <c r="D122" s="26">
        <f>IFERROR(IF($B122="","",IF(INDEX(근로자명부!$D$5:$D$24,MATCH($B122,근로자명부!$A$5:$A$24,0))=0,"",INDEX(근로자명부!$D$5:$D$24,MATCH($B122,근로자명부!$A$5:$A$24,0)))),"")</f>
        <v/>
      </c>
      <c r="E122" s="26">
        <f>IFERROR(IF($B122="","",IF(INDEX(직원명부!$C$5:$C$24,MATCH($B122,직원명부!$A$5:$A$24,0))=0,"",INDEX(직원명부!$C$5:$C$24,MATCH($B122,직원명부!$A$5:$A$24,0)))),"")</f>
        <v/>
      </c>
      <c r="F122" s="44">
        <f>IFERROR(IF($B122="","",IF(INDEX(근로자명부!$G$5:$G$24,MATCH($B122,근로자명부!$A$5:$A$24,0))=0,"",INDEX(근로자명부!$G$5:$G$24,MATCH($B122,근로자명부!$A$5:$A$24,0)))),"")</f>
        <v/>
      </c>
      <c r="G122" s="30">
        <f>IF(OR($A122="",$B122=""),"",COUNTIFS(근태기록!$C$5:$C$2004,$B122,근태기록!$A$5:$A$2004,"&gt;="&amp;$A122,근태기록!$A$5:$A$2004,"&lt;="&amp;EOMONTH($A122,0),근태기록!$H$5:$H$2004,"&gt;0"))</f>
        <v/>
      </c>
      <c r="H122" s="33">
        <f>IF(OR($A122="",$B122=""),"",SUMIFS(근태기록!$H$5:$H$2004,근태기록!$C$5:$C$2004,$B122,근태기록!$A$5:$A$2004,"&gt;="&amp;$A122,근태기록!$A$5:$A$2004,"&lt;="&amp;EOMONTH($A122,0)))</f>
        <v/>
      </c>
      <c r="I122" s="33">
        <f>IF(OR($A122="",$B122=""),"",SUMIFS(근태기록!$I$5:$I$2004,근태기록!$C$5:$C$2004,$B122,근태기록!$A$5:$A$2004,"&gt;="&amp;$A122,근태기록!$A$5:$A$2004,"&lt;="&amp;EOMONTH($A122,0)))</f>
        <v/>
      </c>
      <c r="J122" s="33">
        <f>IF(OR($A122="",$B122=""),"",SUMIFS(근태기록!$J$5:$J$2004,근태기록!$C$5:$C$2004,$B122,근태기록!$A$5:$A$2004,"&gt;="&amp;$A122,근태기록!$A$5:$A$2004,"&lt;="&amp;EOMONTH($A122,0)))</f>
        <v/>
      </c>
      <c r="K122" s="33">
        <f>IF(OR($A122="",$B122=""),"",SUMIFS(근태기록!$H$5:$H$2004,근태기록!$C$5:$C$2004,$B122,근태기록!$A$5:$A$2004,"&gt;="&amp;$A122,근태기록!$A$5:$A$2004,"&lt;="&amp;EOMONTH($A122,0),근태기록!$L$5:$L$2004,"휴일근로"))</f>
        <v/>
      </c>
      <c r="L122" s="20" t="n"/>
      <c r="M122" s="20" t="n"/>
      <c r="N122" s="20" t="n"/>
      <c r="O122" s="20" t="n"/>
      <c r="P122" s="15">
        <f>IF(OR($A122="",$B122=""),"",SUM(L122:O122))</f>
        <v/>
      </c>
      <c r="Q122" s="20" t="n"/>
      <c r="R122" s="20" t="n"/>
      <c r="S122" s="20" t="n"/>
      <c r="T122" s="20" t="n"/>
      <c r="U122" s="20" t="n"/>
      <c r="V122" s="20" t="n"/>
      <c r="W122" s="15">
        <f>IF(OR($A122="",$B122=""),"",SUM(Q122:V122))</f>
        <v/>
      </c>
      <c r="X122" s="15">
        <f>IF(OR($A122="",$B122=""),"",N(P122)-N(W122))</f>
        <v/>
      </c>
    </row>
    <row r="123">
      <c r="A123" s="43" t="n"/>
      <c r="B123" s="18" t="n"/>
      <c r="C123" s="25">
        <f>IFERROR(IF($B123="","",IF(INDEX(직원명부!$B$5:$B$24,MATCH($B123,직원명부!$A$5:$A$24,0))=0,"",INDEX(직원명부!$B$5:$B$24,MATCH($B123,직원명부!$A$5:$A$24,0)))),"사번 확인")</f>
        <v/>
      </c>
      <c r="D123" s="26">
        <f>IFERROR(IF($B123="","",IF(INDEX(근로자명부!$D$5:$D$24,MATCH($B123,근로자명부!$A$5:$A$24,0))=0,"",INDEX(근로자명부!$D$5:$D$24,MATCH($B123,근로자명부!$A$5:$A$24,0)))),"")</f>
        <v/>
      </c>
      <c r="E123" s="26">
        <f>IFERROR(IF($B123="","",IF(INDEX(직원명부!$C$5:$C$24,MATCH($B123,직원명부!$A$5:$A$24,0))=0,"",INDEX(직원명부!$C$5:$C$24,MATCH($B123,직원명부!$A$5:$A$24,0)))),"")</f>
        <v/>
      </c>
      <c r="F123" s="44">
        <f>IFERROR(IF($B123="","",IF(INDEX(근로자명부!$G$5:$G$24,MATCH($B123,근로자명부!$A$5:$A$24,0))=0,"",INDEX(근로자명부!$G$5:$G$24,MATCH($B123,근로자명부!$A$5:$A$24,0)))),"")</f>
        <v/>
      </c>
      <c r="G123" s="30">
        <f>IF(OR($A123="",$B123=""),"",COUNTIFS(근태기록!$C$5:$C$2004,$B123,근태기록!$A$5:$A$2004,"&gt;="&amp;$A123,근태기록!$A$5:$A$2004,"&lt;="&amp;EOMONTH($A123,0),근태기록!$H$5:$H$2004,"&gt;0"))</f>
        <v/>
      </c>
      <c r="H123" s="33">
        <f>IF(OR($A123="",$B123=""),"",SUMIFS(근태기록!$H$5:$H$2004,근태기록!$C$5:$C$2004,$B123,근태기록!$A$5:$A$2004,"&gt;="&amp;$A123,근태기록!$A$5:$A$2004,"&lt;="&amp;EOMONTH($A123,0)))</f>
        <v/>
      </c>
      <c r="I123" s="33">
        <f>IF(OR($A123="",$B123=""),"",SUMIFS(근태기록!$I$5:$I$2004,근태기록!$C$5:$C$2004,$B123,근태기록!$A$5:$A$2004,"&gt;="&amp;$A123,근태기록!$A$5:$A$2004,"&lt;="&amp;EOMONTH($A123,0)))</f>
        <v/>
      </c>
      <c r="J123" s="33">
        <f>IF(OR($A123="",$B123=""),"",SUMIFS(근태기록!$J$5:$J$2004,근태기록!$C$5:$C$2004,$B123,근태기록!$A$5:$A$2004,"&gt;="&amp;$A123,근태기록!$A$5:$A$2004,"&lt;="&amp;EOMONTH($A123,0)))</f>
        <v/>
      </c>
      <c r="K123" s="33">
        <f>IF(OR($A123="",$B123=""),"",SUMIFS(근태기록!$H$5:$H$2004,근태기록!$C$5:$C$2004,$B123,근태기록!$A$5:$A$2004,"&gt;="&amp;$A123,근태기록!$A$5:$A$2004,"&lt;="&amp;EOMONTH($A123,0),근태기록!$L$5:$L$2004,"휴일근로"))</f>
        <v/>
      </c>
      <c r="L123" s="20" t="n"/>
      <c r="M123" s="20" t="n"/>
      <c r="N123" s="20" t="n"/>
      <c r="O123" s="20" t="n"/>
      <c r="P123" s="15">
        <f>IF(OR($A123="",$B123=""),"",SUM(L123:O123))</f>
        <v/>
      </c>
      <c r="Q123" s="20" t="n"/>
      <c r="R123" s="20" t="n"/>
      <c r="S123" s="20" t="n"/>
      <c r="T123" s="20" t="n"/>
      <c r="U123" s="20" t="n"/>
      <c r="V123" s="20" t="n"/>
      <c r="W123" s="15">
        <f>IF(OR($A123="",$B123=""),"",SUM(Q123:V123))</f>
        <v/>
      </c>
      <c r="X123" s="15">
        <f>IF(OR($A123="",$B123=""),"",N(P123)-N(W123))</f>
        <v/>
      </c>
    </row>
    <row r="124">
      <c r="A124" s="43" t="n"/>
      <c r="B124" s="18" t="n"/>
      <c r="C124" s="25">
        <f>IFERROR(IF($B124="","",IF(INDEX(직원명부!$B$5:$B$24,MATCH($B124,직원명부!$A$5:$A$24,0))=0,"",INDEX(직원명부!$B$5:$B$24,MATCH($B124,직원명부!$A$5:$A$24,0)))),"사번 확인")</f>
        <v/>
      </c>
      <c r="D124" s="26">
        <f>IFERROR(IF($B124="","",IF(INDEX(근로자명부!$D$5:$D$24,MATCH($B124,근로자명부!$A$5:$A$24,0))=0,"",INDEX(근로자명부!$D$5:$D$24,MATCH($B124,근로자명부!$A$5:$A$24,0)))),"")</f>
        <v/>
      </c>
      <c r="E124" s="26">
        <f>IFERROR(IF($B124="","",IF(INDEX(직원명부!$C$5:$C$24,MATCH($B124,직원명부!$A$5:$A$24,0))=0,"",INDEX(직원명부!$C$5:$C$24,MATCH($B124,직원명부!$A$5:$A$24,0)))),"")</f>
        <v/>
      </c>
      <c r="F124" s="44">
        <f>IFERROR(IF($B124="","",IF(INDEX(근로자명부!$G$5:$G$24,MATCH($B124,근로자명부!$A$5:$A$24,0))=0,"",INDEX(근로자명부!$G$5:$G$24,MATCH($B124,근로자명부!$A$5:$A$24,0)))),"")</f>
        <v/>
      </c>
      <c r="G124" s="30">
        <f>IF(OR($A124="",$B124=""),"",COUNTIFS(근태기록!$C$5:$C$2004,$B124,근태기록!$A$5:$A$2004,"&gt;="&amp;$A124,근태기록!$A$5:$A$2004,"&lt;="&amp;EOMONTH($A124,0),근태기록!$H$5:$H$2004,"&gt;0"))</f>
        <v/>
      </c>
      <c r="H124" s="33">
        <f>IF(OR($A124="",$B124=""),"",SUMIFS(근태기록!$H$5:$H$2004,근태기록!$C$5:$C$2004,$B124,근태기록!$A$5:$A$2004,"&gt;="&amp;$A124,근태기록!$A$5:$A$2004,"&lt;="&amp;EOMONTH($A124,0)))</f>
        <v/>
      </c>
      <c r="I124" s="33">
        <f>IF(OR($A124="",$B124=""),"",SUMIFS(근태기록!$I$5:$I$2004,근태기록!$C$5:$C$2004,$B124,근태기록!$A$5:$A$2004,"&gt;="&amp;$A124,근태기록!$A$5:$A$2004,"&lt;="&amp;EOMONTH($A124,0)))</f>
        <v/>
      </c>
      <c r="J124" s="33">
        <f>IF(OR($A124="",$B124=""),"",SUMIFS(근태기록!$J$5:$J$2004,근태기록!$C$5:$C$2004,$B124,근태기록!$A$5:$A$2004,"&gt;="&amp;$A124,근태기록!$A$5:$A$2004,"&lt;="&amp;EOMONTH($A124,0)))</f>
        <v/>
      </c>
      <c r="K124" s="33">
        <f>IF(OR($A124="",$B124=""),"",SUMIFS(근태기록!$H$5:$H$2004,근태기록!$C$5:$C$2004,$B124,근태기록!$A$5:$A$2004,"&gt;="&amp;$A124,근태기록!$A$5:$A$2004,"&lt;="&amp;EOMONTH($A124,0),근태기록!$L$5:$L$2004,"휴일근로"))</f>
        <v/>
      </c>
      <c r="L124" s="20" t="n"/>
      <c r="M124" s="20" t="n"/>
      <c r="N124" s="20" t="n"/>
      <c r="O124" s="20" t="n"/>
      <c r="P124" s="15">
        <f>IF(OR($A124="",$B124=""),"",SUM(L124:O124))</f>
        <v/>
      </c>
      <c r="Q124" s="20" t="n"/>
      <c r="R124" s="20" t="n"/>
      <c r="S124" s="20" t="n"/>
      <c r="T124" s="20" t="n"/>
      <c r="U124" s="20" t="n"/>
      <c r="V124" s="20" t="n"/>
      <c r="W124" s="15">
        <f>IF(OR($A124="",$B124=""),"",SUM(Q124:V124))</f>
        <v/>
      </c>
      <c r="X124" s="15">
        <f>IF(OR($A124="",$B124=""),"",N(P124)-N(W124))</f>
        <v/>
      </c>
    </row>
    <row r="125">
      <c r="A125" s="43" t="n"/>
      <c r="B125" s="18" t="n"/>
      <c r="C125" s="25">
        <f>IFERROR(IF($B125="","",IF(INDEX(직원명부!$B$5:$B$24,MATCH($B125,직원명부!$A$5:$A$24,0))=0,"",INDEX(직원명부!$B$5:$B$24,MATCH($B125,직원명부!$A$5:$A$24,0)))),"사번 확인")</f>
        <v/>
      </c>
      <c r="D125" s="26">
        <f>IFERROR(IF($B125="","",IF(INDEX(근로자명부!$D$5:$D$24,MATCH($B125,근로자명부!$A$5:$A$24,0))=0,"",INDEX(근로자명부!$D$5:$D$24,MATCH($B125,근로자명부!$A$5:$A$24,0)))),"")</f>
        <v/>
      </c>
      <c r="E125" s="26">
        <f>IFERROR(IF($B125="","",IF(INDEX(직원명부!$C$5:$C$24,MATCH($B125,직원명부!$A$5:$A$24,0))=0,"",INDEX(직원명부!$C$5:$C$24,MATCH($B125,직원명부!$A$5:$A$24,0)))),"")</f>
        <v/>
      </c>
      <c r="F125" s="44">
        <f>IFERROR(IF($B125="","",IF(INDEX(근로자명부!$G$5:$G$24,MATCH($B125,근로자명부!$A$5:$A$24,0))=0,"",INDEX(근로자명부!$G$5:$G$24,MATCH($B125,근로자명부!$A$5:$A$24,0)))),"")</f>
        <v/>
      </c>
      <c r="G125" s="30">
        <f>IF(OR($A125="",$B125=""),"",COUNTIFS(근태기록!$C$5:$C$2004,$B125,근태기록!$A$5:$A$2004,"&gt;="&amp;$A125,근태기록!$A$5:$A$2004,"&lt;="&amp;EOMONTH($A125,0),근태기록!$H$5:$H$2004,"&gt;0"))</f>
        <v/>
      </c>
      <c r="H125" s="33">
        <f>IF(OR($A125="",$B125=""),"",SUMIFS(근태기록!$H$5:$H$2004,근태기록!$C$5:$C$2004,$B125,근태기록!$A$5:$A$2004,"&gt;="&amp;$A125,근태기록!$A$5:$A$2004,"&lt;="&amp;EOMONTH($A125,0)))</f>
        <v/>
      </c>
      <c r="I125" s="33">
        <f>IF(OR($A125="",$B125=""),"",SUMIFS(근태기록!$I$5:$I$2004,근태기록!$C$5:$C$2004,$B125,근태기록!$A$5:$A$2004,"&gt;="&amp;$A125,근태기록!$A$5:$A$2004,"&lt;="&amp;EOMONTH($A125,0)))</f>
        <v/>
      </c>
      <c r="J125" s="33">
        <f>IF(OR($A125="",$B125=""),"",SUMIFS(근태기록!$J$5:$J$2004,근태기록!$C$5:$C$2004,$B125,근태기록!$A$5:$A$2004,"&gt;="&amp;$A125,근태기록!$A$5:$A$2004,"&lt;="&amp;EOMONTH($A125,0)))</f>
        <v/>
      </c>
      <c r="K125" s="33">
        <f>IF(OR($A125="",$B125=""),"",SUMIFS(근태기록!$H$5:$H$2004,근태기록!$C$5:$C$2004,$B125,근태기록!$A$5:$A$2004,"&gt;="&amp;$A125,근태기록!$A$5:$A$2004,"&lt;="&amp;EOMONTH($A125,0),근태기록!$L$5:$L$2004,"휴일근로"))</f>
        <v/>
      </c>
      <c r="L125" s="20" t="n"/>
      <c r="M125" s="20" t="n"/>
      <c r="N125" s="20" t="n"/>
      <c r="O125" s="20" t="n"/>
      <c r="P125" s="15">
        <f>IF(OR($A125="",$B125=""),"",SUM(L125:O125))</f>
        <v/>
      </c>
      <c r="Q125" s="20" t="n"/>
      <c r="R125" s="20" t="n"/>
      <c r="S125" s="20" t="n"/>
      <c r="T125" s="20" t="n"/>
      <c r="U125" s="20" t="n"/>
      <c r="V125" s="20" t="n"/>
      <c r="W125" s="15">
        <f>IF(OR($A125="",$B125=""),"",SUM(Q125:V125))</f>
        <v/>
      </c>
      <c r="X125" s="15">
        <f>IF(OR($A125="",$B125=""),"",N(P125)-N(W125))</f>
        <v/>
      </c>
    </row>
    <row r="126">
      <c r="A126" s="43" t="n"/>
      <c r="B126" s="18" t="n"/>
      <c r="C126" s="25">
        <f>IFERROR(IF($B126="","",IF(INDEX(직원명부!$B$5:$B$24,MATCH($B126,직원명부!$A$5:$A$24,0))=0,"",INDEX(직원명부!$B$5:$B$24,MATCH($B126,직원명부!$A$5:$A$24,0)))),"사번 확인")</f>
        <v/>
      </c>
      <c r="D126" s="26">
        <f>IFERROR(IF($B126="","",IF(INDEX(근로자명부!$D$5:$D$24,MATCH($B126,근로자명부!$A$5:$A$24,0))=0,"",INDEX(근로자명부!$D$5:$D$24,MATCH($B126,근로자명부!$A$5:$A$24,0)))),"")</f>
        <v/>
      </c>
      <c r="E126" s="26">
        <f>IFERROR(IF($B126="","",IF(INDEX(직원명부!$C$5:$C$24,MATCH($B126,직원명부!$A$5:$A$24,0))=0,"",INDEX(직원명부!$C$5:$C$24,MATCH($B126,직원명부!$A$5:$A$24,0)))),"")</f>
        <v/>
      </c>
      <c r="F126" s="44">
        <f>IFERROR(IF($B126="","",IF(INDEX(근로자명부!$G$5:$G$24,MATCH($B126,근로자명부!$A$5:$A$24,0))=0,"",INDEX(근로자명부!$G$5:$G$24,MATCH($B126,근로자명부!$A$5:$A$24,0)))),"")</f>
        <v/>
      </c>
      <c r="G126" s="30">
        <f>IF(OR($A126="",$B126=""),"",COUNTIFS(근태기록!$C$5:$C$2004,$B126,근태기록!$A$5:$A$2004,"&gt;="&amp;$A126,근태기록!$A$5:$A$2004,"&lt;="&amp;EOMONTH($A126,0),근태기록!$H$5:$H$2004,"&gt;0"))</f>
        <v/>
      </c>
      <c r="H126" s="33">
        <f>IF(OR($A126="",$B126=""),"",SUMIFS(근태기록!$H$5:$H$2004,근태기록!$C$5:$C$2004,$B126,근태기록!$A$5:$A$2004,"&gt;="&amp;$A126,근태기록!$A$5:$A$2004,"&lt;="&amp;EOMONTH($A126,0)))</f>
        <v/>
      </c>
      <c r="I126" s="33">
        <f>IF(OR($A126="",$B126=""),"",SUMIFS(근태기록!$I$5:$I$2004,근태기록!$C$5:$C$2004,$B126,근태기록!$A$5:$A$2004,"&gt;="&amp;$A126,근태기록!$A$5:$A$2004,"&lt;="&amp;EOMONTH($A126,0)))</f>
        <v/>
      </c>
      <c r="J126" s="33">
        <f>IF(OR($A126="",$B126=""),"",SUMIFS(근태기록!$J$5:$J$2004,근태기록!$C$5:$C$2004,$B126,근태기록!$A$5:$A$2004,"&gt;="&amp;$A126,근태기록!$A$5:$A$2004,"&lt;="&amp;EOMONTH($A126,0)))</f>
        <v/>
      </c>
      <c r="K126" s="33">
        <f>IF(OR($A126="",$B126=""),"",SUMIFS(근태기록!$H$5:$H$2004,근태기록!$C$5:$C$2004,$B126,근태기록!$A$5:$A$2004,"&gt;="&amp;$A126,근태기록!$A$5:$A$2004,"&lt;="&amp;EOMONTH($A126,0),근태기록!$L$5:$L$2004,"휴일근로"))</f>
        <v/>
      </c>
      <c r="L126" s="20" t="n"/>
      <c r="M126" s="20" t="n"/>
      <c r="N126" s="20" t="n"/>
      <c r="O126" s="20" t="n"/>
      <c r="P126" s="15">
        <f>IF(OR($A126="",$B126=""),"",SUM(L126:O126))</f>
        <v/>
      </c>
      <c r="Q126" s="20" t="n"/>
      <c r="R126" s="20" t="n"/>
      <c r="S126" s="20" t="n"/>
      <c r="T126" s="20" t="n"/>
      <c r="U126" s="20" t="n"/>
      <c r="V126" s="20" t="n"/>
      <c r="W126" s="15">
        <f>IF(OR($A126="",$B126=""),"",SUM(Q126:V126))</f>
        <v/>
      </c>
      <c r="X126" s="15">
        <f>IF(OR($A126="",$B126=""),"",N(P126)-N(W126))</f>
        <v/>
      </c>
    </row>
    <row r="127">
      <c r="A127" s="43" t="n"/>
      <c r="B127" s="18" t="n"/>
      <c r="C127" s="25">
        <f>IFERROR(IF($B127="","",IF(INDEX(직원명부!$B$5:$B$24,MATCH($B127,직원명부!$A$5:$A$24,0))=0,"",INDEX(직원명부!$B$5:$B$24,MATCH($B127,직원명부!$A$5:$A$24,0)))),"사번 확인")</f>
        <v/>
      </c>
      <c r="D127" s="26">
        <f>IFERROR(IF($B127="","",IF(INDEX(근로자명부!$D$5:$D$24,MATCH($B127,근로자명부!$A$5:$A$24,0))=0,"",INDEX(근로자명부!$D$5:$D$24,MATCH($B127,근로자명부!$A$5:$A$24,0)))),"")</f>
        <v/>
      </c>
      <c r="E127" s="26">
        <f>IFERROR(IF($B127="","",IF(INDEX(직원명부!$C$5:$C$24,MATCH($B127,직원명부!$A$5:$A$24,0))=0,"",INDEX(직원명부!$C$5:$C$24,MATCH($B127,직원명부!$A$5:$A$24,0)))),"")</f>
        <v/>
      </c>
      <c r="F127" s="44">
        <f>IFERROR(IF($B127="","",IF(INDEX(근로자명부!$G$5:$G$24,MATCH($B127,근로자명부!$A$5:$A$24,0))=0,"",INDEX(근로자명부!$G$5:$G$24,MATCH($B127,근로자명부!$A$5:$A$24,0)))),"")</f>
        <v/>
      </c>
      <c r="G127" s="30">
        <f>IF(OR($A127="",$B127=""),"",COUNTIFS(근태기록!$C$5:$C$2004,$B127,근태기록!$A$5:$A$2004,"&gt;="&amp;$A127,근태기록!$A$5:$A$2004,"&lt;="&amp;EOMONTH($A127,0),근태기록!$H$5:$H$2004,"&gt;0"))</f>
        <v/>
      </c>
      <c r="H127" s="33">
        <f>IF(OR($A127="",$B127=""),"",SUMIFS(근태기록!$H$5:$H$2004,근태기록!$C$5:$C$2004,$B127,근태기록!$A$5:$A$2004,"&gt;="&amp;$A127,근태기록!$A$5:$A$2004,"&lt;="&amp;EOMONTH($A127,0)))</f>
        <v/>
      </c>
      <c r="I127" s="33">
        <f>IF(OR($A127="",$B127=""),"",SUMIFS(근태기록!$I$5:$I$2004,근태기록!$C$5:$C$2004,$B127,근태기록!$A$5:$A$2004,"&gt;="&amp;$A127,근태기록!$A$5:$A$2004,"&lt;="&amp;EOMONTH($A127,0)))</f>
        <v/>
      </c>
      <c r="J127" s="33">
        <f>IF(OR($A127="",$B127=""),"",SUMIFS(근태기록!$J$5:$J$2004,근태기록!$C$5:$C$2004,$B127,근태기록!$A$5:$A$2004,"&gt;="&amp;$A127,근태기록!$A$5:$A$2004,"&lt;="&amp;EOMONTH($A127,0)))</f>
        <v/>
      </c>
      <c r="K127" s="33">
        <f>IF(OR($A127="",$B127=""),"",SUMIFS(근태기록!$H$5:$H$2004,근태기록!$C$5:$C$2004,$B127,근태기록!$A$5:$A$2004,"&gt;="&amp;$A127,근태기록!$A$5:$A$2004,"&lt;="&amp;EOMONTH($A127,0),근태기록!$L$5:$L$2004,"휴일근로"))</f>
        <v/>
      </c>
      <c r="L127" s="20" t="n"/>
      <c r="M127" s="20" t="n"/>
      <c r="N127" s="20" t="n"/>
      <c r="O127" s="20" t="n"/>
      <c r="P127" s="15">
        <f>IF(OR($A127="",$B127=""),"",SUM(L127:O127))</f>
        <v/>
      </c>
      <c r="Q127" s="20" t="n"/>
      <c r="R127" s="20" t="n"/>
      <c r="S127" s="20" t="n"/>
      <c r="T127" s="20" t="n"/>
      <c r="U127" s="20" t="n"/>
      <c r="V127" s="20" t="n"/>
      <c r="W127" s="15">
        <f>IF(OR($A127="",$B127=""),"",SUM(Q127:V127))</f>
        <v/>
      </c>
      <c r="X127" s="15">
        <f>IF(OR($A127="",$B127=""),"",N(P127)-N(W127))</f>
        <v/>
      </c>
    </row>
    <row r="128">
      <c r="A128" s="43" t="n"/>
      <c r="B128" s="18" t="n"/>
      <c r="C128" s="25">
        <f>IFERROR(IF($B128="","",IF(INDEX(직원명부!$B$5:$B$24,MATCH($B128,직원명부!$A$5:$A$24,0))=0,"",INDEX(직원명부!$B$5:$B$24,MATCH($B128,직원명부!$A$5:$A$24,0)))),"사번 확인")</f>
        <v/>
      </c>
      <c r="D128" s="26">
        <f>IFERROR(IF($B128="","",IF(INDEX(근로자명부!$D$5:$D$24,MATCH($B128,근로자명부!$A$5:$A$24,0))=0,"",INDEX(근로자명부!$D$5:$D$24,MATCH($B128,근로자명부!$A$5:$A$24,0)))),"")</f>
        <v/>
      </c>
      <c r="E128" s="26">
        <f>IFERROR(IF($B128="","",IF(INDEX(직원명부!$C$5:$C$24,MATCH($B128,직원명부!$A$5:$A$24,0))=0,"",INDEX(직원명부!$C$5:$C$24,MATCH($B128,직원명부!$A$5:$A$24,0)))),"")</f>
        <v/>
      </c>
      <c r="F128" s="44">
        <f>IFERROR(IF($B128="","",IF(INDEX(근로자명부!$G$5:$G$24,MATCH($B128,근로자명부!$A$5:$A$24,0))=0,"",INDEX(근로자명부!$G$5:$G$24,MATCH($B128,근로자명부!$A$5:$A$24,0)))),"")</f>
        <v/>
      </c>
      <c r="G128" s="30">
        <f>IF(OR($A128="",$B128=""),"",COUNTIFS(근태기록!$C$5:$C$2004,$B128,근태기록!$A$5:$A$2004,"&gt;="&amp;$A128,근태기록!$A$5:$A$2004,"&lt;="&amp;EOMONTH($A128,0),근태기록!$H$5:$H$2004,"&gt;0"))</f>
        <v/>
      </c>
      <c r="H128" s="33">
        <f>IF(OR($A128="",$B128=""),"",SUMIFS(근태기록!$H$5:$H$2004,근태기록!$C$5:$C$2004,$B128,근태기록!$A$5:$A$2004,"&gt;="&amp;$A128,근태기록!$A$5:$A$2004,"&lt;="&amp;EOMONTH($A128,0)))</f>
        <v/>
      </c>
      <c r="I128" s="33">
        <f>IF(OR($A128="",$B128=""),"",SUMIFS(근태기록!$I$5:$I$2004,근태기록!$C$5:$C$2004,$B128,근태기록!$A$5:$A$2004,"&gt;="&amp;$A128,근태기록!$A$5:$A$2004,"&lt;="&amp;EOMONTH($A128,0)))</f>
        <v/>
      </c>
      <c r="J128" s="33">
        <f>IF(OR($A128="",$B128=""),"",SUMIFS(근태기록!$J$5:$J$2004,근태기록!$C$5:$C$2004,$B128,근태기록!$A$5:$A$2004,"&gt;="&amp;$A128,근태기록!$A$5:$A$2004,"&lt;="&amp;EOMONTH($A128,0)))</f>
        <v/>
      </c>
      <c r="K128" s="33">
        <f>IF(OR($A128="",$B128=""),"",SUMIFS(근태기록!$H$5:$H$2004,근태기록!$C$5:$C$2004,$B128,근태기록!$A$5:$A$2004,"&gt;="&amp;$A128,근태기록!$A$5:$A$2004,"&lt;="&amp;EOMONTH($A128,0),근태기록!$L$5:$L$2004,"휴일근로"))</f>
        <v/>
      </c>
      <c r="L128" s="20" t="n"/>
      <c r="M128" s="20" t="n"/>
      <c r="N128" s="20" t="n"/>
      <c r="O128" s="20" t="n"/>
      <c r="P128" s="15">
        <f>IF(OR($A128="",$B128=""),"",SUM(L128:O128))</f>
        <v/>
      </c>
      <c r="Q128" s="20" t="n"/>
      <c r="R128" s="20" t="n"/>
      <c r="S128" s="20" t="n"/>
      <c r="T128" s="20" t="n"/>
      <c r="U128" s="20" t="n"/>
      <c r="V128" s="20" t="n"/>
      <c r="W128" s="15">
        <f>IF(OR($A128="",$B128=""),"",SUM(Q128:V128))</f>
        <v/>
      </c>
      <c r="X128" s="15">
        <f>IF(OR($A128="",$B128=""),"",N(P128)-N(W128))</f>
        <v/>
      </c>
    </row>
    <row r="129">
      <c r="A129" s="43" t="n"/>
      <c r="B129" s="18" t="n"/>
      <c r="C129" s="25">
        <f>IFERROR(IF($B129="","",IF(INDEX(직원명부!$B$5:$B$24,MATCH($B129,직원명부!$A$5:$A$24,0))=0,"",INDEX(직원명부!$B$5:$B$24,MATCH($B129,직원명부!$A$5:$A$24,0)))),"사번 확인")</f>
        <v/>
      </c>
      <c r="D129" s="26">
        <f>IFERROR(IF($B129="","",IF(INDEX(근로자명부!$D$5:$D$24,MATCH($B129,근로자명부!$A$5:$A$24,0))=0,"",INDEX(근로자명부!$D$5:$D$24,MATCH($B129,근로자명부!$A$5:$A$24,0)))),"")</f>
        <v/>
      </c>
      <c r="E129" s="26">
        <f>IFERROR(IF($B129="","",IF(INDEX(직원명부!$C$5:$C$24,MATCH($B129,직원명부!$A$5:$A$24,0))=0,"",INDEX(직원명부!$C$5:$C$24,MATCH($B129,직원명부!$A$5:$A$24,0)))),"")</f>
        <v/>
      </c>
      <c r="F129" s="44">
        <f>IFERROR(IF($B129="","",IF(INDEX(근로자명부!$G$5:$G$24,MATCH($B129,근로자명부!$A$5:$A$24,0))=0,"",INDEX(근로자명부!$G$5:$G$24,MATCH($B129,근로자명부!$A$5:$A$24,0)))),"")</f>
        <v/>
      </c>
      <c r="G129" s="30">
        <f>IF(OR($A129="",$B129=""),"",COUNTIFS(근태기록!$C$5:$C$2004,$B129,근태기록!$A$5:$A$2004,"&gt;="&amp;$A129,근태기록!$A$5:$A$2004,"&lt;="&amp;EOMONTH($A129,0),근태기록!$H$5:$H$2004,"&gt;0"))</f>
        <v/>
      </c>
      <c r="H129" s="33">
        <f>IF(OR($A129="",$B129=""),"",SUMIFS(근태기록!$H$5:$H$2004,근태기록!$C$5:$C$2004,$B129,근태기록!$A$5:$A$2004,"&gt;="&amp;$A129,근태기록!$A$5:$A$2004,"&lt;="&amp;EOMONTH($A129,0)))</f>
        <v/>
      </c>
      <c r="I129" s="33">
        <f>IF(OR($A129="",$B129=""),"",SUMIFS(근태기록!$I$5:$I$2004,근태기록!$C$5:$C$2004,$B129,근태기록!$A$5:$A$2004,"&gt;="&amp;$A129,근태기록!$A$5:$A$2004,"&lt;="&amp;EOMONTH($A129,0)))</f>
        <v/>
      </c>
      <c r="J129" s="33">
        <f>IF(OR($A129="",$B129=""),"",SUMIFS(근태기록!$J$5:$J$2004,근태기록!$C$5:$C$2004,$B129,근태기록!$A$5:$A$2004,"&gt;="&amp;$A129,근태기록!$A$5:$A$2004,"&lt;="&amp;EOMONTH($A129,0)))</f>
        <v/>
      </c>
      <c r="K129" s="33">
        <f>IF(OR($A129="",$B129=""),"",SUMIFS(근태기록!$H$5:$H$2004,근태기록!$C$5:$C$2004,$B129,근태기록!$A$5:$A$2004,"&gt;="&amp;$A129,근태기록!$A$5:$A$2004,"&lt;="&amp;EOMONTH($A129,0),근태기록!$L$5:$L$2004,"휴일근로"))</f>
        <v/>
      </c>
      <c r="L129" s="20" t="n"/>
      <c r="M129" s="20" t="n"/>
      <c r="N129" s="20" t="n"/>
      <c r="O129" s="20" t="n"/>
      <c r="P129" s="15">
        <f>IF(OR($A129="",$B129=""),"",SUM(L129:O129))</f>
        <v/>
      </c>
      <c r="Q129" s="20" t="n"/>
      <c r="R129" s="20" t="n"/>
      <c r="S129" s="20" t="n"/>
      <c r="T129" s="20" t="n"/>
      <c r="U129" s="20" t="n"/>
      <c r="V129" s="20" t="n"/>
      <c r="W129" s="15">
        <f>IF(OR($A129="",$B129=""),"",SUM(Q129:V129))</f>
        <v/>
      </c>
      <c r="X129" s="15">
        <f>IF(OR($A129="",$B129=""),"",N(P129)-N(W129))</f>
        <v/>
      </c>
    </row>
    <row r="130">
      <c r="A130" s="43" t="n"/>
      <c r="B130" s="18" t="n"/>
      <c r="C130" s="25">
        <f>IFERROR(IF($B130="","",IF(INDEX(직원명부!$B$5:$B$24,MATCH($B130,직원명부!$A$5:$A$24,0))=0,"",INDEX(직원명부!$B$5:$B$24,MATCH($B130,직원명부!$A$5:$A$24,0)))),"사번 확인")</f>
        <v/>
      </c>
      <c r="D130" s="26">
        <f>IFERROR(IF($B130="","",IF(INDEX(근로자명부!$D$5:$D$24,MATCH($B130,근로자명부!$A$5:$A$24,0))=0,"",INDEX(근로자명부!$D$5:$D$24,MATCH($B130,근로자명부!$A$5:$A$24,0)))),"")</f>
        <v/>
      </c>
      <c r="E130" s="26">
        <f>IFERROR(IF($B130="","",IF(INDEX(직원명부!$C$5:$C$24,MATCH($B130,직원명부!$A$5:$A$24,0))=0,"",INDEX(직원명부!$C$5:$C$24,MATCH($B130,직원명부!$A$5:$A$24,0)))),"")</f>
        <v/>
      </c>
      <c r="F130" s="44">
        <f>IFERROR(IF($B130="","",IF(INDEX(근로자명부!$G$5:$G$24,MATCH($B130,근로자명부!$A$5:$A$24,0))=0,"",INDEX(근로자명부!$G$5:$G$24,MATCH($B130,근로자명부!$A$5:$A$24,0)))),"")</f>
        <v/>
      </c>
      <c r="G130" s="30">
        <f>IF(OR($A130="",$B130=""),"",COUNTIFS(근태기록!$C$5:$C$2004,$B130,근태기록!$A$5:$A$2004,"&gt;="&amp;$A130,근태기록!$A$5:$A$2004,"&lt;="&amp;EOMONTH($A130,0),근태기록!$H$5:$H$2004,"&gt;0"))</f>
        <v/>
      </c>
      <c r="H130" s="33">
        <f>IF(OR($A130="",$B130=""),"",SUMIFS(근태기록!$H$5:$H$2004,근태기록!$C$5:$C$2004,$B130,근태기록!$A$5:$A$2004,"&gt;="&amp;$A130,근태기록!$A$5:$A$2004,"&lt;="&amp;EOMONTH($A130,0)))</f>
        <v/>
      </c>
      <c r="I130" s="33">
        <f>IF(OR($A130="",$B130=""),"",SUMIFS(근태기록!$I$5:$I$2004,근태기록!$C$5:$C$2004,$B130,근태기록!$A$5:$A$2004,"&gt;="&amp;$A130,근태기록!$A$5:$A$2004,"&lt;="&amp;EOMONTH($A130,0)))</f>
        <v/>
      </c>
      <c r="J130" s="33">
        <f>IF(OR($A130="",$B130=""),"",SUMIFS(근태기록!$J$5:$J$2004,근태기록!$C$5:$C$2004,$B130,근태기록!$A$5:$A$2004,"&gt;="&amp;$A130,근태기록!$A$5:$A$2004,"&lt;="&amp;EOMONTH($A130,0)))</f>
        <v/>
      </c>
      <c r="K130" s="33">
        <f>IF(OR($A130="",$B130=""),"",SUMIFS(근태기록!$H$5:$H$2004,근태기록!$C$5:$C$2004,$B130,근태기록!$A$5:$A$2004,"&gt;="&amp;$A130,근태기록!$A$5:$A$2004,"&lt;="&amp;EOMONTH($A130,0),근태기록!$L$5:$L$2004,"휴일근로"))</f>
        <v/>
      </c>
      <c r="L130" s="20" t="n"/>
      <c r="M130" s="20" t="n"/>
      <c r="N130" s="20" t="n"/>
      <c r="O130" s="20" t="n"/>
      <c r="P130" s="15">
        <f>IF(OR($A130="",$B130=""),"",SUM(L130:O130))</f>
        <v/>
      </c>
      <c r="Q130" s="20" t="n"/>
      <c r="R130" s="20" t="n"/>
      <c r="S130" s="20" t="n"/>
      <c r="T130" s="20" t="n"/>
      <c r="U130" s="20" t="n"/>
      <c r="V130" s="20" t="n"/>
      <c r="W130" s="15">
        <f>IF(OR($A130="",$B130=""),"",SUM(Q130:V130))</f>
        <v/>
      </c>
      <c r="X130" s="15">
        <f>IF(OR($A130="",$B130=""),"",N(P130)-N(W130))</f>
        <v/>
      </c>
    </row>
    <row r="131">
      <c r="A131" s="43" t="n"/>
      <c r="B131" s="18" t="n"/>
      <c r="C131" s="25">
        <f>IFERROR(IF($B131="","",IF(INDEX(직원명부!$B$5:$B$24,MATCH($B131,직원명부!$A$5:$A$24,0))=0,"",INDEX(직원명부!$B$5:$B$24,MATCH($B131,직원명부!$A$5:$A$24,0)))),"사번 확인")</f>
        <v/>
      </c>
      <c r="D131" s="26">
        <f>IFERROR(IF($B131="","",IF(INDEX(근로자명부!$D$5:$D$24,MATCH($B131,근로자명부!$A$5:$A$24,0))=0,"",INDEX(근로자명부!$D$5:$D$24,MATCH($B131,근로자명부!$A$5:$A$24,0)))),"")</f>
        <v/>
      </c>
      <c r="E131" s="26">
        <f>IFERROR(IF($B131="","",IF(INDEX(직원명부!$C$5:$C$24,MATCH($B131,직원명부!$A$5:$A$24,0))=0,"",INDEX(직원명부!$C$5:$C$24,MATCH($B131,직원명부!$A$5:$A$24,0)))),"")</f>
        <v/>
      </c>
      <c r="F131" s="44">
        <f>IFERROR(IF($B131="","",IF(INDEX(근로자명부!$G$5:$G$24,MATCH($B131,근로자명부!$A$5:$A$24,0))=0,"",INDEX(근로자명부!$G$5:$G$24,MATCH($B131,근로자명부!$A$5:$A$24,0)))),"")</f>
        <v/>
      </c>
      <c r="G131" s="30">
        <f>IF(OR($A131="",$B131=""),"",COUNTIFS(근태기록!$C$5:$C$2004,$B131,근태기록!$A$5:$A$2004,"&gt;="&amp;$A131,근태기록!$A$5:$A$2004,"&lt;="&amp;EOMONTH($A131,0),근태기록!$H$5:$H$2004,"&gt;0"))</f>
        <v/>
      </c>
      <c r="H131" s="33">
        <f>IF(OR($A131="",$B131=""),"",SUMIFS(근태기록!$H$5:$H$2004,근태기록!$C$5:$C$2004,$B131,근태기록!$A$5:$A$2004,"&gt;="&amp;$A131,근태기록!$A$5:$A$2004,"&lt;="&amp;EOMONTH($A131,0)))</f>
        <v/>
      </c>
      <c r="I131" s="33">
        <f>IF(OR($A131="",$B131=""),"",SUMIFS(근태기록!$I$5:$I$2004,근태기록!$C$5:$C$2004,$B131,근태기록!$A$5:$A$2004,"&gt;="&amp;$A131,근태기록!$A$5:$A$2004,"&lt;="&amp;EOMONTH($A131,0)))</f>
        <v/>
      </c>
      <c r="J131" s="33">
        <f>IF(OR($A131="",$B131=""),"",SUMIFS(근태기록!$J$5:$J$2004,근태기록!$C$5:$C$2004,$B131,근태기록!$A$5:$A$2004,"&gt;="&amp;$A131,근태기록!$A$5:$A$2004,"&lt;="&amp;EOMONTH($A131,0)))</f>
        <v/>
      </c>
      <c r="K131" s="33">
        <f>IF(OR($A131="",$B131=""),"",SUMIFS(근태기록!$H$5:$H$2004,근태기록!$C$5:$C$2004,$B131,근태기록!$A$5:$A$2004,"&gt;="&amp;$A131,근태기록!$A$5:$A$2004,"&lt;="&amp;EOMONTH($A131,0),근태기록!$L$5:$L$2004,"휴일근로"))</f>
        <v/>
      </c>
      <c r="L131" s="20" t="n"/>
      <c r="M131" s="20" t="n"/>
      <c r="N131" s="20" t="n"/>
      <c r="O131" s="20" t="n"/>
      <c r="P131" s="15">
        <f>IF(OR($A131="",$B131=""),"",SUM(L131:O131))</f>
        <v/>
      </c>
      <c r="Q131" s="20" t="n"/>
      <c r="R131" s="20" t="n"/>
      <c r="S131" s="20" t="n"/>
      <c r="T131" s="20" t="n"/>
      <c r="U131" s="20" t="n"/>
      <c r="V131" s="20" t="n"/>
      <c r="W131" s="15">
        <f>IF(OR($A131="",$B131=""),"",SUM(Q131:V131))</f>
        <v/>
      </c>
      <c r="X131" s="15">
        <f>IF(OR($A131="",$B131=""),"",N(P131)-N(W131))</f>
        <v/>
      </c>
    </row>
    <row r="132">
      <c r="A132" s="43" t="n"/>
      <c r="B132" s="18" t="n"/>
      <c r="C132" s="25">
        <f>IFERROR(IF($B132="","",IF(INDEX(직원명부!$B$5:$B$24,MATCH($B132,직원명부!$A$5:$A$24,0))=0,"",INDEX(직원명부!$B$5:$B$24,MATCH($B132,직원명부!$A$5:$A$24,0)))),"사번 확인")</f>
        <v/>
      </c>
      <c r="D132" s="26">
        <f>IFERROR(IF($B132="","",IF(INDEX(근로자명부!$D$5:$D$24,MATCH($B132,근로자명부!$A$5:$A$24,0))=0,"",INDEX(근로자명부!$D$5:$D$24,MATCH($B132,근로자명부!$A$5:$A$24,0)))),"")</f>
        <v/>
      </c>
      <c r="E132" s="26">
        <f>IFERROR(IF($B132="","",IF(INDEX(직원명부!$C$5:$C$24,MATCH($B132,직원명부!$A$5:$A$24,0))=0,"",INDEX(직원명부!$C$5:$C$24,MATCH($B132,직원명부!$A$5:$A$24,0)))),"")</f>
        <v/>
      </c>
      <c r="F132" s="44">
        <f>IFERROR(IF($B132="","",IF(INDEX(근로자명부!$G$5:$G$24,MATCH($B132,근로자명부!$A$5:$A$24,0))=0,"",INDEX(근로자명부!$G$5:$G$24,MATCH($B132,근로자명부!$A$5:$A$24,0)))),"")</f>
        <v/>
      </c>
      <c r="G132" s="30">
        <f>IF(OR($A132="",$B132=""),"",COUNTIFS(근태기록!$C$5:$C$2004,$B132,근태기록!$A$5:$A$2004,"&gt;="&amp;$A132,근태기록!$A$5:$A$2004,"&lt;="&amp;EOMONTH($A132,0),근태기록!$H$5:$H$2004,"&gt;0"))</f>
        <v/>
      </c>
      <c r="H132" s="33">
        <f>IF(OR($A132="",$B132=""),"",SUMIFS(근태기록!$H$5:$H$2004,근태기록!$C$5:$C$2004,$B132,근태기록!$A$5:$A$2004,"&gt;="&amp;$A132,근태기록!$A$5:$A$2004,"&lt;="&amp;EOMONTH($A132,0)))</f>
        <v/>
      </c>
      <c r="I132" s="33">
        <f>IF(OR($A132="",$B132=""),"",SUMIFS(근태기록!$I$5:$I$2004,근태기록!$C$5:$C$2004,$B132,근태기록!$A$5:$A$2004,"&gt;="&amp;$A132,근태기록!$A$5:$A$2004,"&lt;="&amp;EOMONTH($A132,0)))</f>
        <v/>
      </c>
      <c r="J132" s="33">
        <f>IF(OR($A132="",$B132=""),"",SUMIFS(근태기록!$J$5:$J$2004,근태기록!$C$5:$C$2004,$B132,근태기록!$A$5:$A$2004,"&gt;="&amp;$A132,근태기록!$A$5:$A$2004,"&lt;="&amp;EOMONTH($A132,0)))</f>
        <v/>
      </c>
      <c r="K132" s="33">
        <f>IF(OR($A132="",$B132=""),"",SUMIFS(근태기록!$H$5:$H$2004,근태기록!$C$5:$C$2004,$B132,근태기록!$A$5:$A$2004,"&gt;="&amp;$A132,근태기록!$A$5:$A$2004,"&lt;="&amp;EOMONTH($A132,0),근태기록!$L$5:$L$2004,"휴일근로"))</f>
        <v/>
      </c>
      <c r="L132" s="20" t="n"/>
      <c r="M132" s="20" t="n"/>
      <c r="N132" s="20" t="n"/>
      <c r="O132" s="20" t="n"/>
      <c r="P132" s="15">
        <f>IF(OR($A132="",$B132=""),"",SUM(L132:O132))</f>
        <v/>
      </c>
      <c r="Q132" s="20" t="n"/>
      <c r="R132" s="20" t="n"/>
      <c r="S132" s="20" t="n"/>
      <c r="T132" s="20" t="n"/>
      <c r="U132" s="20" t="n"/>
      <c r="V132" s="20" t="n"/>
      <c r="W132" s="15">
        <f>IF(OR($A132="",$B132=""),"",SUM(Q132:V132))</f>
        <v/>
      </c>
      <c r="X132" s="15">
        <f>IF(OR($A132="",$B132=""),"",N(P132)-N(W132))</f>
        <v/>
      </c>
    </row>
    <row r="133">
      <c r="A133" s="43" t="n"/>
      <c r="B133" s="18" t="n"/>
      <c r="C133" s="25">
        <f>IFERROR(IF($B133="","",IF(INDEX(직원명부!$B$5:$B$24,MATCH($B133,직원명부!$A$5:$A$24,0))=0,"",INDEX(직원명부!$B$5:$B$24,MATCH($B133,직원명부!$A$5:$A$24,0)))),"사번 확인")</f>
        <v/>
      </c>
      <c r="D133" s="26">
        <f>IFERROR(IF($B133="","",IF(INDEX(근로자명부!$D$5:$D$24,MATCH($B133,근로자명부!$A$5:$A$24,0))=0,"",INDEX(근로자명부!$D$5:$D$24,MATCH($B133,근로자명부!$A$5:$A$24,0)))),"")</f>
        <v/>
      </c>
      <c r="E133" s="26">
        <f>IFERROR(IF($B133="","",IF(INDEX(직원명부!$C$5:$C$24,MATCH($B133,직원명부!$A$5:$A$24,0))=0,"",INDEX(직원명부!$C$5:$C$24,MATCH($B133,직원명부!$A$5:$A$24,0)))),"")</f>
        <v/>
      </c>
      <c r="F133" s="44">
        <f>IFERROR(IF($B133="","",IF(INDEX(근로자명부!$G$5:$G$24,MATCH($B133,근로자명부!$A$5:$A$24,0))=0,"",INDEX(근로자명부!$G$5:$G$24,MATCH($B133,근로자명부!$A$5:$A$24,0)))),"")</f>
        <v/>
      </c>
      <c r="G133" s="30">
        <f>IF(OR($A133="",$B133=""),"",COUNTIFS(근태기록!$C$5:$C$2004,$B133,근태기록!$A$5:$A$2004,"&gt;="&amp;$A133,근태기록!$A$5:$A$2004,"&lt;="&amp;EOMONTH($A133,0),근태기록!$H$5:$H$2004,"&gt;0"))</f>
        <v/>
      </c>
      <c r="H133" s="33">
        <f>IF(OR($A133="",$B133=""),"",SUMIFS(근태기록!$H$5:$H$2004,근태기록!$C$5:$C$2004,$B133,근태기록!$A$5:$A$2004,"&gt;="&amp;$A133,근태기록!$A$5:$A$2004,"&lt;="&amp;EOMONTH($A133,0)))</f>
        <v/>
      </c>
      <c r="I133" s="33">
        <f>IF(OR($A133="",$B133=""),"",SUMIFS(근태기록!$I$5:$I$2004,근태기록!$C$5:$C$2004,$B133,근태기록!$A$5:$A$2004,"&gt;="&amp;$A133,근태기록!$A$5:$A$2004,"&lt;="&amp;EOMONTH($A133,0)))</f>
        <v/>
      </c>
      <c r="J133" s="33">
        <f>IF(OR($A133="",$B133=""),"",SUMIFS(근태기록!$J$5:$J$2004,근태기록!$C$5:$C$2004,$B133,근태기록!$A$5:$A$2004,"&gt;="&amp;$A133,근태기록!$A$5:$A$2004,"&lt;="&amp;EOMONTH($A133,0)))</f>
        <v/>
      </c>
      <c r="K133" s="33">
        <f>IF(OR($A133="",$B133=""),"",SUMIFS(근태기록!$H$5:$H$2004,근태기록!$C$5:$C$2004,$B133,근태기록!$A$5:$A$2004,"&gt;="&amp;$A133,근태기록!$A$5:$A$2004,"&lt;="&amp;EOMONTH($A133,0),근태기록!$L$5:$L$2004,"휴일근로"))</f>
        <v/>
      </c>
      <c r="L133" s="20" t="n"/>
      <c r="M133" s="20" t="n"/>
      <c r="N133" s="20" t="n"/>
      <c r="O133" s="20" t="n"/>
      <c r="P133" s="15">
        <f>IF(OR($A133="",$B133=""),"",SUM(L133:O133))</f>
        <v/>
      </c>
      <c r="Q133" s="20" t="n"/>
      <c r="R133" s="20" t="n"/>
      <c r="S133" s="20" t="n"/>
      <c r="T133" s="20" t="n"/>
      <c r="U133" s="20" t="n"/>
      <c r="V133" s="20" t="n"/>
      <c r="W133" s="15">
        <f>IF(OR($A133="",$B133=""),"",SUM(Q133:V133))</f>
        <v/>
      </c>
      <c r="X133" s="15">
        <f>IF(OR($A133="",$B133=""),"",N(P133)-N(W133))</f>
        <v/>
      </c>
    </row>
    <row r="134">
      <c r="A134" s="43" t="n"/>
      <c r="B134" s="18" t="n"/>
      <c r="C134" s="25">
        <f>IFERROR(IF($B134="","",IF(INDEX(직원명부!$B$5:$B$24,MATCH($B134,직원명부!$A$5:$A$24,0))=0,"",INDEX(직원명부!$B$5:$B$24,MATCH($B134,직원명부!$A$5:$A$24,0)))),"사번 확인")</f>
        <v/>
      </c>
      <c r="D134" s="26">
        <f>IFERROR(IF($B134="","",IF(INDEX(근로자명부!$D$5:$D$24,MATCH($B134,근로자명부!$A$5:$A$24,0))=0,"",INDEX(근로자명부!$D$5:$D$24,MATCH($B134,근로자명부!$A$5:$A$24,0)))),"")</f>
        <v/>
      </c>
      <c r="E134" s="26">
        <f>IFERROR(IF($B134="","",IF(INDEX(직원명부!$C$5:$C$24,MATCH($B134,직원명부!$A$5:$A$24,0))=0,"",INDEX(직원명부!$C$5:$C$24,MATCH($B134,직원명부!$A$5:$A$24,0)))),"")</f>
        <v/>
      </c>
      <c r="F134" s="44">
        <f>IFERROR(IF($B134="","",IF(INDEX(근로자명부!$G$5:$G$24,MATCH($B134,근로자명부!$A$5:$A$24,0))=0,"",INDEX(근로자명부!$G$5:$G$24,MATCH($B134,근로자명부!$A$5:$A$24,0)))),"")</f>
        <v/>
      </c>
      <c r="G134" s="30">
        <f>IF(OR($A134="",$B134=""),"",COUNTIFS(근태기록!$C$5:$C$2004,$B134,근태기록!$A$5:$A$2004,"&gt;="&amp;$A134,근태기록!$A$5:$A$2004,"&lt;="&amp;EOMONTH($A134,0),근태기록!$H$5:$H$2004,"&gt;0"))</f>
        <v/>
      </c>
      <c r="H134" s="33">
        <f>IF(OR($A134="",$B134=""),"",SUMIFS(근태기록!$H$5:$H$2004,근태기록!$C$5:$C$2004,$B134,근태기록!$A$5:$A$2004,"&gt;="&amp;$A134,근태기록!$A$5:$A$2004,"&lt;="&amp;EOMONTH($A134,0)))</f>
        <v/>
      </c>
      <c r="I134" s="33">
        <f>IF(OR($A134="",$B134=""),"",SUMIFS(근태기록!$I$5:$I$2004,근태기록!$C$5:$C$2004,$B134,근태기록!$A$5:$A$2004,"&gt;="&amp;$A134,근태기록!$A$5:$A$2004,"&lt;="&amp;EOMONTH($A134,0)))</f>
        <v/>
      </c>
      <c r="J134" s="33">
        <f>IF(OR($A134="",$B134=""),"",SUMIFS(근태기록!$J$5:$J$2004,근태기록!$C$5:$C$2004,$B134,근태기록!$A$5:$A$2004,"&gt;="&amp;$A134,근태기록!$A$5:$A$2004,"&lt;="&amp;EOMONTH($A134,0)))</f>
        <v/>
      </c>
      <c r="K134" s="33">
        <f>IF(OR($A134="",$B134=""),"",SUMIFS(근태기록!$H$5:$H$2004,근태기록!$C$5:$C$2004,$B134,근태기록!$A$5:$A$2004,"&gt;="&amp;$A134,근태기록!$A$5:$A$2004,"&lt;="&amp;EOMONTH($A134,0),근태기록!$L$5:$L$2004,"휴일근로"))</f>
        <v/>
      </c>
      <c r="L134" s="20" t="n"/>
      <c r="M134" s="20" t="n"/>
      <c r="N134" s="20" t="n"/>
      <c r="O134" s="20" t="n"/>
      <c r="P134" s="15">
        <f>IF(OR($A134="",$B134=""),"",SUM(L134:O134))</f>
        <v/>
      </c>
      <c r="Q134" s="20" t="n"/>
      <c r="R134" s="20" t="n"/>
      <c r="S134" s="20" t="n"/>
      <c r="T134" s="20" t="n"/>
      <c r="U134" s="20" t="n"/>
      <c r="V134" s="20" t="n"/>
      <c r="W134" s="15">
        <f>IF(OR($A134="",$B134=""),"",SUM(Q134:V134))</f>
        <v/>
      </c>
      <c r="X134" s="15">
        <f>IF(OR($A134="",$B134=""),"",N(P134)-N(W134))</f>
        <v/>
      </c>
    </row>
    <row r="135">
      <c r="A135" s="43" t="n"/>
      <c r="B135" s="18" t="n"/>
      <c r="C135" s="25">
        <f>IFERROR(IF($B135="","",IF(INDEX(직원명부!$B$5:$B$24,MATCH($B135,직원명부!$A$5:$A$24,0))=0,"",INDEX(직원명부!$B$5:$B$24,MATCH($B135,직원명부!$A$5:$A$24,0)))),"사번 확인")</f>
        <v/>
      </c>
      <c r="D135" s="26">
        <f>IFERROR(IF($B135="","",IF(INDEX(근로자명부!$D$5:$D$24,MATCH($B135,근로자명부!$A$5:$A$24,0))=0,"",INDEX(근로자명부!$D$5:$D$24,MATCH($B135,근로자명부!$A$5:$A$24,0)))),"")</f>
        <v/>
      </c>
      <c r="E135" s="26">
        <f>IFERROR(IF($B135="","",IF(INDEX(직원명부!$C$5:$C$24,MATCH($B135,직원명부!$A$5:$A$24,0))=0,"",INDEX(직원명부!$C$5:$C$24,MATCH($B135,직원명부!$A$5:$A$24,0)))),"")</f>
        <v/>
      </c>
      <c r="F135" s="44">
        <f>IFERROR(IF($B135="","",IF(INDEX(근로자명부!$G$5:$G$24,MATCH($B135,근로자명부!$A$5:$A$24,0))=0,"",INDEX(근로자명부!$G$5:$G$24,MATCH($B135,근로자명부!$A$5:$A$24,0)))),"")</f>
        <v/>
      </c>
      <c r="G135" s="30">
        <f>IF(OR($A135="",$B135=""),"",COUNTIFS(근태기록!$C$5:$C$2004,$B135,근태기록!$A$5:$A$2004,"&gt;="&amp;$A135,근태기록!$A$5:$A$2004,"&lt;="&amp;EOMONTH($A135,0),근태기록!$H$5:$H$2004,"&gt;0"))</f>
        <v/>
      </c>
      <c r="H135" s="33">
        <f>IF(OR($A135="",$B135=""),"",SUMIFS(근태기록!$H$5:$H$2004,근태기록!$C$5:$C$2004,$B135,근태기록!$A$5:$A$2004,"&gt;="&amp;$A135,근태기록!$A$5:$A$2004,"&lt;="&amp;EOMONTH($A135,0)))</f>
        <v/>
      </c>
      <c r="I135" s="33">
        <f>IF(OR($A135="",$B135=""),"",SUMIFS(근태기록!$I$5:$I$2004,근태기록!$C$5:$C$2004,$B135,근태기록!$A$5:$A$2004,"&gt;="&amp;$A135,근태기록!$A$5:$A$2004,"&lt;="&amp;EOMONTH($A135,0)))</f>
        <v/>
      </c>
      <c r="J135" s="33">
        <f>IF(OR($A135="",$B135=""),"",SUMIFS(근태기록!$J$5:$J$2004,근태기록!$C$5:$C$2004,$B135,근태기록!$A$5:$A$2004,"&gt;="&amp;$A135,근태기록!$A$5:$A$2004,"&lt;="&amp;EOMONTH($A135,0)))</f>
        <v/>
      </c>
      <c r="K135" s="33">
        <f>IF(OR($A135="",$B135=""),"",SUMIFS(근태기록!$H$5:$H$2004,근태기록!$C$5:$C$2004,$B135,근태기록!$A$5:$A$2004,"&gt;="&amp;$A135,근태기록!$A$5:$A$2004,"&lt;="&amp;EOMONTH($A135,0),근태기록!$L$5:$L$2004,"휴일근로"))</f>
        <v/>
      </c>
      <c r="L135" s="20" t="n"/>
      <c r="M135" s="20" t="n"/>
      <c r="N135" s="20" t="n"/>
      <c r="O135" s="20" t="n"/>
      <c r="P135" s="15">
        <f>IF(OR($A135="",$B135=""),"",SUM(L135:O135))</f>
        <v/>
      </c>
      <c r="Q135" s="20" t="n"/>
      <c r="R135" s="20" t="n"/>
      <c r="S135" s="20" t="n"/>
      <c r="T135" s="20" t="n"/>
      <c r="U135" s="20" t="n"/>
      <c r="V135" s="20" t="n"/>
      <c r="W135" s="15">
        <f>IF(OR($A135="",$B135=""),"",SUM(Q135:V135))</f>
        <v/>
      </c>
      <c r="X135" s="15">
        <f>IF(OR($A135="",$B135=""),"",N(P135)-N(W135))</f>
        <v/>
      </c>
    </row>
    <row r="136">
      <c r="A136" s="43" t="n"/>
      <c r="B136" s="18" t="n"/>
      <c r="C136" s="25">
        <f>IFERROR(IF($B136="","",IF(INDEX(직원명부!$B$5:$B$24,MATCH($B136,직원명부!$A$5:$A$24,0))=0,"",INDEX(직원명부!$B$5:$B$24,MATCH($B136,직원명부!$A$5:$A$24,0)))),"사번 확인")</f>
        <v/>
      </c>
      <c r="D136" s="26">
        <f>IFERROR(IF($B136="","",IF(INDEX(근로자명부!$D$5:$D$24,MATCH($B136,근로자명부!$A$5:$A$24,0))=0,"",INDEX(근로자명부!$D$5:$D$24,MATCH($B136,근로자명부!$A$5:$A$24,0)))),"")</f>
        <v/>
      </c>
      <c r="E136" s="26">
        <f>IFERROR(IF($B136="","",IF(INDEX(직원명부!$C$5:$C$24,MATCH($B136,직원명부!$A$5:$A$24,0))=0,"",INDEX(직원명부!$C$5:$C$24,MATCH($B136,직원명부!$A$5:$A$24,0)))),"")</f>
        <v/>
      </c>
      <c r="F136" s="44">
        <f>IFERROR(IF($B136="","",IF(INDEX(근로자명부!$G$5:$G$24,MATCH($B136,근로자명부!$A$5:$A$24,0))=0,"",INDEX(근로자명부!$G$5:$G$24,MATCH($B136,근로자명부!$A$5:$A$24,0)))),"")</f>
        <v/>
      </c>
      <c r="G136" s="30">
        <f>IF(OR($A136="",$B136=""),"",COUNTIFS(근태기록!$C$5:$C$2004,$B136,근태기록!$A$5:$A$2004,"&gt;="&amp;$A136,근태기록!$A$5:$A$2004,"&lt;="&amp;EOMONTH($A136,0),근태기록!$H$5:$H$2004,"&gt;0"))</f>
        <v/>
      </c>
      <c r="H136" s="33">
        <f>IF(OR($A136="",$B136=""),"",SUMIFS(근태기록!$H$5:$H$2004,근태기록!$C$5:$C$2004,$B136,근태기록!$A$5:$A$2004,"&gt;="&amp;$A136,근태기록!$A$5:$A$2004,"&lt;="&amp;EOMONTH($A136,0)))</f>
        <v/>
      </c>
      <c r="I136" s="33">
        <f>IF(OR($A136="",$B136=""),"",SUMIFS(근태기록!$I$5:$I$2004,근태기록!$C$5:$C$2004,$B136,근태기록!$A$5:$A$2004,"&gt;="&amp;$A136,근태기록!$A$5:$A$2004,"&lt;="&amp;EOMONTH($A136,0)))</f>
        <v/>
      </c>
      <c r="J136" s="33">
        <f>IF(OR($A136="",$B136=""),"",SUMIFS(근태기록!$J$5:$J$2004,근태기록!$C$5:$C$2004,$B136,근태기록!$A$5:$A$2004,"&gt;="&amp;$A136,근태기록!$A$5:$A$2004,"&lt;="&amp;EOMONTH($A136,0)))</f>
        <v/>
      </c>
      <c r="K136" s="33">
        <f>IF(OR($A136="",$B136=""),"",SUMIFS(근태기록!$H$5:$H$2004,근태기록!$C$5:$C$2004,$B136,근태기록!$A$5:$A$2004,"&gt;="&amp;$A136,근태기록!$A$5:$A$2004,"&lt;="&amp;EOMONTH($A136,0),근태기록!$L$5:$L$2004,"휴일근로"))</f>
        <v/>
      </c>
      <c r="L136" s="20" t="n"/>
      <c r="M136" s="20" t="n"/>
      <c r="N136" s="20" t="n"/>
      <c r="O136" s="20" t="n"/>
      <c r="P136" s="15">
        <f>IF(OR($A136="",$B136=""),"",SUM(L136:O136))</f>
        <v/>
      </c>
      <c r="Q136" s="20" t="n"/>
      <c r="R136" s="20" t="n"/>
      <c r="S136" s="20" t="n"/>
      <c r="T136" s="20" t="n"/>
      <c r="U136" s="20" t="n"/>
      <c r="V136" s="20" t="n"/>
      <c r="W136" s="15">
        <f>IF(OR($A136="",$B136=""),"",SUM(Q136:V136))</f>
        <v/>
      </c>
      <c r="X136" s="15">
        <f>IF(OR($A136="",$B136=""),"",N(P136)-N(W136))</f>
        <v/>
      </c>
    </row>
    <row r="137">
      <c r="A137" s="43" t="n"/>
      <c r="B137" s="18" t="n"/>
      <c r="C137" s="25">
        <f>IFERROR(IF($B137="","",IF(INDEX(직원명부!$B$5:$B$24,MATCH($B137,직원명부!$A$5:$A$24,0))=0,"",INDEX(직원명부!$B$5:$B$24,MATCH($B137,직원명부!$A$5:$A$24,0)))),"사번 확인")</f>
        <v/>
      </c>
      <c r="D137" s="26">
        <f>IFERROR(IF($B137="","",IF(INDEX(근로자명부!$D$5:$D$24,MATCH($B137,근로자명부!$A$5:$A$24,0))=0,"",INDEX(근로자명부!$D$5:$D$24,MATCH($B137,근로자명부!$A$5:$A$24,0)))),"")</f>
        <v/>
      </c>
      <c r="E137" s="26">
        <f>IFERROR(IF($B137="","",IF(INDEX(직원명부!$C$5:$C$24,MATCH($B137,직원명부!$A$5:$A$24,0))=0,"",INDEX(직원명부!$C$5:$C$24,MATCH($B137,직원명부!$A$5:$A$24,0)))),"")</f>
        <v/>
      </c>
      <c r="F137" s="44">
        <f>IFERROR(IF($B137="","",IF(INDEX(근로자명부!$G$5:$G$24,MATCH($B137,근로자명부!$A$5:$A$24,0))=0,"",INDEX(근로자명부!$G$5:$G$24,MATCH($B137,근로자명부!$A$5:$A$24,0)))),"")</f>
        <v/>
      </c>
      <c r="G137" s="30">
        <f>IF(OR($A137="",$B137=""),"",COUNTIFS(근태기록!$C$5:$C$2004,$B137,근태기록!$A$5:$A$2004,"&gt;="&amp;$A137,근태기록!$A$5:$A$2004,"&lt;="&amp;EOMONTH($A137,0),근태기록!$H$5:$H$2004,"&gt;0"))</f>
        <v/>
      </c>
      <c r="H137" s="33">
        <f>IF(OR($A137="",$B137=""),"",SUMIFS(근태기록!$H$5:$H$2004,근태기록!$C$5:$C$2004,$B137,근태기록!$A$5:$A$2004,"&gt;="&amp;$A137,근태기록!$A$5:$A$2004,"&lt;="&amp;EOMONTH($A137,0)))</f>
        <v/>
      </c>
      <c r="I137" s="33">
        <f>IF(OR($A137="",$B137=""),"",SUMIFS(근태기록!$I$5:$I$2004,근태기록!$C$5:$C$2004,$B137,근태기록!$A$5:$A$2004,"&gt;="&amp;$A137,근태기록!$A$5:$A$2004,"&lt;="&amp;EOMONTH($A137,0)))</f>
        <v/>
      </c>
      <c r="J137" s="33">
        <f>IF(OR($A137="",$B137=""),"",SUMIFS(근태기록!$J$5:$J$2004,근태기록!$C$5:$C$2004,$B137,근태기록!$A$5:$A$2004,"&gt;="&amp;$A137,근태기록!$A$5:$A$2004,"&lt;="&amp;EOMONTH($A137,0)))</f>
        <v/>
      </c>
      <c r="K137" s="33">
        <f>IF(OR($A137="",$B137=""),"",SUMIFS(근태기록!$H$5:$H$2004,근태기록!$C$5:$C$2004,$B137,근태기록!$A$5:$A$2004,"&gt;="&amp;$A137,근태기록!$A$5:$A$2004,"&lt;="&amp;EOMONTH($A137,0),근태기록!$L$5:$L$2004,"휴일근로"))</f>
        <v/>
      </c>
      <c r="L137" s="20" t="n"/>
      <c r="M137" s="20" t="n"/>
      <c r="N137" s="20" t="n"/>
      <c r="O137" s="20" t="n"/>
      <c r="P137" s="15">
        <f>IF(OR($A137="",$B137=""),"",SUM(L137:O137))</f>
        <v/>
      </c>
      <c r="Q137" s="20" t="n"/>
      <c r="R137" s="20" t="n"/>
      <c r="S137" s="20" t="n"/>
      <c r="T137" s="20" t="n"/>
      <c r="U137" s="20" t="n"/>
      <c r="V137" s="20" t="n"/>
      <c r="W137" s="15">
        <f>IF(OR($A137="",$B137=""),"",SUM(Q137:V137))</f>
        <v/>
      </c>
      <c r="X137" s="15">
        <f>IF(OR($A137="",$B137=""),"",N(P137)-N(W137))</f>
        <v/>
      </c>
    </row>
    <row r="138">
      <c r="A138" s="43" t="n"/>
      <c r="B138" s="18" t="n"/>
      <c r="C138" s="25">
        <f>IFERROR(IF($B138="","",IF(INDEX(직원명부!$B$5:$B$24,MATCH($B138,직원명부!$A$5:$A$24,0))=0,"",INDEX(직원명부!$B$5:$B$24,MATCH($B138,직원명부!$A$5:$A$24,0)))),"사번 확인")</f>
        <v/>
      </c>
      <c r="D138" s="26">
        <f>IFERROR(IF($B138="","",IF(INDEX(근로자명부!$D$5:$D$24,MATCH($B138,근로자명부!$A$5:$A$24,0))=0,"",INDEX(근로자명부!$D$5:$D$24,MATCH($B138,근로자명부!$A$5:$A$24,0)))),"")</f>
        <v/>
      </c>
      <c r="E138" s="26">
        <f>IFERROR(IF($B138="","",IF(INDEX(직원명부!$C$5:$C$24,MATCH($B138,직원명부!$A$5:$A$24,0))=0,"",INDEX(직원명부!$C$5:$C$24,MATCH($B138,직원명부!$A$5:$A$24,0)))),"")</f>
        <v/>
      </c>
      <c r="F138" s="44">
        <f>IFERROR(IF($B138="","",IF(INDEX(근로자명부!$G$5:$G$24,MATCH($B138,근로자명부!$A$5:$A$24,0))=0,"",INDEX(근로자명부!$G$5:$G$24,MATCH($B138,근로자명부!$A$5:$A$24,0)))),"")</f>
        <v/>
      </c>
      <c r="G138" s="30">
        <f>IF(OR($A138="",$B138=""),"",COUNTIFS(근태기록!$C$5:$C$2004,$B138,근태기록!$A$5:$A$2004,"&gt;="&amp;$A138,근태기록!$A$5:$A$2004,"&lt;="&amp;EOMONTH($A138,0),근태기록!$H$5:$H$2004,"&gt;0"))</f>
        <v/>
      </c>
      <c r="H138" s="33">
        <f>IF(OR($A138="",$B138=""),"",SUMIFS(근태기록!$H$5:$H$2004,근태기록!$C$5:$C$2004,$B138,근태기록!$A$5:$A$2004,"&gt;="&amp;$A138,근태기록!$A$5:$A$2004,"&lt;="&amp;EOMONTH($A138,0)))</f>
        <v/>
      </c>
      <c r="I138" s="33">
        <f>IF(OR($A138="",$B138=""),"",SUMIFS(근태기록!$I$5:$I$2004,근태기록!$C$5:$C$2004,$B138,근태기록!$A$5:$A$2004,"&gt;="&amp;$A138,근태기록!$A$5:$A$2004,"&lt;="&amp;EOMONTH($A138,0)))</f>
        <v/>
      </c>
      <c r="J138" s="33">
        <f>IF(OR($A138="",$B138=""),"",SUMIFS(근태기록!$J$5:$J$2004,근태기록!$C$5:$C$2004,$B138,근태기록!$A$5:$A$2004,"&gt;="&amp;$A138,근태기록!$A$5:$A$2004,"&lt;="&amp;EOMONTH($A138,0)))</f>
        <v/>
      </c>
      <c r="K138" s="33">
        <f>IF(OR($A138="",$B138=""),"",SUMIFS(근태기록!$H$5:$H$2004,근태기록!$C$5:$C$2004,$B138,근태기록!$A$5:$A$2004,"&gt;="&amp;$A138,근태기록!$A$5:$A$2004,"&lt;="&amp;EOMONTH($A138,0),근태기록!$L$5:$L$2004,"휴일근로"))</f>
        <v/>
      </c>
      <c r="L138" s="20" t="n"/>
      <c r="M138" s="20" t="n"/>
      <c r="N138" s="20" t="n"/>
      <c r="O138" s="20" t="n"/>
      <c r="P138" s="15">
        <f>IF(OR($A138="",$B138=""),"",SUM(L138:O138))</f>
        <v/>
      </c>
      <c r="Q138" s="20" t="n"/>
      <c r="R138" s="20" t="n"/>
      <c r="S138" s="20" t="n"/>
      <c r="T138" s="20" t="n"/>
      <c r="U138" s="20" t="n"/>
      <c r="V138" s="20" t="n"/>
      <c r="W138" s="15">
        <f>IF(OR($A138="",$B138=""),"",SUM(Q138:V138))</f>
        <v/>
      </c>
      <c r="X138" s="15">
        <f>IF(OR($A138="",$B138=""),"",N(P138)-N(W138))</f>
        <v/>
      </c>
    </row>
    <row r="139">
      <c r="A139" s="43" t="n"/>
      <c r="B139" s="18" t="n"/>
      <c r="C139" s="25">
        <f>IFERROR(IF($B139="","",IF(INDEX(직원명부!$B$5:$B$24,MATCH($B139,직원명부!$A$5:$A$24,0))=0,"",INDEX(직원명부!$B$5:$B$24,MATCH($B139,직원명부!$A$5:$A$24,0)))),"사번 확인")</f>
        <v/>
      </c>
      <c r="D139" s="26">
        <f>IFERROR(IF($B139="","",IF(INDEX(근로자명부!$D$5:$D$24,MATCH($B139,근로자명부!$A$5:$A$24,0))=0,"",INDEX(근로자명부!$D$5:$D$24,MATCH($B139,근로자명부!$A$5:$A$24,0)))),"")</f>
        <v/>
      </c>
      <c r="E139" s="26">
        <f>IFERROR(IF($B139="","",IF(INDEX(직원명부!$C$5:$C$24,MATCH($B139,직원명부!$A$5:$A$24,0))=0,"",INDEX(직원명부!$C$5:$C$24,MATCH($B139,직원명부!$A$5:$A$24,0)))),"")</f>
        <v/>
      </c>
      <c r="F139" s="44">
        <f>IFERROR(IF($B139="","",IF(INDEX(근로자명부!$G$5:$G$24,MATCH($B139,근로자명부!$A$5:$A$24,0))=0,"",INDEX(근로자명부!$G$5:$G$24,MATCH($B139,근로자명부!$A$5:$A$24,0)))),"")</f>
        <v/>
      </c>
      <c r="G139" s="30">
        <f>IF(OR($A139="",$B139=""),"",COUNTIFS(근태기록!$C$5:$C$2004,$B139,근태기록!$A$5:$A$2004,"&gt;="&amp;$A139,근태기록!$A$5:$A$2004,"&lt;="&amp;EOMONTH($A139,0),근태기록!$H$5:$H$2004,"&gt;0"))</f>
        <v/>
      </c>
      <c r="H139" s="33">
        <f>IF(OR($A139="",$B139=""),"",SUMIFS(근태기록!$H$5:$H$2004,근태기록!$C$5:$C$2004,$B139,근태기록!$A$5:$A$2004,"&gt;="&amp;$A139,근태기록!$A$5:$A$2004,"&lt;="&amp;EOMONTH($A139,0)))</f>
        <v/>
      </c>
      <c r="I139" s="33">
        <f>IF(OR($A139="",$B139=""),"",SUMIFS(근태기록!$I$5:$I$2004,근태기록!$C$5:$C$2004,$B139,근태기록!$A$5:$A$2004,"&gt;="&amp;$A139,근태기록!$A$5:$A$2004,"&lt;="&amp;EOMONTH($A139,0)))</f>
        <v/>
      </c>
      <c r="J139" s="33">
        <f>IF(OR($A139="",$B139=""),"",SUMIFS(근태기록!$J$5:$J$2004,근태기록!$C$5:$C$2004,$B139,근태기록!$A$5:$A$2004,"&gt;="&amp;$A139,근태기록!$A$5:$A$2004,"&lt;="&amp;EOMONTH($A139,0)))</f>
        <v/>
      </c>
      <c r="K139" s="33">
        <f>IF(OR($A139="",$B139=""),"",SUMIFS(근태기록!$H$5:$H$2004,근태기록!$C$5:$C$2004,$B139,근태기록!$A$5:$A$2004,"&gt;="&amp;$A139,근태기록!$A$5:$A$2004,"&lt;="&amp;EOMONTH($A139,0),근태기록!$L$5:$L$2004,"휴일근로"))</f>
        <v/>
      </c>
      <c r="L139" s="20" t="n"/>
      <c r="M139" s="20" t="n"/>
      <c r="N139" s="20" t="n"/>
      <c r="O139" s="20" t="n"/>
      <c r="P139" s="15">
        <f>IF(OR($A139="",$B139=""),"",SUM(L139:O139))</f>
        <v/>
      </c>
      <c r="Q139" s="20" t="n"/>
      <c r="R139" s="20" t="n"/>
      <c r="S139" s="20" t="n"/>
      <c r="T139" s="20" t="n"/>
      <c r="U139" s="20" t="n"/>
      <c r="V139" s="20" t="n"/>
      <c r="W139" s="15">
        <f>IF(OR($A139="",$B139=""),"",SUM(Q139:V139))</f>
        <v/>
      </c>
      <c r="X139" s="15">
        <f>IF(OR($A139="",$B139=""),"",N(P139)-N(W139))</f>
        <v/>
      </c>
    </row>
    <row r="140">
      <c r="A140" s="43" t="n"/>
      <c r="B140" s="18" t="n"/>
      <c r="C140" s="25">
        <f>IFERROR(IF($B140="","",IF(INDEX(직원명부!$B$5:$B$24,MATCH($B140,직원명부!$A$5:$A$24,0))=0,"",INDEX(직원명부!$B$5:$B$24,MATCH($B140,직원명부!$A$5:$A$24,0)))),"사번 확인")</f>
        <v/>
      </c>
      <c r="D140" s="26">
        <f>IFERROR(IF($B140="","",IF(INDEX(근로자명부!$D$5:$D$24,MATCH($B140,근로자명부!$A$5:$A$24,0))=0,"",INDEX(근로자명부!$D$5:$D$24,MATCH($B140,근로자명부!$A$5:$A$24,0)))),"")</f>
        <v/>
      </c>
      <c r="E140" s="26">
        <f>IFERROR(IF($B140="","",IF(INDEX(직원명부!$C$5:$C$24,MATCH($B140,직원명부!$A$5:$A$24,0))=0,"",INDEX(직원명부!$C$5:$C$24,MATCH($B140,직원명부!$A$5:$A$24,0)))),"")</f>
        <v/>
      </c>
      <c r="F140" s="44">
        <f>IFERROR(IF($B140="","",IF(INDEX(근로자명부!$G$5:$G$24,MATCH($B140,근로자명부!$A$5:$A$24,0))=0,"",INDEX(근로자명부!$G$5:$G$24,MATCH($B140,근로자명부!$A$5:$A$24,0)))),"")</f>
        <v/>
      </c>
      <c r="G140" s="30">
        <f>IF(OR($A140="",$B140=""),"",COUNTIFS(근태기록!$C$5:$C$2004,$B140,근태기록!$A$5:$A$2004,"&gt;="&amp;$A140,근태기록!$A$5:$A$2004,"&lt;="&amp;EOMONTH($A140,0),근태기록!$H$5:$H$2004,"&gt;0"))</f>
        <v/>
      </c>
      <c r="H140" s="33">
        <f>IF(OR($A140="",$B140=""),"",SUMIFS(근태기록!$H$5:$H$2004,근태기록!$C$5:$C$2004,$B140,근태기록!$A$5:$A$2004,"&gt;="&amp;$A140,근태기록!$A$5:$A$2004,"&lt;="&amp;EOMONTH($A140,0)))</f>
        <v/>
      </c>
      <c r="I140" s="33">
        <f>IF(OR($A140="",$B140=""),"",SUMIFS(근태기록!$I$5:$I$2004,근태기록!$C$5:$C$2004,$B140,근태기록!$A$5:$A$2004,"&gt;="&amp;$A140,근태기록!$A$5:$A$2004,"&lt;="&amp;EOMONTH($A140,0)))</f>
        <v/>
      </c>
      <c r="J140" s="33">
        <f>IF(OR($A140="",$B140=""),"",SUMIFS(근태기록!$J$5:$J$2004,근태기록!$C$5:$C$2004,$B140,근태기록!$A$5:$A$2004,"&gt;="&amp;$A140,근태기록!$A$5:$A$2004,"&lt;="&amp;EOMONTH($A140,0)))</f>
        <v/>
      </c>
      <c r="K140" s="33">
        <f>IF(OR($A140="",$B140=""),"",SUMIFS(근태기록!$H$5:$H$2004,근태기록!$C$5:$C$2004,$B140,근태기록!$A$5:$A$2004,"&gt;="&amp;$A140,근태기록!$A$5:$A$2004,"&lt;="&amp;EOMONTH($A140,0),근태기록!$L$5:$L$2004,"휴일근로"))</f>
        <v/>
      </c>
      <c r="L140" s="20" t="n"/>
      <c r="M140" s="20" t="n"/>
      <c r="N140" s="20" t="n"/>
      <c r="O140" s="20" t="n"/>
      <c r="P140" s="15">
        <f>IF(OR($A140="",$B140=""),"",SUM(L140:O140))</f>
        <v/>
      </c>
      <c r="Q140" s="20" t="n"/>
      <c r="R140" s="20" t="n"/>
      <c r="S140" s="20" t="n"/>
      <c r="T140" s="20" t="n"/>
      <c r="U140" s="20" t="n"/>
      <c r="V140" s="20" t="n"/>
      <c r="W140" s="15">
        <f>IF(OR($A140="",$B140=""),"",SUM(Q140:V140))</f>
        <v/>
      </c>
      <c r="X140" s="15">
        <f>IF(OR($A140="",$B140=""),"",N(P140)-N(W140))</f>
        <v/>
      </c>
    </row>
    <row r="141">
      <c r="A141" s="43" t="n"/>
      <c r="B141" s="18" t="n"/>
      <c r="C141" s="25">
        <f>IFERROR(IF($B141="","",IF(INDEX(직원명부!$B$5:$B$24,MATCH($B141,직원명부!$A$5:$A$24,0))=0,"",INDEX(직원명부!$B$5:$B$24,MATCH($B141,직원명부!$A$5:$A$24,0)))),"사번 확인")</f>
        <v/>
      </c>
      <c r="D141" s="26">
        <f>IFERROR(IF($B141="","",IF(INDEX(근로자명부!$D$5:$D$24,MATCH($B141,근로자명부!$A$5:$A$24,0))=0,"",INDEX(근로자명부!$D$5:$D$24,MATCH($B141,근로자명부!$A$5:$A$24,0)))),"")</f>
        <v/>
      </c>
      <c r="E141" s="26">
        <f>IFERROR(IF($B141="","",IF(INDEX(직원명부!$C$5:$C$24,MATCH($B141,직원명부!$A$5:$A$24,0))=0,"",INDEX(직원명부!$C$5:$C$24,MATCH($B141,직원명부!$A$5:$A$24,0)))),"")</f>
        <v/>
      </c>
      <c r="F141" s="44">
        <f>IFERROR(IF($B141="","",IF(INDEX(근로자명부!$G$5:$G$24,MATCH($B141,근로자명부!$A$5:$A$24,0))=0,"",INDEX(근로자명부!$G$5:$G$24,MATCH($B141,근로자명부!$A$5:$A$24,0)))),"")</f>
        <v/>
      </c>
      <c r="G141" s="30">
        <f>IF(OR($A141="",$B141=""),"",COUNTIFS(근태기록!$C$5:$C$2004,$B141,근태기록!$A$5:$A$2004,"&gt;="&amp;$A141,근태기록!$A$5:$A$2004,"&lt;="&amp;EOMONTH($A141,0),근태기록!$H$5:$H$2004,"&gt;0"))</f>
        <v/>
      </c>
      <c r="H141" s="33">
        <f>IF(OR($A141="",$B141=""),"",SUMIFS(근태기록!$H$5:$H$2004,근태기록!$C$5:$C$2004,$B141,근태기록!$A$5:$A$2004,"&gt;="&amp;$A141,근태기록!$A$5:$A$2004,"&lt;="&amp;EOMONTH($A141,0)))</f>
        <v/>
      </c>
      <c r="I141" s="33">
        <f>IF(OR($A141="",$B141=""),"",SUMIFS(근태기록!$I$5:$I$2004,근태기록!$C$5:$C$2004,$B141,근태기록!$A$5:$A$2004,"&gt;="&amp;$A141,근태기록!$A$5:$A$2004,"&lt;="&amp;EOMONTH($A141,0)))</f>
        <v/>
      </c>
      <c r="J141" s="33">
        <f>IF(OR($A141="",$B141=""),"",SUMIFS(근태기록!$J$5:$J$2004,근태기록!$C$5:$C$2004,$B141,근태기록!$A$5:$A$2004,"&gt;="&amp;$A141,근태기록!$A$5:$A$2004,"&lt;="&amp;EOMONTH($A141,0)))</f>
        <v/>
      </c>
      <c r="K141" s="33">
        <f>IF(OR($A141="",$B141=""),"",SUMIFS(근태기록!$H$5:$H$2004,근태기록!$C$5:$C$2004,$B141,근태기록!$A$5:$A$2004,"&gt;="&amp;$A141,근태기록!$A$5:$A$2004,"&lt;="&amp;EOMONTH($A141,0),근태기록!$L$5:$L$2004,"휴일근로"))</f>
        <v/>
      </c>
      <c r="L141" s="20" t="n"/>
      <c r="M141" s="20" t="n"/>
      <c r="N141" s="20" t="n"/>
      <c r="O141" s="20" t="n"/>
      <c r="P141" s="15">
        <f>IF(OR($A141="",$B141=""),"",SUM(L141:O141))</f>
        <v/>
      </c>
      <c r="Q141" s="20" t="n"/>
      <c r="R141" s="20" t="n"/>
      <c r="S141" s="20" t="n"/>
      <c r="T141" s="20" t="n"/>
      <c r="U141" s="20" t="n"/>
      <c r="V141" s="20" t="n"/>
      <c r="W141" s="15">
        <f>IF(OR($A141="",$B141=""),"",SUM(Q141:V141))</f>
        <v/>
      </c>
      <c r="X141" s="15">
        <f>IF(OR($A141="",$B141=""),"",N(P141)-N(W141))</f>
        <v/>
      </c>
    </row>
    <row r="142">
      <c r="A142" s="43" t="n"/>
      <c r="B142" s="18" t="n"/>
      <c r="C142" s="25">
        <f>IFERROR(IF($B142="","",IF(INDEX(직원명부!$B$5:$B$24,MATCH($B142,직원명부!$A$5:$A$24,0))=0,"",INDEX(직원명부!$B$5:$B$24,MATCH($B142,직원명부!$A$5:$A$24,0)))),"사번 확인")</f>
        <v/>
      </c>
      <c r="D142" s="26">
        <f>IFERROR(IF($B142="","",IF(INDEX(근로자명부!$D$5:$D$24,MATCH($B142,근로자명부!$A$5:$A$24,0))=0,"",INDEX(근로자명부!$D$5:$D$24,MATCH($B142,근로자명부!$A$5:$A$24,0)))),"")</f>
        <v/>
      </c>
      <c r="E142" s="26">
        <f>IFERROR(IF($B142="","",IF(INDEX(직원명부!$C$5:$C$24,MATCH($B142,직원명부!$A$5:$A$24,0))=0,"",INDEX(직원명부!$C$5:$C$24,MATCH($B142,직원명부!$A$5:$A$24,0)))),"")</f>
        <v/>
      </c>
      <c r="F142" s="44">
        <f>IFERROR(IF($B142="","",IF(INDEX(근로자명부!$G$5:$G$24,MATCH($B142,근로자명부!$A$5:$A$24,0))=0,"",INDEX(근로자명부!$G$5:$G$24,MATCH($B142,근로자명부!$A$5:$A$24,0)))),"")</f>
        <v/>
      </c>
      <c r="G142" s="30">
        <f>IF(OR($A142="",$B142=""),"",COUNTIFS(근태기록!$C$5:$C$2004,$B142,근태기록!$A$5:$A$2004,"&gt;="&amp;$A142,근태기록!$A$5:$A$2004,"&lt;="&amp;EOMONTH($A142,0),근태기록!$H$5:$H$2004,"&gt;0"))</f>
        <v/>
      </c>
      <c r="H142" s="33">
        <f>IF(OR($A142="",$B142=""),"",SUMIFS(근태기록!$H$5:$H$2004,근태기록!$C$5:$C$2004,$B142,근태기록!$A$5:$A$2004,"&gt;="&amp;$A142,근태기록!$A$5:$A$2004,"&lt;="&amp;EOMONTH($A142,0)))</f>
        <v/>
      </c>
      <c r="I142" s="33">
        <f>IF(OR($A142="",$B142=""),"",SUMIFS(근태기록!$I$5:$I$2004,근태기록!$C$5:$C$2004,$B142,근태기록!$A$5:$A$2004,"&gt;="&amp;$A142,근태기록!$A$5:$A$2004,"&lt;="&amp;EOMONTH($A142,0)))</f>
        <v/>
      </c>
      <c r="J142" s="33">
        <f>IF(OR($A142="",$B142=""),"",SUMIFS(근태기록!$J$5:$J$2004,근태기록!$C$5:$C$2004,$B142,근태기록!$A$5:$A$2004,"&gt;="&amp;$A142,근태기록!$A$5:$A$2004,"&lt;="&amp;EOMONTH($A142,0)))</f>
        <v/>
      </c>
      <c r="K142" s="33">
        <f>IF(OR($A142="",$B142=""),"",SUMIFS(근태기록!$H$5:$H$2004,근태기록!$C$5:$C$2004,$B142,근태기록!$A$5:$A$2004,"&gt;="&amp;$A142,근태기록!$A$5:$A$2004,"&lt;="&amp;EOMONTH($A142,0),근태기록!$L$5:$L$2004,"휴일근로"))</f>
        <v/>
      </c>
      <c r="L142" s="20" t="n"/>
      <c r="M142" s="20" t="n"/>
      <c r="N142" s="20" t="n"/>
      <c r="O142" s="20" t="n"/>
      <c r="P142" s="15">
        <f>IF(OR($A142="",$B142=""),"",SUM(L142:O142))</f>
        <v/>
      </c>
      <c r="Q142" s="20" t="n"/>
      <c r="R142" s="20" t="n"/>
      <c r="S142" s="20" t="n"/>
      <c r="T142" s="20" t="n"/>
      <c r="U142" s="20" t="n"/>
      <c r="V142" s="20" t="n"/>
      <c r="W142" s="15">
        <f>IF(OR($A142="",$B142=""),"",SUM(Q142:V142))</f>
        <v/>
      </c>
      <c r="X142" s="15">
        <f>IF(OR($A142="",$B142=""),"",N(P142)-N(W142))</f>
        <v/>
      </c>
    </row>
    <row r="143">
      <c r="A143" s="43" t="n"/>
      <c r="B143" s="18" t="n"/>
      <c r="C143" s="25">
        <f>IFERROR(IF($B143="","",IF(INDEX(직원명부!$B$5:$B$24,MATCH($B143,직원명부!$A$5:$A$24,0))=0,"",INDEX(직원명부!$B$5:$B$24,MATCH($B143,직원명부!$A$5:$A$24,0)))),"사번 확인")</f>
        <v/>
      </c>
      <c r="D143" s="26">
        <f>IFERROR(IF($B143="","",IF(INDEX(근로자명부!$D$5:$D$24,MATCH($B143,근로자명부!$A$5:$A$24,0))=0,"",INDEX(근로자명부!$D$5:$D$24,MATCH($B143,근로자명부!$A$5:$A$24,0)))),"")</f>
        <v/>
      </c>
      <c r="E143" s="26">
        <f>IFERROR(IF($B143="","",IF(INDEX(직원명부!$C$5:$C$24,MATCH($B143,직원명부!$A$5:$A$24,0))=0,"",INDEX(직원명부!$C$5:$C$24,MATCH($B143,직원명부!$A$5:$A$24,0)))),"")</f>
        <v/>
      </c>
      <c r="F143" s="44">
        <f>IFERROR(IF($B143="","",IF(INDEX(근로자명부!$G$5:$G$24,MATCH($B143,근로자명부!$A$5:$A$24,0))=0,"",INDEX(근로자명부!$G$5:$G$24,MATCH($B143,근로자명부!$A$5:$A$24,0)))),"")</f>
        <v/>
      </c>
      <c r="G143" s="30">
        <f>IF(OR($A143="",$B143=""),"",COUNTIFS(근태기록!$C$5:$C$2004,$B143,근태기록!$A$5:$A$2004,"&gt;="&amp;$A143,근태기록!$A$5:$A$2004,"&lt;="&amp;EOMONTH($A143,0),근태기록!$H$5:$H$2004,"&gt;0"))</f>
        <v/>
      </c>
      <c r="H143" s="33">
        <f>IF(OR($A143="",$B143=""),"",SUMIFS(근태기록!$H$5:$H$2004,근태기록!$C$5:$C$2004,$B143,근태기록!$A$5:$A$2004,"&gt;="&amp;$A143,근태기록!$A$5:$A$2004,"&lt;="&amp;EOMONTH($A143,0)))</f>
        <v/>
      </c>
      <c r="I143" s="33">
        <f>IF(OR($A143="",$B143=""),"",SUMIFS(근태기록!$I$5:$I$2004,근태기록!$C$5:$C$2004,$B143,근태기록!$A$5:$A$2004,"&gt;="&amp;$A143,근태기록!$A$5:$A$2004,"&lt;="&amp;EOMONTH($A143,0)))</f>
        <v/>
      </c>
      <c r="J143" s="33">
        <f>IF(OR($A143="",$B143=""),"",SUMIFS(근태기록!$J$5:$J$2004,근태기록!$C$5:$C$2004,$B143,근태기록!$A$5:$A$2004,"&gt;="&amp;$A143,근태기록!$A$5:$A$2004,"&lt;="&amp;EOMONTH($A143,0)))</f>
        <v/>
      </c>
      <c r="K143" s="33">
        <f>IF(OR($A143="",$B143=""),"",SUMIFS(근태기록!$H$5:$H$2004,근태기록!$C$5:$C$2004,$B143,근태기록!$A$5:$A$2004,"&gt;="&amp;$A143,근태기록!$A$5:$A$2004,"&lt;="&amp;EOMONTH($A143,0),근태기록!$L$5:$L$2004,"휴일근로"))</f>
        <v/>
      </c>
      <c r="L143" s="20" t="n"/>
      <c r="M143" s="20" t="n"/>
      <c r="N143" s="20" t="n"/>
      <c r="O143" s="20" t="n"/>
      <c r="P143" s="15">
        <f>IF(OR($A143="",$B143=""),"",SUM(L143:O143))</f>
        <v/>
      </c>
      <c r="Q143" s="20" t="n"/>
      <c r="R143" s="20" t="n"/>
      <c r="S143" s="20" t="n"/>
      <c r="T143" s="20" t="n"/>
      <c r="U143" s="20" t="n"/>
      <c r="V143" s="20" t="n"/>
      <c r="W143" s="15">
        <f>IF(OR($A143="",$B143=""),"",SUM(Q143:V143))</f>
        <v/>
      </c>
      <c r="X143" s="15">
        <f>IF(OR($A143="",$B143=""),"",N(P143)-N(W143))</f>
        <v/>
      </c>
    </row>
    <row r="144">
      <c r="A144" s="43" t="n"/>
      <c r="B144" s="18" t="n"/>
      <c r="C144" s="25">
        <f>IFERROR(IF($B144="","",IF(INDEX(직원명부!$B$5:$B$24,MATCH($B144,직원명부!$A$5:$A$24,0))=0,"",INDEX(직원명부!$B$5:$B$24,MATCH($B144,직원명부!$A$5:$A$24,0)))),"사번 확인")</f>
        <v/>
      </c>
      <c r="D144" s="26">
        <f>IFERROR(IF($B144="","",IF(INDEX(근로자명부!$D$5:$D$24,MATCH($B144,근로자명부!$A$5:$A$24,0))=0,"",INDEX(근로자명부!$D$5:$D$24,MATCH($B144,근로자명부!$A$5:$A$24,0)))),"")</f>
        <v/>
      </c>
      <c r="E144" s="26">
        <f>IFERROR(IF($B144="","",IF(INDEX(직원명부!$C$5:$C$24,MATCH($B144,직원명부!$A$5:$A$24,0))=0,"",INDEX(직원명부!$C$5:$C$24,MATCH($B144,직원명부!$A$5:$A$24,0)))),"")</f>
        <v/>
      </c>
      <c r="F144" s="44">
        <f>IFERROR(IF($B144="","",IF(INDEX(근로자명부!$G$5:$G$24,MATCH($B144,근로자명부!$A$5:$A$24,0))=0,"",INDEX(근로자명부!$G$5:$G$24,MATCH($B144,근로자명부!$A$5:$A$24,0)))),"")</f>
        <v/>
      </c>
      <c r="G144" s="30">
        <f>IF(OR($A144="",$B144=""),"",COUNTIFS(근태기록!$C$5:$C$2004,$B144,근태기록!$A$5:$A$2004,"&gt;="&amp;$A144,근태기록!$A$5:$A$2004,"&lt;="&amp;EOMONTH($A144,0),근태기록!$H$5:$H$2004,"&gt;0"))</f>
        <v/>
      </c>
      <c r="H144" s="33">
        <f>IF(OR($A144="",$B144=""),"",SUMIFS(근태기록!$H$5:$H$2004,근태기록!$C$5:$C$2004,$B144,근태기록!$A$5:$A$2004,"&gt;="&amp;$A144,근태기록!$A$5:$A$2004,"&lt;="&amp;EOMONTH($A144,0)))</f>
        <v/>
      </c>
      <c r="I144" s="33">
        <f>IF(OR($A144="",$B144=""),"",SUMIFS(근태기록!$I$5:$I$2004,근태기록!$C$5:$C$2004,$B144,근태기록!$A$5:$A$2004,"&gt;="&amp;$A144,근태기록!$A$5:$A$2004,"&lt;="&amp;EOMONTH($A144,0)))</f>
        <v/>
      </c>
      <c r="J144" s="33">
        <f>IF(OR($A144="",$B144=""),"",SUMIFS(근태기록!$J$5:$J$2004,근태기록!$C$5:$C$2004,$B144,근태기록!$A$5:$A$2004,"&gt;="&amp;$A144,근태기록!$A$5:$A$2004,"&lt;="&amp;EOMONTH($A144,0)))</f>
        <v/>
      </c>
      <c r="K144" s="33">
        <f>IF(OR($A144="",$B144=""),"",SUMIFS(근태기록!$H$5:$H$2004,근태기록!$C$5:$C$2004,$B144,근태기록!$A$5:$A$2004,"&gt;="&amp;$A144,근태기록!$A$5:$A$2004,"&lt;="&amp;EOMONTH($A144,0),근태기록!$L$5:$L$2004,"휴일근로"))</f>
        <v/>
      </c>
      <c r="L144" s="20" t="n"/>
      <c r="M144" s="20" t="n"/>
      <c r="N144" s="20" t="n"/>
      <c r="O144" s="20" t="n"/>
      <c r="P144" s="15">
        <f>IF(OR($A144="",$B144=""),"",SUM(L144:O144))</f>
        <v/>
      </c>
      <c r="Q144" s="20" t="n"/>
      <c r="R144" s="20" t="n"/>
      <c r="S144" s="20" t="n"/>
      <c r="T144" s="20" t="n"/>
      <c r="U144" s="20" t="n"/>
      <c r="V144" s="20" t="n"/>
      <c r="W144" s="15">
        <f>IF(OR($A144="",$B144=""),"",SUM(Q144:V144))</f>
        <v/>
      </c>
      <c r="X144" s="15">
        <f>IF(OR($A144="",$B144=""),"",N(P144)-N(W144))</f>
        <v/>
      </c>
    </row>
    <row r="145">
      <c r="A145" s="43" t="n"/>
      <c r="B145" s="18" t="n"/>
      <c r="C145" s="25">
        <f>IFERROR(IF($B145="","",IF(INDEX(직원명부!$B$5:$B$24,MATCH($B145,직원명부!$A$5:$A$24,0))=0,"",INDEX(직원명부!$B$5:$B$24,MATCH($B145,직원명부!$A$5:$A$24,0)))),"사번 확인")</f>
        <v/>
      </c>
      <c r="D145" s="26">
        <f>IFERROR(IF($B145="","",IF(INDEX(근로자명부!$D$5:$D$24,MATCH($B145,근로자명부!$A$5:$A$24,0))=0,"",INDEX(근로자명부!$D$5:$D$24,MATCH($B145,근로자명부!$A$5:$A$24,0)))),"")</f>
        <v/>
      </c>
      <c r="E145" s="26">
        <f>IFERROR(IF($B145="","",IF(INDEX(직원명부!$C$5:$C$24,MATCH($B145,직원명부!$A$5:$A$24,0))=0,"",INDEX(직원명부!$C$5:$C$24,MATCH($B145,직원명부!$A$5:$A$24,0)))),"")</f>
        <v/>
      </c>
      <c r="F145" s="44">
        <f>IFERROR(IF($B145="","",IF(INDEX(근로자명부!$G$5:$G$24,MATCH($B145,근로자명부!$A$5:$A$24,0))=0,"",INDEX(근로자명부!$G$5:$G$24,MATCH($B145,근로자명부!$A$5:$A$24,0)))),"")</f>
        <v/>
      </c>
      <c r="G145" s="30">
        <f>IF(OR($A145="",$B145=""),"",COUNTIFS(근태기록!$C$5:$C$2004,$B145,근태기록!$A$5:$A$2004,"&gt;="&amp;$A145,근태기록!$A$5:$A$2004,"&lt;="&amp;EOMONTH($A145,0),근태기록!$H$5:$H$2004,"&gt;0"))</f>
        <v/>
      </c>
      <c r="H145" s="33">
        <f>IF(OR($A145="",$B145=""),"",SUMIFS(근태기록!$H$5:$H$2004,근태기록!$C$5:$C$2004,$B145,근태기록!$A$5:$A$2004,"&gt;="&amp;$A145,근태기록!$A$5:$A$2004,"&lt;="&amp;EOMONTH($A145,0)))</f>
        <v/>
      </c>
      <c r="I145" s="33">
        <f>IF(OR($A145="",$B145=""),"",SUMIFS(근태기록!$I$5:$I$2004,근태기록!$C$5:$C$2004,$B145,근태기록!$A$5:$A$2004,"&gt;="&amp;$A145,근태기록!$A$5:$A$2004,"&lt;="&amp;EOMONTH($A145,0)))</f>
        <v/>
      </c>
      <c r="J145" s="33">
        <f>IF(OR($A145="",$B145=""),"",SUMIFS(근태기록!$J$5:$J$2004,근태기록!$C$5:$C$2004,$B145,근태기록!$A$5:$A$2004,"&gt;="&amp;$A145,근태기록!$A$5:$A$2004,"&lt;="&amp;EOMONTH($A145,0)))</f>
        <v/>
      </c>
      <c r="K145" s="33">
        <f>IF(OR($A145="",$B145=""),"",SUMIFS(근태기록!$H$5:$H$2004,근태기록!$C$5:$C$2004,$B145,근태기록!$A$5:$A$2004,"&gt;="&amp;$A145,근태기록!$A$5:$A$2004,"&lt;="&amp;EOMONTH($A145,0),근태기록!$L$5:$L$2004,"휴일근로"))</f>
        <v/>
      </c>
      <c r="L145" s="20" t="n"/>
      <c r="M145" s="20" t="n"/>
      <c r="N145" s="20" t="n"/>
      <c r="O145" s="20" t="n"/>
      <c r="P145" s="15">
        <f>IF(OR($A145="",$B145=""),"",SUM(L145:O145))</f>
        <v/>
      </c>
      <c r="Q145" s="20" t="n"/>
      <c r="R145" s="20" t="n"/>
      <c r="S145" s="20" t="n"/>
      <c r="T145" s="20" t="n"/>
      <c r="U145" s="20" t="n"/>
      <c r="V145" s="20" t="n"/>
      <c r="W145" s="15">
        <f>IF(OR($A145="",$B145=""),"",SUM(Q145:V145))</f>
        <v/>
      </c>
      <c r="X145" s="15">
        <f>IF(OR($A145="",$B145=""),"",N(P145)-N(W145))</f>
        <v/>
      </c>
    </row>
    <row r="146">
      <c r="A146" s="43" t="n"/>
      <c r="B146" s="18" t="n"/>
      <c r="C146" s="25">
        <f>IFERROR(IF($B146="","",IF(INDEX(직원명부!$B$5:$B$24,MATCH($B146,직원명부!$A$5:$A$24,0))=0,"",INDEX(직원명부!$B$5:$B$24,MATCH($B146,직원명부!$A$5:$A$24,0)))),"사번 확인")</f>
        <v/>
      </c>
      <c r="D146" s="26">
        <f>IFERROR(IF($B146="","",IF(INDEX(근로자명부!$D$5:$D$24,MATCH($B146,근로자명부!$A$5:$A$24,0))=0,"",INDEX(근로자명부!$D$5:$D$24,MATCH($B146,근로자명부!$A$5:$A$24,0)))),"")</f>
        <v/>
      </c>
      <c r="E146" s="26">
        <f>IFERROR(IF($B146="","",IF(INDEX(직원명부!$C$5:$C$24,MATCH($B146,직원명부!$A$5:$A$24,0))=0,"",INDEX(직원명부!$C$5:$C$24,MATCH($B146,직원명부!$A$5:$A$24,0)))),"")</f>
        <v/>
      </c>
      <c r="F146" s="44">
        <f>IFERROR(IF($B146="","",IF(INDEX(근로자명부!$G$5:$G$24,MATCH($B146,근로자명부!$A$5:$A$24,0))=0,"",INDEX(근로자명부!$G$5:$G$24,MATCH($B146,근로자명부!$A$5:$A$24,0)))),"")</f>
        <v/>
      </c>
      <c r="G146" s="30">
        <f>IF(OR($A146="",$B146=""),"",COUNTIFS(근태기록!$C$5:$C$2004,$B146,근태기록!$A$5:$A$2004,"&gt;="&amp;$A146,근태기록!$A$5:$A$2004,"&lt;="&amp;EOMONTH($A146,0),근태기록!$H$5:$H$2004,"&gt;0"))</f>
        <v/>
      </c>
      <c r="H146" s="33">
        <f>IF(OR($A146="",$B146=""),"",SUMIFS(근태기록!$H$5:$H$2004,근태기록!$C$5:$C$2004,$B146,근태기록!$A$5:$A$2004,"&gt;="&amp;$A146,근태기록!$A$5:$A$2004,"&lt;="&amp;EOMONTH($A146,0)))</f>
        <v/>
      </c>
      <c r="I146" s="33">
        <f>IF(OR($A146="",$B146=""),"",SUMIFS(근태기록!$I$5:$I$2004,근태기록!$C$5:$C$2004,$B146,근태기록!$A$5:$A$2004,"&gt;="&amp;$A146,근태기록!$A$5:$A$2004,"&lt;="&amp;EOMONTH($A146,0)))</f>
        <v/>
      </c>
      <c r="J146" s="33">
        <f>IF(OR($A146="",$B146=""),"",SUMIFS(근태기록!$J$5:$J$2004,근태기록!$C$5:$C$2004,$B146,근태기록!$A$5:$A$2004,"&gt;="&amp;$A146,근태기록!$A$5:$A$2004,"&lt;="&amp;EOMONTH($A146,0)))</f>
        <v/>
      </c>
      <c r="K146" s="33">
        <f>IF(OR($A146="",$B146=""),"",SUMIFS(근태기록!$H$5:$H$2004,근태기록!$C$5:$C$2004,$B146,근태기록!$A$5:$A$2004,"&gt;="&amp;$A146,근태기록!$A$5:$A$2004,"&lt;="&amp;EOMONTH($A146,0),근태기록!$L$5:$L$2004,"휴일근로"))</f>
        <v/>
      </c>
      <c r="L146" s="20" t="n"/>
      <c r="M146" s="20" t="n"/>
      <c r="N146" s="20" t="n"/>
      <c r="O146" s="20" t="n"/>
      <c r="P146" s="15">
        <f>IF(OR($A146="",$B146=""),"",SUM(L146:O146))</f>
        <v/>
      </c>
      <c r="Q146" s="20" t="n"/>
      <c r="R146" s="20" t="n"/>
      <c r="S146" s="20" t="n"/>
      <c r="T146" s="20" t="n"/>
      <c r="U146" s="20" t="n"/>
      <c r="V146" s="20" t="n"/>
      <c r="W146" s="15">
        <f>IF(OR($A146="",$B146=""),"",SUM(Q146:V146))</f>
        <v/>
      </c>
      <c r="X146" s="15">
        <f>IF(OR($A146="",$B146=""),"",N(P146)-N(W146))</f>
        <v/>
      </c>
    </row>
    <row r="147">
      <c r="A147" s="43" t="n"/>
      <c r="B147" s="18" t="n"/>
      <c r="C147" s="25">
        <f>IFERROR(IF($B147="","",IF(INDEX(직원명부!$B$5:$B$24,MATCH($B147,직원명부!$A$5:$A$24,0))=0,"",INDEX(직원명부!$B$5:$B$24,MATCH($B147,직원명부!$A$5:$A$24,0)))),"사번 확인")</f>
        <v/>
      </c>
      <c r="D147" s="26">
        <f>IFERROR(IF($B147="","",IF(INDEX(근로자명부!$D$5:$D$24,MATCH($B147,근로자명부!$A$5:$A$24,0))=0,"",INDEX(근로자명부!$D$5:$D$24,MATCH($B147,근로자명부!$A$5:$A$24,0)))),"")</f>
        <v/>
      </c>
      <c r="E147" s="26">
        <f>IFERROR(IF($B147="","",IF(INDEX(직원명부!$C$5:$C$24,MATCH($B147,직원명부!$A$5:$A$24,0))=0,"",INDEX(직원명부!$C$5:$C$24,MATCH($B147,직원명부!$A$5:$A$24,0)))),"")</f>
        <v/>
      </c>
      <c r="F147" s="44">
        <f>IFERROR(IF($B147="","",IF(INDEX(근로자명부!$G$5:$G$24,MATCH($B147,근로자명부!$A$5:$A$24,0))=0,"",INDEX(근로자명부!$G$5:$G$24,MATCH($B147,근로자명부!$A$5:$A$24,0)))),"")</f>
        <v/>
      </c>
      <c r="G147" s="30">
        <f>IF(OR($A147="",$B147=""),"",COUNTIFS(근태기록!$C$5:$C$2004,$B147,근태기록!$A$5:$A$2004,"&gt;="&amp;$A147,근태기록!$A$5:$A$2004,"&lt;="&amp;EOMONTH($A147,0),근태기록!$H$5:$H$2004,"&gt;0"))</f>
        <v/>
      </c>
      <c r="H147" s="33">
        <f>IF(OR($A147="",$B147=""),"",SUMIFS(근태기록!$H$5:$H$2004,근태기록!$C$5:$C$2004,$B147,근태기록!$A$5:$A$2004,"&gt;="&amp;$A147,근태기록!$A$5:$A$2004,"&lt;="&amp;EOMONTH($A147,0)))</f>
        <v/>
      </c>
      <c r="I147" s="33">
        <f>IF(OR($A147="",$B147=""),"",SUMIFS(근태기록!$I$5:$I$2004,근태기록!$C$5:$C$2004,$B147,근태기록!$A$5:$A$2004,"&gt;="&amp;$A147,근태기록!$A$5:$A$2004,"&lt;="&amp;EOMONTH($A147,0)))</f>
        <v/>
      </c>
      <c r="J147" s="33">
        <f>IF(OR($A147="",$B147=""),"",SUMIFS(근태기록!$J$5:$J$2004,근태기록!$C$5:$C$2004,$B147,근태기록!$A$5:$A$2004,"&gt;="&amp;$A147,근태기록!$A$5:$A$2004,"&lt;="&amp;EOMONTH($A147,0)))</f>
        <v/>
      </c>
      <c r="K147" s="33">
        <f>IF(OR($A147="",$B147=""),"",SUMIFS(근태기록!$H$5:$H$2004,근태기록!$C$5:$C$2004,$B147,근태기록!$A$5:$A$2004,"&gt;="&amp;$A147,근태기록!$A$5:$A$2004,"&lt;="&amp;EOMONTH($A147,0),근태기록!$L$5:$L$2004,"휴일근로"))</f>
        <v/>
      </c>
      <c r="L147" s="20" t="n"/>
      <c r="M147" s="20" t="n"/>
      <c r="N147" s="20" t="n"/>
      <c r="O147" s="20" t="n"/>
      <c r="P147" s="15">
        <f>IF(OR($A147="",$B147=""),"",SUM(L147:O147))</f>
        <v/>
      </c>
      <c r="Q147" s="20" t="n"/>
      <c r="R147" s="20" t="n"/>
      <c r="S147" s="20" t="n"/>
      <c r="T147" s="20" t="n"/>
      <c r="U147" s="20" t="n"/>
      <c r="V147" s="20" t="n"/>
      <c r="W147" s="15">
        <f>IF(OR($A147="",$B147=""),"",SUM(Q147:V147))</f>
        <v/>
      </c>
      <c r="X147" s="15">
        <f>IF(OR($A147="",$B147=""),"",N(P147)-N(W147))</f>
        <v/>
      </c>
    </row>
    <row r="148">
      <c r="A148" s="43" t="n"/>
      <c r="B148" s="18" t="n"/>
      <c r="C148" s="25">
        <f>IFERROR(IF($B148="","",IF(INDEX(직원명부!$B$5:$B$24,MATCH($B148,직원명부!$A$5:$A$24,0))=0,"",INDEX(직원명부!$B$5:$B$24,MATCH($B148,직원명부!$A$5:$A$24,0)))),"사번 확인")</f>
        <v/>
      </c>
      <c r="D148" s="26">
        <f>IFERROR(IF($B148="","",IF(INDEX(근로자명부!$D$5:$D$24,MATCH($B148,근로자명부!$A$5:$A$24,0))=0,"",INDEX(근로자명부!$D$5:$D$24,MATCH($B148,근로자명부!$A$5:$A$24,0)))),"")</f>
        <v/>
      </c>
      <c r="E148" s="26">
        <f>IFERROR(IF($B148="","",IF(INDEX(직원명부!$C$5:$C$24,MATCH($B148,직원명부!$A$5:$A$24,0))=0,"",INDEX(직원명부!$C$5:$C$24,MATCH($B148,직원명부!$A$5:$A$24,0)))),"")</f>
        <v/>
      </c>
      <c r="F148" s="44">
        <f>IFERROR(IF($B148="","",IF(INDEX(근로자명부!$G$5:$G$24,MATCH($B148,근로자명부!$A$5:$A$24,0))=0,"",INDEX(근로자명부!$G$5:$G$24,MATCH($B148,근로자명부!$A$5:$A$24,0)))),"")</f>
        <v/>
      </c>
      <c r="G148" s="30">
        <f>IF(OR($A148="",$B148=""),"",COUNTIFS(근태기록!$C$5:$C$2004,$B148,근태기록!$A$5:$A$2004,"&gt;="&amp;$A148,근태기록!$A$5:$A$2004,"&lt;="&amp;EOMONTH($A148,0),근태기록!$H$5:$H$2004,"&gt;0"))</f>
        <v/>
      </c>
      <c r="H148" s="33">
        <f>IF(OR($A148="",$B148=""),"",SUMIFS(근태기록!$H$5:$H$2004,근태기록!$C$5:$C$2004,$B148,근태기록!$A$5:$A$2004,"&gt;="&amp;$A148,근태기록!$A$5:$A$2004,"&lt;="&amp;EOMONTH($A148,0)))</f>
        <v/>
      </c>
      <c r="I148" s="33">
        <f>IF(OR($A148="",$B148=""),"",SUMIFS(근태기록!$I$5:$I$2004,근태기록!$C$5:$C$2004,$B148,근태기록!$A$5:$A$2004,"&gt;="&amp;$A148,근태기록!$A$5:$A$2004,"&lt;="&amp;EOMONTH($A148,0)))</f>
        <v/>
      </c>
      <c r="J148" s="33">
        <f>IF(OR($A148="",$B148=""),"",SUMIFS(근태기록!$J$5:$J$2004,근태기록!$C$5:$C$2004,$B148,근태기록!$A$5:$A$2004,"&gt;="&amp;$A148,근태기록!$A$5:$A$2004,"&lt;="&amp;EOMONTH($A148,0)))</f>
        <v/>
      </c>
      <c r="K148" s="33">
        <f>IF(OR($A148="",$B148=""),"",SUMIFS(근태기록!$H$5:$H$2004,근태기록!$C$5:$C$2004,$B148,근태기록!$A$5:$A$2004,"&gt;="&amp;$A148,근태기록!$A$5:$A$2004,"&lt;="&amp;EOMONTH($A148,0),근태기록!$L$5:$L$2004,"휴일근로"))</f>
        <v/>
      </c>
      <c r="L148" s="20" t="n"/>
      <c r="M148" s="20" t="n"/>
      <c r="N148" s="20" t="n"/>
      <c r="O148" s="20" t="n"/>
      <c r="P148" s="15">
        <f>IF(OR($A148="",$B148=""),"",SUM(L148:O148))</f>
        <v/>
      </c>
      <c r="Q148" s="20" t="n"/>
      <c r="R148" s="20" t="n"/>
      <c r="S148" s="20" t="n"/>
      <c r="T148" s="20" t="n"/>
      <c r="U148" s="20" t="n"/>
      <c r="V148" s="20" t="n"/>
      <c r="W148" s="15">
        <f>IF(OR($A148="",$B148=""),"",SUM(Q148:V148))</f>
        <v/>
      </c>
      <c r="X148" s="15">
        <f>IF(OR($A148="",$B148=""),"",N(P148)-N(W148))</f>
        <v/>
      </c>
    </row>
    <row r="149">
      <c r="A149" s="43" t="n"/>
      <c r="B149" s="18" t="n"/>
      <c r="C149" s="25">
        <f>IFERROR(IF($B149="","",IF(INDEX(직원명부!$B$5:$B$24,MATCH($B149,직원명부!$A$5:$A$24,0))=0,"",INDEX(직원명부!$B$5:$B$24,MATCH($B149,직원명부!$A$5:$A$24,0)))),"사번 확인")</f>
        <v/>
      </c>
      <c r="D149" s="26">
        <f>IFERROR(IF($B149="","",IF(INDEX(근로자명부!$D$5:$D$24,MATCH($B149,근로자명부!$A$5:$A$24,0))=0,"",INDEX(근로자명부!$D$5:$D$24,MATCH($B149,근로자명부!$A$5:$A$24,0)))),"")</f>
        <v/>
      </c>
      <c r="E149" s="26">
        <f>IFERROR(IF($B149="","",IF(INDEX(직원명부!$C$5:$C$24,MATCH($B149,직원명부!$A$5:$A$24,0))=0,"",INDEX(직원명부!$C$5:$C$24,MATCH($B149,직원명부!$A$5:$A$24,0)))),"")</f>
        <v/>
      </c>
      <c r="F149" s="44">
        <f>IFERROR(IF($B149="","",IF(INDEX(근로자명부!$G$5:$G$24,MATCH($B149,근로자명부!$A$5:$A$24,0))=0,"",INDEX(근로자명부!$G$5:$G$24,MATCH($B149,근로자명부!$A$5:$A$24,0)))),"")</f>
        <v/>
      </c>
      <c r="G149" s="30">
        <f>IF(OR($A149="",$B149=""),"",COUNTIFS(근태기록!$C$5:$C$2004,$B149,근태기록!$A$5:$A$2004,"&gt;="&amp;$A149,근태기록!$A$5:$A$2004,"&lt;="&amp;EOMONTH($A149,0),근태기록!$H$5:$H$2004,"&gt;0"))</f>
        <v/>
      </c>
      <c r="H149" s="33">
        <f>IF(OR($A149="",$B149=""),"",SUMIFS(근태기록!$H$5:$H$2004,근태기록!$C$5:$C$2004,$B149,근태기록!$A$5:$A$2004,"&gt;="&amp;$A149,근태기록!$A$5:$A$2004,"&lt;="&amp;EOMONTH($A149,0)))</f>
        <v/>
      </c>
      <c r="I149" s="33">
        <f>IF(OR($A149="",$B149=""),"",SUMIFS(근태기록!$I$5:$I$2004,근태기록!$C$5:$C$2004,$B149,근태기록!$A$5:$A$2004,"&gt;="&amp;$A149,근태기록!$A$5:$A$2004,"&lt;="&amp;EOMONTH($A149,0)))</f>
        <v/>
      </c>
      <c r="J149" s="33">
        <f>IF(OR($A149="",$B149=""),"",SUMIFS(근태기록!$J$5:$J$2004,근태기록!$C$5:$C$2004,$B149,근태기록!$A$5:$A$2004,"&gt;="&amp;$A149,근태기록!$A$5:$A$2004,"&lt;="&amp;EOMONTH($A149,0)))</f>
        <v/>
      </c>
      <c r="K149" s="33">
        <f>IF(OR($A149="",$B149=""),"",SUMIFS(근태기록!$H$5:$H$2004,근태기록!$C$5:$C$2004,$B149,근태기록!$A$5:$A$2004,"&gt;="&amp;$A149,근태기록!$A$5:$A$2004,"&lt;="&amp;EOMONTH($A149,0),근태기록!$L$5:$L$2004,"휴일근로"))</f>
        <v/>
      </c>
      <c r="L149" s="20" t="n"/>
      <c r="M149" s="20" t="n"/>
      <c r="N149" s="20" t="n"/>
      <c r="O149" s="20" t="n"/>
      <c r="P149" s="15">
        <f>IF(OR($A149="",$B149=""),"",SUM(L149:O149))</f>
        <v/>
      </c>
      <c r="Q149" s="20" t="n"/>
      <c r="R149" s="20" t="n"/>
      <c r="S149" s="20" t="n"/>
      <c r="T149" s="20" t="n"/>
      <c r="U149" s="20" t="n"/>
      <c r="V149" s="20" t="n"/>
      <c r="W149" s="15">
        <f>IF(OR($A149="",$B149=""),"",SUM(Q149:V149))</f>
        <v/>
      </c>
      <c r="X149" s="15">
        <f>IF(OR($A149="",$B149=""),"",N(P149)-N(W149))</f>
        <v/>
      </c>
    </row>
    <row r="150">
      <c r="A150" s="43" t="n"/>
      <c r="B150" s="18" t="n"/>
      <c r="C150" s="25">
        <f>IFERROR(IF($B150="","",IF(INDEX(직원명부!$B$5:$B$24,MATCH($B150,직원명부!$A$5:$A$24,0))=0,"",INDEX(직원명부!$B$5:$B$24,MATCH($B150,직원명부!$A$5:$A$24,0)))),"사번 확인")</f>
        <v/>
      </c>
      <c r="D150" s="26">
        <f>IFERROR(IF($B150="","",IF(INDEX(근로자명부!$D$5:$D$24,MATCH($B150,근로자명부!$A$5:$A$24,0))=0,"",INDEX(근로자명부!$D$5:$D$24,MATCH($B150,근로자명부!$A$5:$A$24,0)))),"")</f>
        <v/>
      </c>
      <c r="E150" s="26">
        <f>IFERROR(IF($B150="","",IF(INDEX(직원명부!$C$5:$C$24,MATCH($B150,직원명부!$A$5:$A$24,0))=0,"",INDEX(직원명부!$C$5:$C$24,MATCH($B150,직원명부!$A$5:$A$24,0)))),"")</f>
        <v/>
      </c>
      <c r="F150" s="44">
        <f>IFERROR(IF($B150="","",IF(INDEX(근로자명부!$G$5:$G$24,MATCH($B150,근로자명부!$A$5:$A$24,0))=0,"",INDEX(근로자명부!$G$5:$G$24,MATCH($B150,근로자명부!$A$5:$A$24,0)))),"")</f>
        <v/>
      </c>
      <c r="G150" s="30">
        <f>IF(OR($A150="",$B150=""),"",COUNTIFS(근태기록!$C$5:$C$2004,$B150,근태기록!$A$5:$A$2004,"&gt;="&amp;$A150,근태기록!$A$5:$A$2004,"&lt;="&amp;EOMONTH($A150,0),근태기록!$H$5:$H$2004,"&gt;0"))</f>
        <v/>
      </c>
      <c r="H150" s="33">
        <f>IF(OR($A150="",$B150=""),"",SUMIFS(근태기록!$H$5:$H$2004,근태기록!$C$5:$C$2004,$B150,근태기록!$A$5:$A$2004,"&gt;="&amp;$A150,근태기록!$A$5:$A$2004,"&lt;="&amp;EOMONTH($A150,0)))</f>
        <v/>
      </c>
      <c r="I150" s="33">
        <f>IF(OR($A150="",$B150=""),"",SUMIFS(근태기록!$I$5:$I$2004,근태기록!$C$5:$C$2004,$B150,근태기록!$A$5:$A$2004,"&gt;="&amp;$A150,근태기록!$A$5:$A$2004,"&lt;="&amp;EOMONTH($A150,0)))</f>
        <v/>
      </c>
      <c r="J150" s="33">
        <f>IF(OR($A150="",$B150=""),"",SUMIFS(근태기록!$J$5:$J$2004,근태기록!$C$5:$C$2004,$B150,근태기록!$A$5:$A$2004,"&gt;="&amp;$A150,근태기록!$A$5:$A$2004,"&lt;="&amp;EOMONTH($A150,0)))</f>
        <v/>
      </c>
      <c r="K150" s="33">
        <f>IF(OR($A150="",$B150=""),"",SUMIFS(근태기록!$H$5:$H$2004,근태기록!$C$5:$C$2004,$B150,근태기록!$A$5:$A$2004,"&gt;="&amp;$A150,근태기록!$A$5:$A$2004,"&lt;="&amp;EOMONTH($A150,0),근태기록!$L$5:$L$2004,"휴일근로"))</f>
        <v/>
      </c>
      <c r="L150" s="20" t="n"/>
      <c r="M150" s="20" t="n"/>
      <c r="N150" s="20" t="n"/>
      <c r="O150" s="20" t="n"/>
      <c r="P150" s="15">
        <f>IF(OR($A150="",$B150=""),"",SUM(L150:O150))</f>
        <v/>
      </c>
      <c r="Q150" s="20" t="n"/>
      <c r="R150" s="20" t="n"/>
      <c r="S150" s="20" t="n"/>
      <c r="T150" s="20" t="n"/>
      <c r="U150" s="20" t="n"/>
      <c r="V150" s="20" t="n"/>
      <c r="W150" s="15">
        <f>IF(OR($A150="",$B150=""),"",SUM(Q150:V150))</f>
        <v/>
      </c>
      <c r="X150" s="15">
        <f>IF(OR($A150="",$B150=""),"",N(P150)-N(W150))</f>
        <v/>
      </c>
    </row>
    <row r="151">
      <c r="A151" s="43" t="n"/>
      <c r="B151" s="18" t="n"/>
      <c r="C151" s="25">
        <f>IFERROR(IF($B151="","",IF(INDEX(직원명부!$B$5:$B$24,MATCH($B151,직원명부!$A$5:$A$24,0))=0,"",INDEX(직원명부!$B$5:$B$24,MATCH($B151,직원명부!$A$5:$A$24,0)))),"사번 확인")</f>
        <v/>
      </c>
      <c r="D151" s="26">
        <f>IFERROR(IF($B151="","",IF(INDEX(근로자명부!$D$5:$D$24,MATCH($B151,근로자명부!$A$5:$A$24,0))=0,"",INDEX(근로자명부!$D$5:$D$24,MATCH($B151,근로자명부!$A$5:$A$24,0)))),"")</f>
        <v/>
      </c>
      <c r="E151" s="26">
        <f>IFERROR(IF($B151="","",IF(INDEX(직원명부!$C$5:$C$24,MATCH($B151,직원명부!$A$5:$A$24,0))=0,"",INDEX(직원명부!$C$5:$C$24,MATCH($B151,직원명부!$A$5:$A$24,0)))),"")</f>
        <v/>
      </c>
      <c r="F151" s="44">
        <f>IFERROR(IF($B151="","",IF(INDEX(근로자명부!$G$5:$G$24,MATCH($B151,근로자명부!$A$5:$A$24,0))=0,"",INDEX(근로자명부!$G$5:$G$24,MATCH($B151,근로자명부!$A$5:$A$24,0)))),"")</f>
        <v/>
      </c>
      <c r="G151" s="30">
        <f>IF(OR($A151="",$B151=""),"",COUNTIFS(근태기록!$C$5:$C$2004,$B151,근태기록!$A$5:$A$2004,"&gt;="&amp;$A151,근태기록!$A$5:$A$2004,"&lt;="&amp;EOMONTH($A151,0),근태기록!$H$5:$H$2004,"&gt;0"))</f>
        <v/>
      </c>
      <c r="H151" s="33">
        <f>IF(OR($A151="",$B151=""),"",SUMIFS(근태기록!$H$5:$H$2004,근태기록!$C$5:$C$2004,$B151,근태기록!$A$5:$A$2004,"&gt;="&amp;$A151,근태기록!$A$5:$A$2004,"&lt;="&amp;EOMONTH($A151,0)))</f>
        <v/>
      </c>
      <c r="I151" s="33">
        <f>IF(OR($A151="",$B151=""),"",SUMIFS(근태기록!$I$5:$I$2004,근태기록!$C$5:$C$2004,$B151,근태기록!$A$5:$A$2004,"&gt;="&amp;$A151,근태기록!$A$5:$A$2004,"&lt;="&amp;EOMONTH($A151,0)))</f>
        <v/>
      </c>
      <c r="J151" s="33">
        <f>IF(OR($A151="",$B151=""),"",SUMIFS(근태기록!$J$5:$J$2004,근태기록!$C$5:$C$2004,$B151,근태기록!$A$5:$A$2004,"&gt;="&amp;$A151,근태기록!$A$5:$A$2004,"&lt;="&amp;EOMONTH($A151,0)))</f>
        <v/>
      </c>
      <c r="K151" s="33">
        <f>IF(OR($A151="",$B151=""),"",SUMIFS(근태기록!$H$5:$H$2004,근태기록!$C$5:$C$2004,$B151,근태기록!$A$5:$A$2004,"&gt;="&amp;$A151,근태기록!$A$5:$A$2004,"&lt;="&amp;EOMONTH($A151,0),근태기록!$L$5:$L$2004,"휴일근로"))</f>
        <v/>
      </c>
      <c r="L151" s="20" t="n"/>
      <c r="M151" s="20" t="n"/>
      <c r="N151" s="20" t="n"/>
      <c r="O151" s="20" t="n"/>
      <c r="P151" s="15">
        <f>IF(OR($A151="",$B151=""),"",SUM(L151:O151))</f>
        <v/>
      </c>
      <c r="Q151" s="20" t="n"/>
      <c r="R151" s="20" t="n"/>
      <c r="S151" s="20" t="n"/>
      <c r="T151" s="20" t="n"/>
      <c r="U151" s="20" t="n"/>
      <c r="V151" s="20" t="n"/>
      <c r="W151" s="15">
        <f>IF(OR($A151="",$B151=""),"",SUM(Q151:V151))</f>
        <v/>
      </c>
      <c r="X151" s="15">
        <f>IF(OR($A151="",$B151=""),"",N(P151)-N(W151))</f>
        <v/>
      </c>
    </row>
    <row r="152">
      <c r="A152" s="43" t="n"/>
      <c r="B152" s="18" t="n"/>
      <c r="C152" s="25">
        <f>IFERROR(IF($B152="","",IF(INDEX(직원명부!$B$5:$B$24,MATCH($B152,직원명부!$A$5:$A$24,0))=0,"",INDEX(직원명부!$B$5:$B$24,MATCH($B152,직원명부!$A$5:$A$24,0)))),"사번 확인")</f>
        <v/>
      </c>
      <c r="D152" s="26">
        <f>IFERROR(IF($B152="","",IF(INDEX(근로자명부!$D$5:$D$24,MATCH($B152,근로자명부!$A$5:$A$24,0))=0,"",INDEX(근로자명부!$D$5:$D$24,MATCH($B152,근로자명부!$A$5:$A$24,0)))),"")</f>
        <v/>
      </c>
      <c r="E152" s="26">
        <f>IFERROR(IF($B152="","",IF(INDEX(직원명부!$C$5:$C$24,MATCH($B152,직원명부!$A$5:$A$24,0))=0,"",INDEX(직원명부!$C$5:$C$24,MATCH($B152,직원명부!$A$5:$A$24,0)))),"")</f>
        <v/>
      </c>
      <c r="F152" s="44">
        <f>IFERROR(IF($B152="","",IF(INDEX(근로자명부!$G$5:$G$24,MATCH($B152,근로자명부!$A$5:$A$24,0))=0,"",INDEX(근로자명부!$G$5:$G$24,MATCH($B152,근로자명부!$A$5:$A$24,0)))),"")</f>
        <v/>
      </c>
      <c r="G152" s="30">
        <f>IF(OR($A152="",$B152=""),"",COUNTIFS(근태기록!$C$5:$C$2004,$B152,근태기록!$A$5:$A$2004,"&gt;="&amp;$A152,근태기록!$A$5:$A$2004,"&lt;="&amp;EOMONTH($A152,0),근태기록!$H$5:$H$2004,"&gt;0"))</f>
        <v/>
      </c>
      <c r="H152" s="33">
        <f>IF(OR($A152="",$B152=""),"",SUMIFS(근태기록!$H$5:$H$2004,근태기록!$C$5:$C$2004,$B152,근태기록!$A$5:$A$2004,"&gt;="&amp;$A152,근태기록!$A$5:$A$2004,"&lt;="&amp;EOMONTH($A152,0)))</f>
        <v/>
      </c>
      <c r="I152" s="33">
        <f>IF(OR($A152="",$B152=""),"",SUMIFS(근태기록!$I$5:$I$2004,근태기록!$C$5:$C$2004,$B152,근태기록!$A$5:$A$2004,"&gt;="&amp;$A152,근태기록!$A$5:$A$2004,"&lt;="&amp;EOMONTH($A152,0)))</f>
        <v/>
      </c>
      <c r="J152" s="33">
        <f>IF(OR($A152="",$B152=""),"",SUMIFS(근태기록!$J$5:$J$2004,근태기록!$C$5:$C$2004,$B152,근태기록!$A$5:$A$2004,"&gt;="&amp;$A152,근태기록!$A$5:$A$2004,"&lt;="&amp;EOMONTH($A152,0)))</f>
        <v/>
      </c>
      <c r="K152" s="33">
        <f>IF(OR($A152="",$B152=""),"",SUMIFS(근태기록!$H$5:$H$2004,근태기록!$C$5:$C$2004,$B152,근태기록!$A$5:$A$2004,"&gt;="&amp;$A152,근태기록!$A$5:$A$2004,"&lt;="&amp;EOMONTH($A152,0),근태기록!$L$5:$L$2004,"휴일근로"))</f>
        <v/>
      </c>
      <c r="L152" s="20" t="n"/>
      <c r="M152" s="20" t="n"/>
      <c r="N152" s="20" t="n"/>
      <c r="O152" s="20" t="n"/>
      <c r="P152" s="15">
        <f>IF(OR($A152="",$B152=""),"",SUM(L152:O152))</f>
        <v/>
      </c>
      <c r="Q152" s="20" t="n"/>
      <c r="R152" s="20" t="n"/>
      <c r="S152" s="20" t="n"/>
      <c r="T152" s="20" t="n"/>
      <c r="U152" s="20" t="n"/>
      <c r="V152" s="20" t="n"/>
      <c r="W152" s="15">
        <f>IF(OR($A152="",$B152=""),"",SUM(Q152:V152))</f>
        <v/>
      </c>
      <c r="X152" s="15">
        <f>IF(OR($A152="",$B152=""),"",N(P152)-N(W152))</f>
        <v/>
      </c>
    </row>
    <row r="153">
      <c r="A153" s="43" t="n"/>
      <c r="B153" s="18" t="n"/>
      <c r="C153" s="25">
        <f>IFERROR(IF($B153="","",IF(INDEX(직원명부!$B$5:$B$24,MATCH($B153,직원명부!$A$5:$A$24,0))=0,"",INDEX(직원명부!$B$5:$B$24,MATCH($B153,직원명부!$A$5:$A$24,0)))),"사번 확인")</f>
        <v/>
      </c>
      <c r="D153" s="26">
        <f>IFERROR(IF($B153="","",IF(INDEX(근로자명부!$D$5:$D$24,MATCH($B153,근로자명부!$A$5:$A$24,0))=0,"",INDEX(근로자명부!$D$5:$D$24,MATCH($B153,근로자명부!$A$5:$A$24,0)))),"")</f>
        <v/>
      </c>
      <c r="E153" s="26">
        <f>IFERROR(IF($B153="","",IF(INDEX(직원명부!$C$5:$C$24,MATCH($B153,직원명부!$A$5:$A$24,0))=0,"",INDEX(직원명부!$C$5:$C$24,MATCH($B153,직원명부!$A$5:$A$24,0)))),"")</f>
        <v/>
      </c>
      <c r="F153" s="44">
        <f>IFERROR(IF($B153="","",IF(INDEX(근로자명부!$G$5:$G$24,MATCH($B153,근로자명부!$A$5:$A$24,0))=0,"",INDEX(근로자명부!$G$5:$G$24,MATCH($B153,근로자명부!$A$5:$A$24,0)))),"")</f>
        <v/>
      </c>
      <c r="G153" s="30">
        <f>IF(OR($A153="",$B153=""),"",COUNTIFS(근태기록!$C$5:$C$2004,$B153,근태기록!$A$5:$A$2004,"&gt;="&amp;$A153,근태기록!$A$5:$A$2004,"&lt;="&amp;EOMONTH($A153,0),근태기록!$H$5:$H$2004,"&gt;0"))</f>
        <v/>
      </c>
      <c r="H153" s="33">
        <f>IF(OR($A153="",$B153=""),"",SUMIFS(근태기록!$H$5:$H$2004,근태기록!$C$5:$C$2004,$B153,근태기록!$A$5:$A$2004,"&gt;="&amp;$A153,근태기록!$A$5:$A$2004,"&lt;="&amp;EOMONTH($A153,0)))</f>
        <v/>
      </c>
      <c r="I153" s="33">
        <f>IF(OR($A153="",$B153=""),"",SUMIFS(근태기록!$I$5:$I$2004,근태기록!$C$5:$C$2004,$B153,근태기록!$A$5:$A$2004,"&gt;="&amp;$A153,근태기록!$A$5:$A$2004,"&lt;="&amp;EOMONTH($A153,0)))</f>
        <v/>
      </c>
      <c r="J153" s="33">
        <f>IF(OR($A153="",$B153=""),"",SUMIFS(근태기록!$J$5:$J$2004,근태기록!$C$5:$C$2004,$B153,근태기록!$A$5:$A$2004,"&gt;="&amp;$A153,근태기록!$A$5:$A$2004,"&lt;="&amp;EOMONTH($A153,0)))</f>
        <v/>
      </c>
      <c r="K153" s="33">
        <f>IF(OR($A153="",$B153=""),"",SUMIFS(근태기록!$H$5:$H$2004,근태기록!$C$5:$C$2004,$B153,근태기록!$A$5:$A$2004,"&gt;="&amp;$A153,근태기록!$A$5:$A$2004,"&lt;="&amp;EOMONTH($A153,0),근태기록!$L$5:$L$2004,"휴일근로"))</f>
        <v/>
      </c>
      <c r="L153" s="20" t="n"/>
      <c r="M153" s="20" t="n"/>
      <c r="N153" s="20" t="n"/>
      <c r="O153" s="20" t="n"/>
      <c r="P153" s="15">
        <f>IF(OR($A153="",$B153=""),"",SUM(L153:O153))</f>
        <v/>
      </c>
      <c r="Q153" s="20" t="n"/>
      <c r="R153" s="20" t="n"/>
      <c r="S153" s="20" t="n"/>
      <c r="T153" s="20" t="n"/>
      <c r="U153" s="20" t="n"/>
      <c r="V153" s="20" t="n"/>
      <c r="W153" s="15">
        <f>IF(OR($A153="",$B153=""),"",SUM(Q153:V153))</f>
        <v/>
      </c>
      <c r="X153" s="15">
        <f>IF(OR($A153="",$B153=""),"",N(P153)-N(W153))</f>
        <v/>
      </c>
    </row>
    <row r="154">
      <c r="A154" s="43" t="n"/>
      <c r="B154" s="18" t="n"/>
      <c r="C154" s="25">
        <f>IFERROR(IF($B154="","",IF(INDEX(직원명부!$B$5:$B$24,MATCH($B154,직원명부!$A$5:$A$24,0))=0,"",INDEX(직원명부!$B$5:$B$24,MATCH($B154,직원명부!$A$5:$A$24,0)))),"사번 확인")</f>
        <v/>
      </c>
      <c r="D154" s="26">
        <f>IFERROR(IF($B154="","",IF(INDEX(근로자명부!$D$5:$D$24,MATCH($B154,근로자명부!$A$5:$A$24,0))=0,"",INDEX(근로자명부!$D$5:$D$24,MATCH($B154,근로자명부!$A$5:$A$24,0)))),"")</f>
        <v/>
      </c>
      <c r="E154" s="26">
        <f>IFERROR(IF($B154="","",IF(INDEX(직원명부!$C$5:$C$24,MATCH($B154,직원명부!$A$5:$A$24,0))=0,"",INDEX(직원명부!$C$5:$C$24,MATCH($B154,직원명부!$A$5:$A$24,0)))),"")</f>
        <v/>
      </c>
      <c r="F154" s="44">
        <f>IFERROR(IF($B154="","",IF(INDEX(근로자명부!$G$5:$G$24,MATCH($B154,근로자명부!$A$5:$A$24,0))=0,"",INDEX(근로자명부!$G$5:$G$24,MATCH($B154,근로자명부!$A$5:$A$24,0)))),"")</f>
        <v/>
      </c>
      <c r="G154" s="30">
        <f>IF(OR($A154="",$B154=""),"",COUNTIFS(근태기록!$C$5:$C$2004,$B154,근태기록!$A$5:$A$2004,"&gt;="&amp;$A154,근태기록!$A$5:$A$2004,"&lt;="&amp;EOMONTH($A154,0),근태기록!$H$5:$H$2004,"&gt;0"))</f>
        <v/>
      </c>
      <c r="H154" s="33">
        <f>IF(OR($A154="",$B154=""),"",SUMIFS(근태기록!$H$5:$H$2004,근태기록!$C$5:$C$2004,$B154,근태기록!$A$5:$A$2004,"&gt;="&amp;$A154,근태기록!$A$5:$A$2004,"&lt;="&amp;EOMONTH($A154,0)))</f>
        <v/>
      </c>
      <c r="I154" s="33">
        <f>IF(OR($A154="",$B154=""),"",SUMIFS(근태기록!$I$5:$I$2004,근태기록!$C$5:$C$2004,$B154,근태기록!$A$5:$A$2004,"&gt;="&amp;$A154,근태기록!$A$5:$A$2004,"&lt;="&amp;EOMONTH($A154,0)))</f>
        <v/>
      </c>
      <c r="J154" s="33">
        <f>IF(OR($A154="",$B154=""),"",SUMIFS(근태기록!$J$5:$J$2004,근태기록!$C$5:$C$2004,$B154,근태기록!$A$5:$A$2004,"&gt;="&amp;$A154,근태기록!$A$5:$A$2004,"&lt;="&amp;EOMONTH($A154,0)))</f>
        <v/>
      </c>
      <c r="K154" s="33">
        <f>IF(OR($A154="",$B154=""),"",SUMIFS(근태기록!$H$5:$H$2004,근태기록!$C$5:$C$2004,$B154,근태기록!$A$5:$A$2004,"&gt;="&amp;$A154,근태기록!$A$5:$A$2004,"&lt;="&amp;EOMONTH($A154,0),근태기록!$L$5:$L$2004,"휴일근로"))</f>
        <v/>
      </c>
      <c r="L154" s="20" t="n"/>
      <c r="M154" s="20" t="n"/>
      <c r="N154" s="20" t="n"/>
      <c r="O154" s="20" t="n"/>
      <c r="P154" s="15">
        <f>IF(OR($A154="",$B154=""),"",SUM(L154:O154))</f>
        <v/>
      </c>
      <c r="Q154" s="20" t="n"/>
      <c r="R154" s="20" t="n"/>
      <c r="S154" s="20" t="n"/>
      <c r="T154" s="20" t="n"/>
      <c r="U154" s="20" t="n"/>
      <c r="V154" s="20" t="n"/>
      <c r="W154" s="15">
        <f>IF(OR($A154="",$B154=""),"",SUM(Q154:V154))</f>
        <v/>
      </c>
      <c r="X154" s="15">
        <f>IF(OR($A154="",$B154=""),"",N(P154)-N(W154))</f>
        <v/>
      </c>
    </row>
    <row r="155">
      <c r="A155" s="43" t="n"/>
      <c r="B155" s="18" t="n"/>
      <c r="C155" s="25">
        <f>IFERROR(IF($B155="","",IF(INDEX(직원명부!$B$5:$B$24,MATCH($B155,직원명부!$A$5:$A$24,0))=0,"",INDEX(직원명부!$B$5:$B$24,MATCH($B155,직원명부!$A$5:$A$24,0)))),"사번 확인")</f>
        <v/>
      </c>
      <c r="D155" s="26">
        <f>IFERROR(IF($B155="","",IF(INDEX(근로자명부!$D$5:$D$24,MATCH($B155,근로자명부!$A$5:$A$24,0))=0,"",INDEX(근로자명부!$D$5:$D$24,MATCH($B155,근로자명부!$A$5:$A$24,0)))),"")</f>
        <v/>
      </c>
      <c r="E155" s="26">
        <f>IFERROR(IF($B155="","",IF(INDEX(직원명부!$C$5:$C$24,MATCH($B155,직원명부!$A$5:$A$24,0))=0,"",INDEX(직원명부!$C$5:$C$24,MATCH($B155,직원명부!$A$5:$A$24,0)))),"")</f>
        <v/>
      </c>
      <c r="F155" s="44">
        <f>IFERROR(IF($B155="","",IF(INDEX(근로자명부!$G$5:$G$24,MATCH($B155,근로자명부!$A$5:$A$24,0))=0,"",INDEX(근로자명부!$G$5:$G$24,MATCH($B155,근로자명부!$A$5:$A$24,0)))),"")</f>
        <v/>
      </c>
      <c r="G155" s="30">
        <f>IF(OR($A155="",$B155=""),"",COUNTIFS(근태기록!$C$5:$C$2004,$B155,근태기록!$A$5:$A$2004,"&gt;="&amp;$A155,근태기록!$A$5:$A$2004,"&lt;="&amp;EOMONTH($A155,0),근태기록!$H$5:$H$2004,"&gt;0"))</f>
        <v/>
      </c>
      <c r="H155" s="33">
        <f>IF(OR($A155="",$B155=""),"",SUMIFS(근태기록!$H$5:$H$2004,근태기록!$C$5:$C$2004,$B155,근태기록!$A$5:$A$2004,"&gt;="&amp;$A155,근태기록!$A$5:$A$2004,"&lt;="&amp;EOMONTH($A155,0)))</f>
        <v/>
      </c>
      <c r="I155" s="33">
        <f>IF(OR($A155="",$B155=""),"",SUMIFS(근태기록!$I$5:$I$2004,근태기록!$C$5:$C$2004,$B155,근태기록!$A$5:$A$2004,"&gt;="&amp;$A155,근태기록!$A$5:$A$2004,"&lt;="&amp;EOMONTH($A155,0)))</f>
        <v/>
      </c>
      <c r="J155" s="33">
        <f>IF(OR($A155="",$B155=""),"",SUMIFS(근태기록!$J$5:$J$2004,근태기록!$C$5:$C$2004,$B155,근태기록!$A$5:$A$2004,"&gt;="&amp;$A155,근태기록!$A$5:$A$2004,"&lt;="&amp;EOMONTH($A155,0)))</f>
        <v/>
      </c>
      <c r="K155" s="33">
        <f>IF(OR($A155="",$B155=""),"",SUMIFS(근태기록!$H$5:$H$2004,근태기록!$C$5:$C$2004,$B155,근태기록!$A$5:$A$2004,"&gt;="&amp;$A155,근태기록!$A$5:$A$2004,"&lt;="&amp;EOMONTH($A155,0),근태기록!$L$5:$L$2004,"휴일근로"))</f>
        <v/>
      </c>
      <c r="L155" s="20" t="n"/>
      <c r="M155" s="20" t="n"/>
      <c r="N155" s="20" t="n"/>
      <c r="O155" s="20" t="n"/>
      <c r="P155" s="15">
        <f>IF(OR($A155="",$B155=""),"",SUM(L155:O155))</f>
        <v/>
      </c>
      <c r="Q155" s="20" t="n"/>
      <c r="R155" s="20" t="n"/>
      <c r="S155" s="20" t="n"/>
      <c r="T155" s="20" t="n"/>
      <c r="U155" s="20" t="n"/>
      <c r="V155" s="20" t="n"/>
      <c r="W155" s="15">
        <f>IF(OR($A155="",$B155=""),"",SUM(Q155:V155))</f>
        <v/>
      </c>
      <c r="X155" s="15">
        <f>IF(OR($A155="",$B155=""),"",N(P155)-N(W155))</f>
        <v/>
      </c>
    </row>
    <row r="156">
      <c r="A156" s="43" t="n"/>
      <c r="B156" s="18" t="n"/>
      <c r="C156" s="25">
        <f>IFERROR(IF($B156="","",IF(INDEX(직원명부!$B$5:$B$24,MATCH($B156,직원명부!$A$5:$A$24,0))=0,"",INDEX(직원명부!$B$5:$B$24,MATCH($B156,직원명부!$A$5:$A$24,0)))),"사번 확인")</f>
        <v/>
      </c>
      <c r="D156" s="26">
        <f>IFERROR(IF($B156="","",IF(INDEX(근로자명부!$D$5:$D$24,MATCH($B156,근로자명부!$A$5:$A$24,0))=0,"",INDEX(근로자명부!$D$5:$D$24,MATCH($B156,근로자명부!$A$5:$A$24,0)))),"")</f>
        <v/>
      </c>
      <c r="E156" s="26">
        <f>IFERROR(IF($B156="","",IF(INDEX(직원명부!$C$5:$C$24,MATCH($B156,직원명부!$A$5:$A$24,0))=0,"",INDEX(직원명부!$C$5:$C$24,MATCH($B156,직원명부!$A$5:$A$24,0)))),"")</f>
        <v/>
      </c>
      <c r="F156" s="44">
        <f>IFERROR(IF($B156="","",IF(INDEX(근로자명부!$G$5:$G$24,MATCH($B156,근로자명부!$A$5:$A$24,0))=0,"",INDEX(근로자명부!$G$5:$G$24,MATCH($B156,근로자명부!$A$5:$A$24,0)))),"")</f>
        <v/>
      </c>
      <c r="G156" s="30">
        <f>IF(OR($A156="",$B156=""),"",COUNTIFS(근태기록!$C$5:$C$2004,$B156,근태기록!$A$5:$A$2004,"&gt;="&amp;$A156,근태기록!$A$5:$A$2004,"&lt;="&amp;EOMONTH($A156,0),근태기록!$H$5:$H$2004,"&gt;0"))</f>
        <v/>
      </c>
      <c r="H156" s="33">
        <f>IF(OR($A156="",$B156=""),"",SUMIFS(근태기록!$H$5:$H$2004,근태기록!$C$5:$C$2004,$B156,근태기록!$A$5:$A$2004,"&gt;="&amp;$A156,근태기록!$A$5:$A$2004,"&lt;="&amp;EOMONTH($A156,0)))</f>
        <v/>
      </c>
      <c r="I156" s="33">
        <f>IF(OR($A156="",$B156=""),"",SUMIFS(근태기록!$I$5:$I$2004,근태기록!$C$5:$C$2004,$B156,근태기록!$A$5:$A$2004,"&gt;="&amp;$A156,근태기록!$A$5:$A$2004,"&lt;="&amp;EOMONTH($A156,0)))</f>
        <v/>
      </c>
      <c r="J156" s="33">
        <f>IF(OR($A156="",$B156=""),"",SUMIFS(근태기록!$J$5:$J$2004,근태기록!$C$5:$C$2004,$B156,근태기록!$A$5:$A$2004,"&gt;="&amp;$A156,근태기록!$A$5:$A$2004,"&lt;="&amp;EOMONTH($A156,0)))</f>
        <v/>
      </c>
      <c r="K156" s="33">
        <f>IF(OR($A156="",$B156=""),"",SUMIFS(근태기록!$H$5:$H$2004,근태기록!$C$5:$C$2004,$B156,근태기록!$A$5:$A$2004,"&gt;="&amp;$A156,근태기록!$A$5:$A$2004,"&lt;="&amp;EOMONTH($A156,0),근태기록!$L$5:$L$2004,"휴일근로"))</f>
        <v/>
      </c>
      <c r="L156" s="20" t="n"/>
      <c r="M156" s="20" t="n"/>
      <c r="N156" s="20" t="n"/>
      <c r="O156" s="20" t="n"/>
      <c r="P156" s="15">
        <f>IF(OR($A156="",$B156=""),"",SUM(L156:O156))</f>
        <v/>
      </c>
      <c r="Q156" s="20" t="n"/>
      <c r="R156" s="20" t="n"/>
      <c r="S156" s="20" t="n"/>
      <c r="T156" s="20" t="n"/>
      <c r="U156" s="20" t="n"/>
      <c r="V156" s="20" t="n"/>
      <c r="W156" s="15">
        <f>IF(OR($A156="",$B156=""),"",SUM(Q156:V156))</f>
        <v/>
      </c>
      <c r="X156" s="15">
        <f>IF(OR($A156="",$B156=""),"",N(P156)-N(W156))</f>
        <v/>
      </c>
    </row>
    <row r="157">
      <c r="A157" s="43" t="n"/>
      <c r="B157" s="18" t="n"/>
      <c r="C157" s="25">
        <f>IFERROR(IF($B157="","",IF(INDEX(직원명부!$B$5:$B$24,MATCH($B157,직원명부!$A$5:$A$24,0))=0,"",INDEX(직원명부!$B$5:$B$24,MATCH($B157,직원명부!$A$5:$A$24,0)))),"사번 확인")</f>
        <v/>
      </c>
      <c r="D157" s="26">
        <f>IFERROR(IF($B157="","",IF(INDEX(근로자명부!$D$5:$D$24,MATCH($B157,근로자명부!$A$5:$A$24,0))=0,"",INDEX(근로자명부!$D$5:$D$24,MATCH($B157,근로자명부!$A$5:$A$24,0)))),"")</f>
        <v/>
      </c>
      <c r="E157" s="26">
        <f>IFERROR(IF($B157="","",IF(INDEX(직원명부!$C$5:$C$24,MATCH($B157,직원명부!$A$5:$A$24,0))=0,"",INDEX(직원명부!$C$5:$C$24,MATCH($B157,직원명부!$A$5:$A$24,0)))),"")</f>
        <v/>
      </c>
      <c r="F157" s="44">
        <f>IFERROR(IF($B157="","",IF(INDEX(근로자명부!$G$5:$G$24,MATCH($B157,근로자명부!$A$5:$A$24,0))=0,"",INDEX(근로자명부!$G$5:$G$24,MATCH($B157,근로자명부!$A$5:$A$24,0)))),"")</f>
        <v/>
      </c>
      <c r="G157" s="30">
        <f>IF(OR($A157="",$B157=""),"",COUNTIFS(근태기록!$C$5:$C$2004,$B157,근태기록!$A$5:$A$2004,"&gt;="&amp;$A157,근태기록!$A$5:$A$2004,"&lt;="&amp;EOMONTH($A157,0),근태기록!$H$5:$H$2004,"&gt;0"))</f>
        <v/>
      </c>
      <c r="H157" s="33">
        <f>IF(OR($A157="",$B157=""),"",SUMIFS(근태기록!$H$5:$H$2004,근태기록!$C$5:$C$2004,$B157,근태기록!$A$5:$A$2004,"&gt;="&amp;$A157,근태기록!$A$5:$A$2004,"&lt;="&amp;EOMONTH($A157,0)))</f>
        <v/>
      </c>
      <c r="I157" s="33">
        <f>IF(OR($A157="",$B157=""),"",SUMIFS(근태기록!$I$5:$I$2004,근태기록!$C$5:$C$2004,$B157,근태기록!$A$5:$A$2004,"&gt;="&amp;$A157,근태기록!$A$5:$A$2004,"&lt;="&amp;EOMONTH($A157,0)))</f>
        <v/>
      </c>
      <c r="J157" s="33">
        <f>IF(OR($A157="",$B157=""),"",SUMIFS(근태기록!$J$5:$J$2004,근태기록!$C$5:$C$2004,$B157,근태기록!$A$5:$A$2004,"&gt;="&amp;$A157,근태기록!$A$5:$A$2004,"&lt;="&amp;EOMONTH($A157,0)))</f>
        <v/>
      </c>
      <c r="K157" s="33">
        <f>IF(OR($A157="",$B157=""),"",SUMIFS(근태기록!$H$5:$H$2004,근태기록!$C$5:$C$2004,$B157,근태기록!$A$5:$A$2004,"&gt;="&amp;$A157,근태기록!$A$5:$A$2004,"&lt;="&amp;EOMONTH($A157,0),근태기록!$L$5:$L$2004,"휴일근로"))</f>
        <v/>
      </c>
      <c r="L157" s="20" t="n"/>
      <c r="M157" s="20" t="n"/>
      <c r="N157" s="20" t="n"/>
      <c r="O157" s="20" t="n"/>
      <c r="P157" s="15">
        <f>IF(OR($A157="",$B157=""),"",SUM(L157:O157))</f>
        <v/>
      </c>
      <c r="Q157" s="20" t="n"/>
      <c r="R157" s="20" t="n"/>
      <c r="S157" s="20" t="n"/>
      <c r="T157" s="20" t="n"/>
      <c r="U157" s="20" t="n"/>
      <c r="V157" s="20" t="n"/>
      <c r="W157" s="15">
        <f>IF(OR($A157="",$B157=""),"",SUM(Q157:V157))</f>
        <v/>
      </c>
      <c r="X157" s="15">
        <f>IF(OR($A157="",$B157=""),"",N(P157)-N(W157))</f>
        <v/>
      </c>
    </row>
    <row r="158">
      <c r="A158" s="43" t="n"/>
      <c r="B158" s="18" t="n"/>
      <c r="C158" s="25">
        <f>IFERROR(IF($B158="","",IF(INDEX(직원명부!$B$5:$B$24,MATCH($B158,직원명부!$A$5:$A$24,0))=0,"",INDEX(직원명부!$B$5:$B$24,MATCH($B158,직원명부!$A$5:$A$24,0)))),"사번 확인")</f>
        <v/>
      </c>
      <c r="D158" s="26">
        <f>IFERROR(IF($B158="","",IF(INDEX(근로자명부!$D$5:$D$24,MATCH($B158,근로자명부!$A$5:$A$24,0))=0,"",INDEX(근로자명부!$D$5:$D$24,MATCH($B158,근로자명부!$A$5:$A$24,0)))),"")</f>
        <v/>
      </c>
      <c r="E158" s="26">
        <f>IFERROR(IF($B158="","",IF(INDEX(직원명부!$C$5:$C$24,MATCH($B158,직원명부!$A$5:$A$24,0))=0,"",INDEX(직원명부!$C$5:$C$24,MATCH($B158,직원명부!$A$5:$A$24,0)))),"")</f>
        <v/>
      </c>
      <c r="F158" s="44">
        <f>IFERROR(IF($B158="","",IF(INDEX(근로자명부!$G$5:$G$24,MATCH($B158,근로자명부!$A$5:$A$24,0))=0,"",INDEX(근로자명부!$G$5:$G$24,MATCH($B158,근로자명부!$A$5:$A$24,0)))),"")</f>
        <v/>
      </c>
      <c r="G158" s="30">
        <f>IF(OR($A158="",$B158=""),"",COUNTIFS(근태기록!$C$5:$C$2004,$B158,근태기록!$A$5:$A$2004,"&gt;="&amp;$A158,근태기록!$A$5:$A$2004,"&lt;="&amp;EOMONTH($A158,0),근태기록!$H$5:$H$2004,"&gt;0"))</f>
        <v/>
      </c>
      <c r="H158" s="33">
        <f>IF(OR($A158="",$B158=""),"",SUMIFS(근태기록!$H$5:$H$2004,근태기록!$C$5:$C$2004,$B158,근태기록!$A$5:$A$2004,"&gt;="&amp;$A158,근태기록!$A$5:$A$2004,"&lt;="&amp;EOMONTH($A158,0)))</f>
        <v/>
      </c>
      <c r="I158" s="33">
        <f>IF(OR($A158="",$B158=""),"",SUMIFS(근태기록!$I$5:$I$2004,근태기록!$C$5:$C$2004,$B158,근태기록!$A$5:$A$2004,"&gt;="&amp;$A158,근태기록!$A$5:$A$2004,"&lt;="&amp;EOMONTH($A158,0)))</f>
        <v/>
      </c>
      <c r="J158" s="33">
        <f>IF(OR($A158="",$B158=""),"",SUMIFS(근태기록!$J$5:$J$2004,근태기록!$C$5:$C$2004,$B158,근태기록!$A$5:$A$2004,"&gt;="&amp;$A158,근태기록!$A$5:$A$2004,"&lt;="&amp;EOMONTH($A158,0)))</f>
        <v/>
      </c>
      <c r="K158" s="33">
        <f>IF(OR($A158="",$B158=""),"",SUMIFS(근태기록!$H$5:$H$2004,근태기록!$C$5:$C$2004,$B158,근태기록!$A$5:$A$2004,"&gt;="&amp;$A158,근태기록!$A$5:$A$2004,"&lt;="&amp;EOMONTH($A158,0),근태기록!$L$5:$L$2004,"휴일근로"))</f>
        <v/>
      </c>
      <c r="L158" s="20" t="n"/>
      <c r="M158" s="20" t="n"/>
      <c r="N158" s="20" t="n"/>
      <c r="O158" s="20" t="n"/>
      <c r="P158" s="15">
        <f>IF(OR($A158="",$B158=""),"",SUM(L158:O158))</f>
        <v/>
      </c>
      <c r="Q158" s="20" t="n"/>
      <c r="R158" s="20" t="n"/>
      <c r="S158" s="20" t="n"/>
      <c r="T158" s="20" t="n"/>
      <c r="U158" s="20" t="n"/>
      <c r="V158" s="20" t="n"/>
      <c r="W158" s="15">
        <f>IF(OR($A158="",$B158=""),"",SUM(Q158:V158))</f>
        <v/>
      </c>
      <c r="X158" s="15">
        <f>IF(OR($A158="",$B158=""),"",N(P158)-N(W158))</f>
        <v/>
      </c>
    </row>
    <row r="159">
      <c r="A159" s="43" t="n"/>
      <c r="B159" s="18" t="n"/>
      <c r="C159" s="25">
        <f>IFERROR(IF($B159="","",IF(INDEX(직원명부!$B$5:$B$24,MATCH($B159,직원명부!$A$5:$A$24,0))=0,"",INDEX(직원명부!$B$5:$B$24,MATCH($B159,직원명부!$A$5:$A$24,0)))),"사번 확인")</f>
        <v/>
      </c>
      <c r="D159" s="26">
        <f>IFERROR(IF($B159="","",IF(INDEX(근로자명부!$D$5:$D$24,MATCH($B159,근로자명부!$A$5:$A$24,0))=0,"",INDEX(근로자명부!$D$5:$D$24,MATCH($B159,근로자명부!$A$5:$A$24,0)))),"")</f>
        <v/>
      </c>
      <c r="E159" s="26">
        <f>IFERROR(IF($B159="","",IF(INDEX(직원명부!$C$5:$C$24,MATCH($B159,직원명부!$A$5:$A$24,0))=0,"",INDEX(직원명부!$C$5:$C$24,MATCH($B159,직원명부!$A$5:$A$24,0)))),"")</f>
        <v/>
      </c>
      <c r="F159" s="44">
        <f>IFERROR(IF($B159="","",IF(INDEX(근로자명부!$G$5:$G$24,MATCH($B159,근로자명부!$A$5:$A$24,0))=0,"",INDEX(근로자명부!$G$5:$G$24,MATCH($B159,근로자명부!$A$5:$A$24,0)))),"")</f>
        <v/>
      </c>
      <c r="G159" s="30">
        <f>IF(OR($A159="",$B159=""),"",COUNTIFS(근태기록!$C$5:$C$2004,$B159,근태기록!$A$5:$A$2004,"&gt;="&amp;$A159,근태기록!$A$5:$A$2004,"&lt;="&amp;EOMONTH($A159,0),근태기록!$H$5:$H$2004,"&gt;0"))</f>
        <v/>
      </c>
      <c r="H159" s="33">
        <f>IF(OR($A159="",$B159=""),"",SUMIFS(근태기록!$H$5:$H$2004,근태기록!$C$5:$C$2004,$B159,근태기록!$A$5:$A$2004,"&gt;="&amp;$A159,근태기록!$A$5:$A$2004,"&lt;="&amp;EOMONTH($A159,0)))</f>
        <v/>
      </c>
      <c r="I159" s="33">
        <f>IF(OR($A159="",$B159=""),"",SUMIFS(근태기록!$I$5:$I$2004,근태기록!$C$5:$C$2004,$B159,근태기록!$A$5:$A$2004,"&gt;="&amp;$A159,근태기록!$A$5:$A$2004,"&lt;="&amp;EOMONTH($A159,0)))</f>
        <v/>
      </c>
      <c r="J159" s="33">
        <f>IF(OR($A159="",$B159=""),"",SUMIFS(근태기록!$J$5:$J$2004,근태기록!$C$5:$C$2004,$B159,근태기록!$A$5:$A$2004,"&gt;="&amp;$A159,근태기록!$A$5:$A$2004,"&lt;="&amp;EOMONTH($A159,0)))</f>
        <v/>
      </c>
      <c r="K159" s="33">
        <f>IF(OR($A159="",$B159=""),"",SUMIFS(근태기록!$H$5:$H$2004,근태기록!$C$5:$C$2004,$B159,근태기록!$A$5:$A$2004,"&gt;="&amp;$A159,근태기록!$A$5:$A$2004,"&lt;="&amp;EOMONTH($A159,0),근태기록!$L$5:$L$2004,"휴일근로"))</f>
        <v/>
      </c>
      <c r="L159" s="20" t="n"/>
      <c r="M159" s="20" t="n"/>
      <c r="N159" s="20" t="n"/>
      <c r="O159" s="20" t="n"/>
      <c r="P159" s="15">
        <f>IF(OR($A159="",$B159=""),"",SUM(L159:O159))</f>
        <v/>
      </c>
      <c r="Q159" s="20" t="n"/>
      <c r="R159" s="20" t="n"/>
      <c r="S159" s="20" t="n"/>
      <c r="T159" s="20" t="n"/>
      <c r="U159" s="20" t="n"/>
      <c r="V159" s="20" t="n"/>
      <c r="W159" s="15">
        <f>IF(OR($A159="",$B159=""),"",SUM(Q159:V159))</f>
        <v/>
      </c>
      <c r="X159" s="15">
        <f>IF(OR($A159="",$B159=""),"",N(P159)-N(W159))</f>
        <v/>
      </c>
    </row>
    <row r="160">
      <c r="A160" s="43" t="n"/>
      <c r="B160" s="18" t="n"/>
      <c r="C160" s="25">
        <f>IFERROR(IF($B160="","",IF(INDEX(직원명부!$B$5:$B$24,MATCH($B160,직원명부!$A$5:$A$24,0))=0,"",INDEX(직원명부!$B$5:$B$24,MATCH($B160,직원명부!$A$5:$A$24,0)))),"사번 확인")</f>
        <v/>
      </c>
      <c r="D160" s="26">
        <f>IFERROR(IF($B160="","",IF(INDEX(근로자명부!$D$5:$D$24,MATCH($B160,근로자명부!$A$5:$A$24,0))=0,"",INDEX(근로자명부!$D$5:$D$24,MATCH($B160,근로자명부!$A$5:$A$24,0)))),"")</f>
        <v/>
      </c>
      <c r="E160" s="26">
        <f>IFERROR(IF($B160="","",IF(INDEX(직원명부!$C$5:$C$24,MATCH($B160,직원명부!$A$5:$A$24,0))=0,"",INDEX(직원명부!$C$5:$C$24,MATCH($B160,직원명부!$A$5:$A$24,0)))),"")</f>
        <v/>
      </c>
      <c r="F160" s="44">
        <f>IFERROR(IF($B160="","",IF(INDEX(근로자명부!$G$5:$G$24,MATCH($B160,근로자명부!$A$5:$A$24,0))=0,"",INDEX(근로자명부!$G$5:$G$24,MATCH($B160,근로자명부!$A$5:$A$24,0)))),"")</f>
        <v/>
      </c>
      <c r="G160" s="30">
        <f>IF(OR($A160="",$B160=""),"",COUNTIFS(근태기록!$C$5:$C$2004,$B160,근태기록!$A$5:$A$2004,"&gt;="&amp;$A160,근태기록!$A$5:$A$2004,"&lt;="&amp;EOMONTH($A160,0),근태기록!$H$5:$H$2004,"&gt;0"))</f>
        <v/>
      </c>
      <c r="H160" s="33">
        <f>IF(OR($A160="",$B160=""),"",SUMIFS(근태기록!$H$5:$H$2004,근태기록!$C$5:$C$2004,$B160,근태기록!$A$5:$A$2004,"&gt;="&amp;$A160,근태기록!$A$5:$A$2004,"&lt;="&amp;EOMONTH($A160,0)))</f>
        <v/>
      </c>
      <c r="I160" s="33">
        <f>IF(OR($A160="",$B160=""),"",SUMIFS(근태기록!$I$5:$I$2004,근태기록!$C$5:$C$2004,$B160,근태기록!$A$5:$A$2004,"&gt;="&amp;$A160,근태기록!$A$5:$A$2004,"&lt;="&amp;EOMONTH($A160,0)))</f>
        <v/>
      </c>
      <c r="J160" s="33">
        <f>IF(OR($A160="",$B160=""),"",SUMIFS(근태기록!$J$5:$J$2004,근태기록!$C$5:$C$2004,$B160,근태기록!$A$5:$A$2004,"&gt;="&amp;$A160,근태기록!$A$5:$A$2004,"&lt;="&amp;EOMONTH($A160,0)))</f>
        <v/>
      </c>
      <c r="K160" s="33">
        <f>IF(OR($A160="",$B160=""),"",SUMIFS(근태기록!$H$5:$H$2004,근태기록!$C$5:$C$2004,$B160,근태기록!$A$5:$A$2004,"&gt;="&amp;$A160,근태기록!$A$5:$A$2004,"&lt;="&amp;EOMONTH($A160,0),근태기록!$L$5:$L$2004,"휴일근로"))</f>
        <v/>
      </c>
      <c r="L160" s="20" t="n"/>
      <c r="M160" s="20" t="n"/>
      <c r="N160" s="20" t="n"/>
      <c r="O160" s="20" t="n"/>
      <c r="P160" s="15">
        <f>IF(OR($A160="",$B160=""),"",SUM(L160:O160))</f>
        <v/>
      </c>
      <c r="Q160" s="20" t="n"/>
      <c r="R160" s="20" t="n"/>
      <c r="S160" s="20" t="n"/>
      <c r="T160" s="20" t="n"/>
      <c r="U160" s="20" t="n"/>
      <c r="V160" s="20" t="n"/>
      <c r="W160" s="15">
        <f>IF(OR($A160="",$B160=""),"",SUM(Q160:V160))</f>
        <v/>
      </c>
      <c r="X160" s="15">
        <f>IF(OR($A160="",$B160=""),"",N(P160)-N(W160))</f>
        <v/>
      </c>
    </row>
    <row r="161">
      <c r="A161" s="43" t="n"/>
      <c r="B161" s="18" t="n"/>
      <c r="C161" s="25">
        <f>IFERROR(IF($B161="","",IF(INDEX(직원명부!$B$5:$B$24,MATCH($B161,직원명부!$A$5:$A$24,0))=0,"",INDEX(직원명부!$B$5:$B$24,MATCH($B161,직원명부!$A$5:$A$24,0)))),"사번 확인")</f>
        <v/>
      </c>
      <c r="D161" s="26">
        <f>IFERROR(IF($B161="","",IF(INDEX(근로자명부!$D$5:$D$24,MATCH($B161,근로자명부!$A$5:$A$24,0))=0,"",INDEX(근로자명부!$D$5:$D$24,MATCH($B161,근로자명부!$A$5:$A$24,0)))),"")</f>
        <v/>
      </c>
      <c r="E161" s="26">
        <f>IFERROR(IF($B161="","",IF(INDEX(직원명부!$C$5:$C$24,MATCH($B161,직원명부!$A$5:$A$24,0))=0,"",INDEX(직원명부!$C$5:$C$24,MATCH($B161,직원명부!$A$5:$A$24,0)))),"")</f>
        <v/>
      </c>
      <c r="F161" s="44">
        <f>IFERROR(IF($B161="","",IF(INDEX(근로자명부!$G$5:$G$24,MATCH($B161,근로자명부!$A$5:$A$24,0))=0,"",INDEX(근로자명부!$G$5:$G$24,MATCH($B161,근로자명부!$A$5:$A$24,0)))),"")</f>
        <v/>
      </c>
      <c r="G161" s="30">
        <f>IF(OR($A161="",$B161=""),"",COUNTIFS(근태기록!$C$5:$C$2004,$B161,근태기록!$A$5:$A$2004,"&gt;="&amp;$A161,근태기록!$A$5:$A$2004,"&lt;="&amp;EOMONTH($A161,0),근태기록!$H$5:$H$2004,"&gt;0"))</f>
        <v/>
      </c>
      <c r="H161" s="33">
        <f>IF(OR($A161="",$B161=""),"",SUMIFS(근태기록!$H$5:$H$2004,근태기록!$C$5:$C$2004,$B161,근태기록!$A$5:$A$2004,"&gt;="&amp;$A161,근태기록!$A$5:$A$2004,"&lt;="&amp;EOMONTH($A161,0)))</f>
        <v/>
      </c>
      <c r="I161" s="33">
        <f>IF(OR($A161="",$B161=""),"",SUMIFS(근태기록!$I$5:$I$2004,근태기록!$C$5:$C$2004,$B161,근태기록!$A$5:$A$2004,"&gt;="&amp;$A161,근태기록!$A$5:$A$2004,"&lt;="&amp;EOMONTH($A161,0)))</f>
        <v/>
      </c>
      <c r="J161" s="33">
        <f>IF(OR($A161="",$B161=""),"",SUMIFS(근태기록!$J$5:$J$2004,근태기록!$C$5:$C$2004,$B161,근태기록!$A$5:$A$2004,"&gt;="&amp;$A161,근태기록!$A$5:$A$2004,"&lt;="&amp;EOMONTH($A161,0)))</f>
        <v/>
      </c>
      <c r="K161" s="33">
        <f>IF(OR($A161="",$B161=""),"",SUMIFS(근태기록!$H$5:$H$2004,근태기록!$C$5:$C$2004,$B161,근태기록!$A$5:$A$2004,"&gt;="&amp;$A161,근태기록!$A$5:$A$2004,"&lt;="&amp;EOMONTH($A161,0),근태기록!$L$5:$L$2004,"휴일근로"))</f>
        <v/>
      </c>
      <c r="L161" s="20" t="n"/>
      <c r="M161" s="20" t="n"/>
      <c r="N161" s="20" t="n"/>
      <c r="O161" s="20" t="n"/>
      <c r="P161" s="15">
        <f>IF(OR($A161="",$B161=""),"",SUM(L161:O161))</f>
        <v/>
      </c>
      <c r="Q161" s="20" t="n"/>
      <c r="R161" s="20" t="n"/>
      <c r="S161" s="20" t="n"/>
      <c r="T161" s="20" t="n"/>
      <c r="U161" s="20" t="n"/>
      <c r="V161" s="20" t="n"/>
      <c r="W161" s="15">
        <f>IF(OR($A161="",$B161=""),"",SUM(Q161:V161))</f>
        <v/>
      </c>
      <c r="X161" s="15">
        <f>IF(OR($A161="",$B161=""),"",N(P161)-N(W161))</f>
        <v/>
      </c>
    </row>
    <row r="162">
      <c r="A162" s="43" t="n"/>
      <c r="B162" s="18" t="n"/>
      <c r="C162" s="25">
        <f>IFERROR(IF($B162="","",IF(INDEX(직원명부!$B$5:$B$24,MATCH($B162,직원명부!$A$5:$A$24,0))=0,"",INDEX(직원명부!$B$5:$B$24,MATCH($B162,직원명부!$A$5:$A$24,0)))),"사번 확인")</f>
        <v/>
      </c>
      <c r="D162" s="26">
        <f>IFERROR(IF($B162="","",IF(INDEX(근로자명부!$D$5:$D$24,MATCH($B162,근로자명부!$A$5:$A$24,0))=0,"",INDEX(근로자명부!$D$5:$D$24,MATCH($B162,근로자명부!$A$5:$A$24,0)))),"")</f>
        <v/>
      </c>
      <c r="E162" s="26">
        <f>IFERROR(IF($B162="","",IF(INDEX(직원명부!$C$5:$C$24,MATCH($B162,직원명부!$A$5:$A$24,0))=0,"",INDEX(직원명부!$C$5:$C$24,MATCH($B162,직원명부!$A$5:$A$24,0)))),"")</f>
        <v/>
      </c>
      <c r="F162" s="44">
        <f>IFERROR(IF($B162="","",IF(INDEX(근로자명부!$G$5:$G$24,MATCH($B162,근로자명부!$A$5:$A$24,0))=0,"",INDEX(근로자명부!$G$5:$G$24,MATCH($B162,근로자명부!$A$5:$A$24,0)))),"")</f>
        <v/>
      </c>
      <c r="G162" s="30">
        <f>IF(OR($A162="",$B162=""),"",COUNTIFS(근태기록!$C$5:$C$2004,$B162,근태기록!$A$5:$A$2004,"&gt;="&amp;$A162,근태기록!$A$5:$A$2004,"&lt;="&amp;EOMONTH($A162,0),근태기록!$H$5:$H$2004,"&gt;0"))</f>
        <v/>
      </c>
      <c r="H162" s="33">
        <f>IF(OR($A162="",$B162=""),"",SUMIFS(근태기록!$H$5:$H$2004,근태기록!$C$5:$C$2004,$B162,근태기록!$A$5:$A$2004,"&gt;="&amp;$A162,근태기록!$A$5:$A$2004,"&lt;="&amp;EOMONTH($A162,0)))</f>
        <v/>
      </c>
      <c r="I162" s="33">
        <f>IF(OR($A162="",$B162=""),"",SUMIFS(근태기록!$I$5:$I$2004,근태기록!$C$5:$C$2004,$B162,근태기록!$A$5:$A$2004,"&gt;="&amp;$A162,근태기록!$A$5:$A$2004,"&lt;="&amp;EOMONTH($A162,0)))</f>
        <v/>
      </c>
      <c r="J162" s="33">
        <f>IF(OR($A162="",$B162=""),"",SUMIFS(근태기록!$J$5:$J$2004,근태기록!$C$5:$C$2004,$B162,근태기록!$A$5:$A$2004,"&gt;="&amp;$A162,근태기록!$A$5:$A$2004,"&lt;="&amp;EOMONTH($A162,0)))</f>
        <v/>
      </c>
      <c r="K162" s="33">
        <f>IF(OR($A162="",$B162=""),"",SUMIFS(근태기록!$H$5:$H$2004,근태기록!$C$5:$C$2004,$B162,근태기록!$A$5:$A$2004,"&gt;="&amp;$A162,근태기록!$A$5:$A$2004,"&lt;="&amp;EOMONTH($A162,0),근태기록!$L$5:$L$2004,"휴일근로"))</f>
        <v/>
      </c>
      <c r="L162" s="20" t="n"/>
      <c r="M162" s="20" t="n"/>
      <c r="N162" s="20" t="n"/>
      <c r="O162" s="20" t="n"/>
      <c r="P162" s="15">
        <f>IF(OR($A162="",$B162=""),"",SUM(L162:O162))</f>
        <v/>
      </c>
      <c r="Q162" s="20" t="n"/>
      <c r="R162" s="20" t="n"/>
      <c r="S162" s="20" t="n"/>
      <c r="T162" s="20" t="n"/>
      <c r="U162" s="20" t="n"/>
      <c r="V162" s="20" t="n"/>
      <c r="W162" s="15">
        <f>IF(OR($A162="",$B162=""),"",SUM(Q162:V162))</f>
        <v/>
      </c>
      <c r="X162" s="15">
        <f>IF(OR($A162="",$B162=""),"",N(P162)-N(W162))</f>
        <v/>
      </c>
    </row>
    <row r="163">
      <c r="A163" s="43" t="n"/>
      <c r="B163" s="18" t="n"/>
      <c r="C163" s="25">
        <f>IFERROR(IF($B163="","",IF(INDEX(직원명부!$B$5:$B$24,MATCH($B163,직원명부!$A$5:$A$24,0))=0,"",INDEX(직원명부!$B$5:$B$24,MATCH($B163,직원명부!$A$5:$A$24,0)))),"사번 확인")</f>
        <v/>
      </c>
      <c r="D163" s="26">
        <f>IFERROR(IF($B163="","",IF(INDEX(근로자명부!$D$5:$D$24,MATCH($B163,근로자명부!$A$5:$A$24,0))=0,"",INDEX(근로자명부!$D$5:$D$24,MATCH($B163,근로자명부!$A$5:$A$24,0)))),"")</f>
        <v/>
      </c>
      <c r="E163" s="26">
        <f>IFERROR(IF($B163="","",IF(INDEX(직원명부!$C$5:$C$24,MATCH($B163,직원명부!$A$5:$A$24,0))=0,"",INDEX(직원명부!$C$5:$C$24,MATCH($B163,직원명부!$A$5:$A$24,0)))),"")</f>
        <v/>
      </c>
      <c r="F163" s="44">
        <f>IFERROR(IF($B163="","",IF(INDEX(근로자명부!$G$5:$G$24,MATCH($B163,근로자명부!$A$5:$A$24,0))=0,"",INDEX(근로자명부!$G$5:$G$24,MATCH($B163,근로자명부!$A$5:$A$24,0)))),"")</f>
        <v/>
      </c>
      <c r="G163" s="30">
        <f>IF(OR($A163="",$B163=""),"",COUNTIFS(근태기록!$C$5:$C$2004,$B163,근태기록!$A$5:$A$2004,"&gt;="&amp;$A163,근태기록!$A$5:$A$2004,"&lt;="&amp;EOMONTH($A163,0),근태기록!$H$5:$H$2004,"&gt;0"))</f>
        <v/>
      </c>
      <c r="H163" s="33">
        <f>IF(OR($A163="",$B163=""),"",SUMIFS(근태기록!$H$5:$H$2004,근태기록!$C$5:$C$2004,$B163,근태기록!$A$5:$A$2004,"&gt;="&amp;$A163,근태기록!$A$5:$A$2004,"&lt;="&amp;EOMONTH($A163,0)))</f>
        <v/>
      </c>
      <c r="I163" s="33">
        <f>IF(OR($A163="",$B163=""),"",SUMIFS(근태기록!$I$5:$I$2004,근태기록!$C$5:$C$2004,$B163,근태기록!$A$5:$A$2004,"&gt;="&amp;$A163,근태기록!$A$5:$A$2004,"&lt;="&amp;EOMONTH($A163,0)))</f>
        <v/>
      </c>
      <c r="J163" s="33">
        <f>IF(OR($A163="",$B163=""),"",SUMIFS(근태기록!$J$5:$J$2004,근태기록!$C$5:$C$2004,$B163,근태기록!$A$5:$A$2004,"&gt;="&amp;$A163,근태기록!$A$5:$A$2004,"&lt;="&amp;EOMONTH($A163,0)))</f>
        <v/>
      </c>
      <c r="K163" s="33">
        <f>IF(OR($A163="",$B163=""),"",SUMIFS(근태기록!$H$5:$H$2004,근태기록!$C$5:$C$2004,$B163,근태기록!$A$5:$A$2004,"&gt;="&amp;$A163,근태기록!$A$5:$A$2004,"&lt;="&amp;EOMONTH($A163,0),근태기록!$L$5:$L$2004,"휴일근로"))</f>
        <v/>
      </c>
      <c r="L163" s="20" t="n"/>
      <c r="M163" s="20" t="n"/>
      <c r="N163" s="20" t="n"/>
      <c r="O163" s="20" t="n"/>
      <c r="P163" s="15">
        <f>IF(OR($A163="",$B163=""),"",SUM(L163:O163))</f>
        <v/>
      </c>
      <c r="Q163" s="20" t="n"/>
      <c r="R163" s="20" t="n"/>
      <c r="S163" s="20" t="n"/>
      <c r="T163" s="20" t="n"/>
      <c r="U163" s="20" t="n"/>
      <c r="V163" s="20" t="n"/>
      <c r="W163" s="15">
        <f>IF(OR($A163="",$B163=""),"",SUM(Q163:V163))</f>
        <v/>
      </c>
      <c r="X163" s="15">
        <f>IF(OR($A163="",$B163=""),"",N(P163)-N(W163))</f>
        <v/>
      </c>
    </row>
    <row r="164">
      <c r="A164" s="43" t="n"/>
      <c r="B164" s="18" t="n"/>
      <c r="C164" s="25">
        <f>IFERROR(IF($B164="","",IF(INDEX(직원명부!$B$5:$B$24,MATCH($B164,직원명부!$A$5:$A$24,0))=0,"",INDEX(직원명부!$B$5:$B$24,MATCH($B164,직원명부!$A$5:$A$24,0)))),"사번 확인")</f>
        <v/>
      </c>
      <c r="D164" s="26">
        <f>IFERROR(IF($B164="","",IF(INDEX(근로자명부!$D$5:$D$24,MATCH($B164,근로자명부!$A$5:$A$24,0))=0,"",INDEX(근로자명부!$D$5:$D$24,MATCH($B164,근로자명부!$A$5:$A$24,0)))),"")</f>
        <v/>
      </c>
      <c r="E164" s="26">
        <f>IFERROR(IF($B164="","",IF(INDEX(직원명부!$C$5:$C$24,MATCH($B164,직원명부!$A$5:$A$24,0))=0,"",INDEX(직원명부!$C$5:$C$24,MATCH($B164,직원명부!$A$5:$A$24,0)))),"")</f>
        <v/>
      </c>
      <c r="F164" s="44">
        <f>IFERROR(IF($B164="","",IF(INDEX(근로자명부!$G$5:$G$24,MATCH($B164,근로자명부!$A$5:$A$24,0))=0,"",INDEX(근로자명부!$G$5:$G$24,MATCH($B164,근로자명부!$A$5:$A$24,0)))),"")</f>
        <v/>
      </c>
      <c r="G164" s="30">
        <f>IF(OR($A164="",$B164=""),"",COUNTIFS(근태기록!$C$5:$C$2004,$B164,근태기록!$A$5:$A$2004,"&gt;="&amp;$A164,근태기록!$A$5:$A$2004,"&lt;="&amp;EOMONTH($A164,0),근태기록!$H$5:$H$2004,"&gt;0"))</f>
        <v/>
      </c>
      <c r="H164" s="33">
        <f>IF(OR($A164="",$B164=""),"",SUMIFS(근태기록!$H$5:$H$2004,근태기록!$C$5:$C$2004,$B164,근태기록!$A$5:$A$2004,"&gt;="&amp;$A164,근태기록!$A$5:$A$2004,"&lt;="&amp;EOMONTH($A164,0)))</f>
        <v/>
      </c>
      <c r="I164" s="33">
        <f>IF(OR($A164="",$B164=""),"",SUMIFS(근태기록!$I$5:$I$2004,근태기록!$C$5:$C$2004,$B164,근태기록!$A$5:$A$2004,"&gt;="&amp;$A164,근태기록!$A$5:$A$2004,"&lt;="&amp;EOMONTH($A164,0)))</f>
        <v/>
      </c>
      <c r="J164" s="33">
        <f>IF(OR($A164="",$B164=""),"",SUMIFS(근태기록!$J$5:$J$2004,근태기록!$C$5:$C$2004,$B164,근태기록!$A$5:$A$2004,"&gt;="&amp;$A164,근태기록!$A$5:$A$2004,"&lt;="&amp;EOMONTH($A164,0)))</f>
        <v/>
      </c>
      <c r="K164" s="33">
        <f>IF(OR($A164="",$B164=""),"",SUMIFS(근태기록!$H$5:$H$2004,근태기록!$C$5:$C$2004,$B164,근태기록!$A$5:$A$2004,"&gt;="&amp;$A164,근태기록!$A$5:$A$2004,"&lt;="&amp;EOMONTH($A164,0),근태기록!$L$5:$L$2004,"휴일근로"))</f>
        <v/>
      </c>
      <c r="L164" s="20" t="n"/>
      <c r="M164" s="20" t="n"/>
      <c r="N164" s="20" t="n"/>
      <c r="O164" s="20" t="n"/>
      <c r="P164" s="15">
        <f>IF(OR($A164="",$B164=""),"",SUM(L164:O164))</f>
        <v/>
      </c>
      <c r="Q164" s="20" t="n"/>
      <c r="R164" s="20" t="n"/>
      <c r="S164" s="20" t="n"/>
      <c r="T164" s="20" t="n"/>
      <c r="U164" s="20" t="n"/>
      <c r="V164" s="20" t="n"/>
      <c r="W164" s="15">
        <f>IF(OR($A164="",$B164=""),"",SUM(Q164:V164))</f>
        <v/>
      </c>
      <c r="X164" s="15">
        <f>IF(OR($A164="",$B164=""),"",N(P164)-N(W164))</f>
        <v/>
      </c>
    </row>
    <row r="165">
      <c r="A165" s="43" t="n"/>
      <c r="B165" s="18" t="n"/>
      <c r="C165" s="25">
        <f>IFERROR(IF($B165="","",IF(INDEX(직원명부!$B$5:$B$24,MATCH($B165,직원명부!$A$5:$A$24,0))=0,"",INDEX(직원명부!$B$5:$B$24,MATCH($B165,직원명부!$A$5:$A$24,0)))),"사번 확인")</f>
        <v/>
      </c>
      <c r="D165" s="26">
        <f>IFERROR(IF($B165="","",IF(INDEX(근로자명부!$D$5:$D$24,MATCH($B165,근로자명부!$A$5:$A$24,0))=0,"",INDEX(근로자명부!$D$5:$D$24,MATCH($B165,근로자명부!$A$5:$A$24,0)))),"")</f>
        <v/>
      </c>
      <c r="E165" s="26">
        <f>IFERROR(IF($B165="","",IF(INDEX(직원명부!$C$5:$C$24,MATCH($B165,직원명부!$A$5:$A$24,0))=0,"",INDEX(직원명부!$C$5:$C$24,MATCH($B165,직원명부!$A$5:$A$24,0)))),"")</f>
        <v/>
      </c>
      <c r="F165" s="44">
        <f>IFERROR(IF($B165="","",IF(INDEX(근로자명부!$G$5:$G$24,MATCH($B165,근로자명부!$A$5:$A$24,0))=0,"",INDEX(근로자명부!$G$5:$G$24,MATCH($B165,근로자명부!$A$5:$A$24,0)))),"")</f>
        <v/>
      </c>
      <c r="G165" s="30">
        <f>IF(OR($A165="",$B165=""),"",COUNTIFS(근태기록!$C$5:$C$2004,$B165,근태기록!$A$5:$A$2004,"&gt;="&amp;$A165,근태기록!$A$5:$A$2004,"&lt;="&amp;EOMONTH($A165,0),근태기록!$H$5:$H$2004,"&gt;0"))</f>
        <v/>
      </c>
      <c r="H165" s="33">
        <f>IF(OR($A165="",$B165=""),"",SUMIFS(근태기록!$H$5:$H$2004,근태기록!$C$5:$C$2004,$B165,근태기록!$A$5:$A$2004,"&gt;="&amp;$A165,근태기록!$A$5:$A$2004,"&lt;="&amp;EOMONTH($A165,0)))</f>
        <v/>
      </c>
      <c r="I165" s="33">
        <f>IF(OR($A165="",$B165=""),"",SUMIFS(근태기록!$I$5:$I$2004,근태기록!$C$5:$C$2004,$B165,근태기록!$A$5:$A$2004,"&gt;="&amp;$A165,근태기록!$A$5:$A$2004,"&lt;="&amp;EOMONTH($A165,0)))</f>
        <v/>
      </c>
      <c r="J165" s="33">
        <f>IF(OR($A165="",$B165=""),"",SUMIFS(근태기록!$J$5:$J$2004,근태기록!$C$5:$C$2004,$B165,근태기록!$A$5:$A$2004,"&gt;="&amp;$A165,근태기록!$A$5:$A$2004,"&lt;="&amp;EOMONTH($A165,0)))</f>
        <v/>
      </c>
      <c r="K165" s="33">
        <f>IF(OR($A165="",$B165=""),"",SUMIFS(근태기록!$H$5:$H$2004,근태기록!$C$5:$C$2004,$B165,근태기록!$A$5:$A$2004,"&gt;="&amp;$A165,근태기록!$A$5:$A$2004,"&lt;="&amp;EOMONTH($A165,0),근태기록!$L$5:$L$2004,"휴일근로"))</f>
        <v/>
      </c>
      <c r="L165" s="20" t="n"/>
      <c r="M165" s="20" t="n"/>
      <c r="N165" s="20" t="n"/>
      <c r="O165" s="20" t="n"/>
      <c r="P165" s="15">
        <f>IF(OR($A165="",$B165=""),"",SUM(L165:O165))</f>
        <v/>
      </c>
      <c r="Q165" s="20" t="n"/>
      <c r="R165" s="20" t="n"/>
      <c r="S165" s="20" t="n"/>
      <c r="T165" s="20" t="n"/>
      <c r="U165" s="20" t="n"/>
      <c r="V165" s="20" t="n"/>
      <c r="W165" s="15">
        <f>IF(OR($A165="",$B165=""),"",SUM(Q165:V165))</f>
        <v/>
      </c>
      <c r="X165" s="15">
        <f>IF(OR($A165="",$B165=""),"",N(P165)-N(W165))</f>
        <v/>
      </c>
    </row>
    <row r="166">
      <c r="A166" s="43" t="n"/>
      <c r="B166" s="18" t="n"/>
      <c r="C166" s="25">
        <f>IFERROR(IF($B166="","",IF(INDEX(직원명부!$B$5:$B$24,MATCH($B166,직원명부!$A$5:$A$24,0))=0,"",INDEX(직원명부!$B$5:$B$24,MATCH($B166,직원명부!$A$5:$A$24,0)))),"사번 확인")</f>
        <v/>
      </c>
      <c r="D166" s="26">
        <f>IFERROR(IF($B166="","",IF(INDEX(근로자명부!$D$5:$D$24,MATCH($B166,근로자명부!$A$5:$A$24,0))=0,"",INDEX(근로자명부!$D$5:$D$24,MATCH($B166,근로자명부!$A$5:$A$24,0)))),"")</f>
        <v/>
      </c>
      <c r="E166" s="26">
        <f>IFERROR(IF($B166="","",IF(INDEX(직원명부!$C$5:$C$24,MATCH($B166,직원명부!$A$5:$A$24,0))=0,"",INDEX(직원명부!$C$5:$C$24,MATCH($B166,직원명부!$A$5:$A$24,0)))),"")</f>
        <v/>
      </c>
      <c r="F166" s="44">
        <f>IFERROR(IF($B166="","",IF(INDEX(근로자명부!$G$5:$G$24,MATCH($B166,근로자명부!$A$5:$A$24,0))=0,"",INDEX(근로자명부!$G$5:$G$24,MATCH($B166,근로자명부!$A$5:$A$24,0)))),"")</f>
        <v/>
      </c>
      <c r="G166" s="30">
        <f>IF(OR($A166="",$B166=""),"",COUNTIFS(근태기록!$C$5:$C$2004,$B166,근태기록!$A$5:$A$2004,"&gt;="&amp;$A166,근태기록!$A$5:$A$2004,"&lt;="&amp;EOMONTH($A166,0),근태기록!$H$5:$H$2004,"&gt;0"))</f>
        <v/>
      </c>
      <c r="H166" s="33">
        <f>IF(OR($A166="",$B166=""),"",SUMIFS(근태기록!$H$5:$H$2004,근태기록!$C$5:$C$2004,$B166,근태기록!$A$5:$A$2004,"&gt;="&amp;$A166,근태기록!$A$5:$A$2004,"&lt;="&amp;EOMONTH($A166,0)))</f>
        <v/>
      </c>
      <c r="I166" s="33">
        <f>IF(OR($A166="",$B166=""),"",SUMIFS(근태기록!$I$5:$I$2004,근태기록!$C$5:$C$2004,$B166,근태기록!$A$5:$A$2004,"&gt;="&amp;$A166,근태기록!$A$5:$A$2004,"&lt;="&amp;EOMONTH($A166,0)))</f>
        <v/>
      </c>
      <c r="J166" s="33">
        <f>IF(OR($A166="",$B166=""),"",SUMIFS(근태기록!$J$5:$J$2004,근태기록!$C$5:$C$2004,$B166,근태기록!$A$5:$A$2004,"&gt;="&amp;$A166,근태기록!$A$5:$A$2004,"&lt;="&amp;EOMONTH($A166,0)))</f>
        <v/>
      </c>
      <c r="K166" s="33">
        <f>IF(OR($A166="",$B166=""),"",SUMIFS(근태기록!$H$5:$H$2004,근태기록!$C$5:$C$2004,$B166,근태기록!$A$5:$A$2004,"&gt;="&amp;$A166,근태기록!$A$5:$A$2004,"&lt;="&amp;EOMONTH($A166,0),근태기록!$L$5:$L$2004,"휴일근로"))</f>
        <v/>
      </c>
      <c r="L166" s="20" t="n"/>
      <c r="M166" s="20" t="n"/>
      <c r="N166" s="20" t="n"/>
      <c r="O166" s="20" t="n"/>
      <c r="P166" s="15">
        <f>IF(OR($A166="",$B166=""),"",SUM(L166:O166))</f>
        <v/>
      </c>
      <c r="Q166" s="20" t="n"/>
      <c r="R166" s="20" t="n"/>
      <c r="S166" s="20" t="n"/>
      <c r="T166" s="20" t="n"/>
      <c r="U166" s="20" t="n"/>
      <c r="V166" s="20" t="n"/>
      <c r="W166" s="15">
        <f>IF(OR($A166="",$B166=""),"",SUM(Q166:V166))</f>
        <v/>
      </c>
      <c r="X166" s="15">
        <f>IF(OR($A166="",$B166=""),"",N(P166)-N(W166))</f>
        <v/>
      </c>
    </row>
    <row r="167">
      <c r="A167" s="43" t="n"/>
      <c r="B167" s="18" t="n"/>
      <c r="C167" s="25">
        <f>IFERROR(IF($B167="","",IF(INDEX(직원명부!$B$5:$B$24,MATCH($B167,직원명부!$A$5:$A$24,0))=0,"",INDEX(직원명부!$B$5:$B$24,MATCH($B167,직원명부!$A$5:$A$24,0)))),"사번 확인")</f>
        <v/>
      </c>
      <c r="D167" s="26">
        <f>IFERROR(IF($B167="","",IF(INDEX(근로자명부!$D$5:$D$24,MATCH($B167,근로자명부!$A$5:$A$24,0))=0,"",INDEX(근로자명부!$D$5:$D$24,MATCH($B167,근로자명부!$A$5:$A$24,0)))),"")</f>
        <v/>
      </c>
      <c r="E167" s="26">
        <f>IFERROR(IF($B167="","",IF(INDEX(직원명부!$C$5:$C$24,MATCH($B167,직원명부!$A$5:$A$24,0))=0,"",INDEX(직원명부!$C$5:$C$24,MATCH($B167,직원명부!$A$5:$A$24,0)))),"")</f>
        <v/>
      </c>
      <c r="F167" s="44">
        <f>IFERROR(IF($B167="","",IF(INDEX(근로자명부!$G$5:$G$24,MATCH($B167,근로자명부!$A$5:$A$24,0))=0,"",INDEX(근로자명부!$G$5:$G$24,MATCH($B167,근로자명부!$A$5:$A$24,0)))),"")</f>
        <v/>
      </c>
      <c r="G167" s="30">
        <f>IF(OR($A167="",$B167=""),"",COUNTIFS(근태기록!$C$5:$C$2004,$B167,근태기록!$A$5:$A$2004,"&gt;="&amp;$A167,근태기록!$A$5:$A$2004,"&lt;="&amp;EOMONTH($A167,0),근태기록!$H$5:$H$2004,"&gt;0"))</f>
        <v/>
      </c>
      <c r="H167" s="33">
        <f>IF(OR($A167="",$B167=""),"",SUMIFS(근태기록!$H$5:$H$2004,근태기록!$C$5:$C$2004,$B167,근태기록!$A$5:$A$2004,"&gt;="&amp;$A167,근태기록!$A$5:$A$2004,"&lt;="&amp;EOMONTH($A167,0)))</f>
        <v/>
      </c>
      <c r="I167" s="33">
        <f>IF(OR($A167="",$B167=""),"",SUMIFS(근태기록!$I$5:$I$2004,근태기록!$C$5:$C$2004,$B167,근태기록!$A$5:$A$2004,"&gt;="&amp;$A167,근태기록!$A$5:$A$2004,"&lt;="&amp;EOMONTH($A167,0)))</f>
        <v/>
      </c>
      <c r="J167" s="33">
        <f>IF(OR($A167="",$B167=""),"",SUMIFS(근태기록!$J$5:$J$2004,근태기록!$C$5:$C$2004,$B167,근태기록!$A$5:$A$2004,"&gt;="&amp;$A167,근태기록!$A$5:$A$2004,"&lt;="&amp;EOMONTH($A167,0)))</f>
        <v/>
      </c>
      <c r="K167" s="33">
        <f>IF(OR($A167="",$B167=""),"",SUMIFS(근태기록!$H$5:$H$2004,근태기록!$C$5:$C$2004,$B167,근태기록!$A$5:$A$2004,"&gt;="&amp;$A167,근태기록!$A$5:$A$2004,"&lt;="&amp;EOMONTH($A167,0),근태기록!$L$5:$L$2004,"휴일근로"))</f>
        <v/>
      </c>
      <c r="L167" s="20" t="n"/>
      <c r="M167" s="20" t="n"/>
      <c r="N167" s="20" t="n"/>
      <c r="O167" s="20" t="n"/>
      <c r="P167" s="15">
        <f>IF(OR($A167="",$B167=""),"",SUM(L167:O167))</f>
        <v/>
      </c>
      <c r="Q167" s="20" t="n"/>
      <c r="R167" s="20" t="n"/>
      <c r="S167" s="20" t="n"/>
      <c r="T167" s="20" t="n"/>
      <c r="U167" s="20" t="n"/>
      <c r="V167" s="20" t="n"/>
      <c r="W167" s="15">
        <f>IF(OR($A167="",$B167=""),"",SUM(Q167:V167))</f>
        <v/>
      </c>
      <c r="X167" s="15">
        <f>IF(OR($A167="",$B167=""),"",N(P167)-N(W167))</f>
        <v/>
      </c>
    </row>
    <row r="168">
      <c r="A168" s="43" t="n"/>
      <c r="B168" s="18" t="n"/>
      <c r="C168" s="25">
        <f>IFERROR(IF($B168="","",IF(INDEX(직원명부!$B$5:$B$24,MATCH($B168,직원명부!$A$5:$A$24,0))=0,"",INDEX(직원명부!$B$5:$B$24,MATCH($B168,직원명부!$A$5:$A$24,0)))),"사번 확인")</f>
        <v/>
      </c>
      <c r="D168" s="26">
        <f>IFERROR(IF($B168="","",IF(INDEX(근로자명부!$D$5:$D$24,MATCH($B168,근로자명부!$A$5:$A$24,0))=0,"",INDEX(근로자명부!$D$5:$D$24,MATCH($B168,근로자명부!$A$5:$A$24,0)))),"")</f>
        <v/>
      </c>
      <c r="E168" s="26">
        <f>IFERROR(IF($B168="","",IF(INDEX(직원명부!$C$5:$C$24,MATCH($B168,직원명부!$A$5:$A$24,0))=0,"",INDEX(직원명부!$C$5:$C$24,MATCH($B168,직원명부!$A$5:$A$24,0)))),"")</f>
        <v/>
      </c>
      <c r="F168" s="44">
        <f>IFERROR(IF($B168="","",IF(INDEX(근로자명부!$G$5:$G$24,MATCH($B168,근로자명부!$A$5:$A$24,0))=0,"",INDEX(근로자명부!$G$5:$G$24,MATCH($B168,근로자명부!$A$5:$A$24,0)))),"")</f>
        <v/>
      </c>
      <c r="G168" s="30">
        <f>IF(OR($A168="",$B168=""),"",COUNTIFS(근태기록!$C$5:$C$2004,$B168,근태기록!$A$5:$A$2004,"&gt;="&amp;$A168,근태기록!$A$5:$A$2004,"&lt;="&amp;EOMONTH($A168,0),근태기록!$H$5:$H$2004,"&gt;0"))</f>
        <v/>
      </c>
      <c r="H168" s="33">
        <f>IF(OR($A168="",$B168=""),"",SUMIFS(근태기록!$H$5:$H$2004,근태기록!$C$5:$C$2004,$B168,근태기록!$A$5:$A$2004,"&gt;="&amp;$A168,근태기록!$A$5:$A$2004,"&lt;="&amp;EOMONTH($A168,0)))</f>
        <v/>
      </c>
      <c r="I168" s="33">
        <f>IF(OR($A168="",$B168=""),"",SUMIFS(근태기록!$I$5:$I$2004,근태기록!$C$5:$C$2004,$B168,근태기록!$A$5:$A$2004,"&gt;="&amp;$A168,근태기록!$A$5:$A$2004,"&lt;="&amp;EOMONTH($A168,0)))</f>
        <v/>
      </c>
      <c r="J168" s="33">
        <f>IF(OR($A168="",$B168=""),"",SUMIFS(근태기록!$J$5:$J$2004,근태기록!$C$5:$C$2004,$B168,근태기록!$A$5:$A$2004,"&gt;="&amp;$A168,근태기록!$A$5:$A$2004,"&lt;="&amp;EOMONTH($A168,0)))</f>
        <v/>
      </c>
      <c r="K168" s="33">
        <f>IF(OR($A168="",$B168=""),"",SUMIFS(근태기록!$H$5:$H$2004,근태기록!$C$5:$C$2004,$B168,근태기록!$A$5:$A$2004,"&gt;="&amp;$A168,근태기록!$A$5:$A$2004,"&lt;="&amp;EOMONTH($A168,0),근태기록!$L$5:$L$2004,"휴일근로"))</f>
        <v/>
      </c>
      <c r="L168" s="20" t="n"/>
      <c r="M168" s="20" t="n"/>
      <c r="N168" s="20" t="n"/>
      <c r="O168" s="20" t="n"/>
      <c r="P168" s="15">
        <f>IF(OR($A168="",$B168=""),"",SUM(L168:O168))</f>
        <v/>
      </c>
      <c r="Q168" s="20" t="n"/>
      <c r="R168" s="20" t="n"/>
      <c r="S168" s="20" t="n"/>
      <c r="T168" s="20" t="n"/>
      <c r="U168" s="20" t="n"/>
      <c r="V168" s="20" t="n"/>
      <c r="W168" s="15">
        <f>IF(OR($A168="",$B168=""),"",SUM(Q168:V168))</f>
        <v/>
      </c>
      <c r="X168" s="15">
        <f>IF(OR($A168="",$B168=""),"",N(P168)-N(W168))</f>
        <v/>
      </c>
    </row>
    <row r="169">
      <c r="A169" s="43" t="n"/>
      <c r="B169" s="18" t="n"/>
      <c r="C169" s="25">
        <f>IFERROR(IF($B169="","",IF(INDEX(직원명부!$B$5:$B$24,MATCH($B169,직원명부!$A$5:$A$24,0))=0,"",INDEX(직원명부!$B$5:$B$24,MATCH($B169,직원명부!$A$5:$A$24,0)))),"사번 확인")</f>
        <v/>
      </c>
      <c r="D169" s="26">
        <f>IFERROR(IF($B169="","",IF(INDEX(근로자명부!$D$5:$D$24,MATCH($B169,근로자명부!$A$5:$A$24,0))=0,"",INDEX(근로자명부!$D$5:$D$24,MATCH($B169,근로자명부!$A$5:$A$24,0)))),"")</f>
        <v/>
      </c>
      <c r="E169" s="26">
        <f>IFERROR(IF($B169="","",IF(INDEX(직원명부!$C$5:$C$24,MATCH($B169,직원명부!$A$5:$A$24,0))=0,"",INDEX(직원명부!$C$5:$C$24,MATCH($B169,직원명부!$A$5:$A$24,0)))),"")</f>
        <v/>
      </c>
      <c r="F169" s="44">
        <f>IFERROR(IF($B169="","",IF(INDEX(근로자명부!$G$5:$G$24,MATCH($B169,근로자명부!$A$5:$A$24,0))=0,"",INDEX(근로자명부!$G$5:$G$24,MATCH($B169,근로자명부!$A$5:$A$24,0)))),"")</f>
        <v/>
      </c>
      <c r="G169" s="30">
        <f>IF(OR($A169="",$B169=""),"",COUNTIFS(근태기록!$C$5:$C$2004,$B169,근태기록!$A$5:$A$2004,"&gt;="&amp;$A169,근태기록!$A$5:$A$2004,"&lt;="&amp;EOMONTH($A169,0),근태기록!$H$5:$H$2004,"&gt;0"))</f>
        <v/>
      </c>
      <c r="H169" s="33">
        <f>IF(OR($A169="",$B169=""),"",SUMIFS(근태기록!$H$5:$H$2004,근태기록!$C$5:$C$2004,$B169,근태기록!$A$5:$A$2004,"&gt;="&amp;$A169,근태기록!$A$5:$A$2004,"&lt;="&amp;EOMONTH($A169,0)))</f>
        <v/>
      </c>
      <c r="I169" s="33">
        <f>IF(OR($A169="",$B169=""),"",SUMIFS(근태기록!$I$5:$I$2004,근태기록!$C$5:$C$2004,$B169,근태기록!$A$5:$A$2004,"&gt;="&amp;$A169,근태기록!$A$5:$A$2004,"&lt;="&amp;EOMONTH($A169,0)))</f>
        <v/>
      </c>
      <c r="J169" s="33">
        <f>IF(OR($A169="",$B169=""),"",SUMIFS(근태기록!$J$5:$J$2004,근태기록!$C$5:$C$2004,$B169,근태기록!$A$5:$A$2004,"&gt;="&amp;$A169,근태기록!$A$5:$A$2004,"&lt;="&amp;EOMONTH($A169,0)))</f>
        <v/>
      </c>
      <c r="K169" s="33">
        <f>IF(OR($A169="",$B169=""),"",SUMIFS(근태기록!$H$5:$H$2004,근태기록!$C$5:$C$2004,$B169,근태기록!$A$5:$A$2004,"&gt;="&amp;$A169,근태기록!$A$5:$A$2004,"&lt;="&amp;EOMONTH($A169,0),근태기록!$L$5:$L$2004,"휴일근로"))</f>
        <v/>
      </c>
      <c r="L169" s="20" t="n"/>
      <c r="M169" s="20" t="n"/>
      <c r="N169" s="20" t="n"/>
      <c r="O169" s="20" t="n"/>
      <c r="P169" s="15">
        <f>IF(OR($A169="",$B169=""),"",SUM(L169:O169))</f>
        <v/>
      </c>
      <c r="Q169" s="20" t="n"/>
      <c r="R169" s="20" t="n"/>
      <c r="S169" s="20" t="n"/>
      <c r="T169" s="20" t="n"/>
      <c r="U169" s="20" t="n"/>
      <c r="V169" s="20" t="n"/>
      <c r="W169" s="15">
        <f>IF(OR($A169="",$B169=""),"",SUM(Q169:V169))</f>
        <v/>
      </c>
      <c r="X169" s="15">
        <f>IF(OR($A169="",$B169=""),"",N(P169)-N(W169))</f>
        <v/>
      </c>
    </row>
    <row r="170">
      <c r="A170" s="43" t="n"/>
      <c r="B170" s="18" t="n"/>
      <c r="C170" s="25">
        <f>IFERROR(IF($B170="","",IF(INDEX(직원명부!$B$5:$B$24,MATCH($B170,직원명부!$A$5:$A$24,0))=0,"",INDEX(직원명부!$B$5:$B$24,MATCH($B170,직원명부!$A$5:$A$24,0)))),"사번 확인")</f>
        <v/>
      </c>
      <c r="D170" s="26">
        <f>IFERROR(IF($B170="","",IF(INDEX(근로자명부!$D$5:$D$24,MATCH($B170,근로자명부!$A$5:$A$24,0))=0,"",INDEX(근로자명부!$D$5:$D$24,MATCH($B170,근로자명부!$A$5:$A$24,0)))),"")</f>
        <v/>
      </c>
      <c r="E170" s="26">
        <f>IFERROR(IF($B170="","",IF(INDEX(직원명부!$C$5:$C$24,MATCH($B170,직원명부!$A$5:$A$24,0))=0,"",INDEX(직원명부!$C$5:$C$24,MATCH($B170,직원명부!$A$5:$A$24,0)))),"")</f>
        <v/>
      </c>
      <c r="F170" s="44">
        <f>IFERROR(IF($B170="","",IF(INDEX(근로자명부!$G$5:$G$24,MATCH($B170,근로자명부!$A$5:$A$24,0))=0,"",INDEX(근로자명부!$G$5:$G$24,MATCH($B170,근로자명부!$A$5:$A$24,0)))),"")</f>
        <v/>
      </c>
      <c r="G170" s="30">
        <f>IF(OR($A170="",$B170=""),"",COUNTIFS(근태기록!$C$5:$C$2004,$B170,근태기록!$A$5:$A$2004,"&gt;="&amp;$A170,근태기록!$A$5:$A$2004,"&lt;="&amp;EOMONTH($A170,0),근태기록!$H$5:$H$2004,"&gt;0"))</f>
        <v/>
      </c>
      <c r="H170" s="33">
        <f>IF(OR($A170="",$B170=""),"",SUMIFS(근태기록!$H$5:$H$2004,근태기록!$C$5:$C$2004,$B170,근태기록!$A$5:$A$2004,"&gt;="&amp;$A170,근태기록!$A$5:$A$2004,"&lt;="&amp;EOMONTH($A170,0)))</f>
        <v/>
      </c>
      <c r="I170" s="33">
        <f>IF(OR($A170="",$B170=""),"",SUMIFS(근태기록!$I$5:$I$2004,근태기록!$C$5:$C$2004,$B170,근태기록!$A$5:$A$2004,"&gt;="&amp;$A170,근태기록!$A$5:$A$2004,"&lt;="&amp;EOMONTH($A170,0)))</f>
        <v/>
      </c>
      <c r="J170" s="33">
        <f>IF(OR($A170="",$B170=""),"",SUMIFS(근태기록!$J$5:$J$2004,근태기록!$C$5:$C$2004,$B170,근태기록!$A$5:$A$2004,"&gt;="&amp;$A170,근태기록!$A$5:$A$2004,"&lt;="&amp;EOMONTH($A170,0)))</f>
        <v/>
      </c>
      <c r="K170" s="33">
        <f>IF(OR($A170="",$B170=""),"",SUMIFS(근태기록!$H$5:$H$2004,근태기록!$C$5:$C$2004,$B170,근태기록!$A$5:$A$2004,"&gt;="&amp;$A170,근태기록!$A$5:$A$2004,"&lt;="&amp;EOMONTH($A170,0),근태기록!$L$5:$L$2004,"휴일근로"))</f>
        <v/>
      </c>
      <c r="L170" s="20" t="n"/>
      <c r="M170" s="20" t="n"/>
      <c r="N170" s="20" t="n"/>
      <c r="O170" s="20" t="n"/>
      <c r="P170" s="15">
        <f>IF(OR($A170="",$B170=""),"",SUM(L170:O170))</f>
        <v/>
      </c>
      <c r="Q170" s="20" t="n"/>
      <c r="R170" s="20" t="n"/>
      <c r="S170" s="20" t="n"/>
      <c r="T170" s="20" t="n"/>
      <c r="U170" s="20" t="n"/>
      <c r="V170" s="20" t="n"/>
      <c r="W170" s="15">
        <f>IF(OR($A170="",$B170=""),"",SUM(Q170:V170))</f>
        <v/>
      </c>
      <c r="X170" s="15">
        <f>IF(OR($A170="",$B170=""),"",N(P170)-N(W170))</f>
        <v/>
      </c>
    </row>
    <row r="171">
      <c r="A171" s="43" t="n"/>
      <c r="B171" s="18" t="n"/>
      <c r="C171" s="25">
        <f>IFERROR(IF($B171="","",IF(INDEX(직원명부!$B$5:$B$24,MATCH($B171,직원명부!$A$5:$A$24,0))=0,"",INDEX(직원명부!$B$5:$B$24,MATCH($B171,직원명부!$A$5:$A$24,0)))),"사번 확인")</f>
        <v/>
      </c>
      <c r="D171" s="26">
        <f>IFERROR(IF($B171="","",IF(INDEX(근로자명부!$D$5:$D$24,MATCH($B171,근로자명부!$A$5:$A$24,0))=0,"",INDEX(근로자명부!$D$5:$D$24,MATCH($B171,근로자명부!$A$5:$A$24,0)))),"")</f>
        <v/>
      </c>
      <c r="E171" s="26">
        <f>IFERROR(IF($B171="","",IF(INDEX(직원명부!$C$5:$C$24,MATCH($B171,직원명부!$A$5:$A$24,0))=0,"",INDEX(직원명부!$C$5:$C$24,MATCH($B171,직원명부!$A$5:$A$24,0)))),"")</f>
        <v/>
      </c>
      <c r="F171" s="44">
        <f>IFERROR(IF($B171="","",IF(INDEX(근로자명부!$G$5:$G$24,MATCH($B171,근로자명부!$A$5:$A$24,0))=0,"",INDEX(근로자명부!$G$5:$G$24,MATCH($B171,근로자명부!$A$5:$A$24,0)))),"")</f>
        <v/>
      </c>
      <c r="G171" s="30">
        <f>IF(OR($A171="",$B171=""),"",COUNTIFS(근태기록!$C$5:$C$2004,$B171,근태기록!$A$5:$A$2004,"&gt;="&amp;$A171,근태기록!$A$5:$A$2004,"&lt;="&amp;EOMONTH($A171,0),근태기록!$H$5:$H$2004,"&gt;0"))</f>
        <v/>
      </c>
      <c r="H171" s="33">
        <f>IF(OR($A171="",$B171=""),"",SUMIFS(근태기록!$H$5:$H$2004,근태기록!$C$5:$C$2004,$B171,근태기록!$A$5:$A$2004,"&gt;="&amp;$A171,근태기록!$A$5:$A$2004,"&lt;="&amp;EOMONTH($A171,0)))</f>
        <v/>
      </c>
      <c r="I171" s="33">
        <f>IF(OR($A171="",$B171=""),"",SUMIFS(근태기록!$I$5:$I$2004,근태기록!$C$5:$C$2004,$B171,근태기록!$A$5:$A$2004,"&gt;="&amp;$A171,근태기록!$A$5:$A$2004,"&lt;="&amp;EOMONTH($A171,0)))</f>
        <v/>
      </c>
      <c r="J171" s="33">
        <f>IF(OR($A171="",$B171=""),"",SUMIFS(근태기록!$J$5:$J$2004,근태기록!$C$5:$C$2004,$B171,근태기록!$A$5:$A$2004,"&gt;="&amp;$A171,근태기록!$A$5:$A$2004,"&lt;="&amp;EOMONTH($A171,0)))</f>
        <v/>
      </c>
      <c r="K171" s="33">
        <f>IF(OR($A171="",$B171=""),"",SUMIFS(근태기록!$H$5:$H$2004,근태기록!$C$5:$C$2004,$B171,근태기록!$A$5:$A$2004,"&gt;="&amp;$A171,근태기록!$A$5:$A$2004,"&lt;="&amp;EOMONTH($A171,0),근태기록!$L$5:$L$2004,"휴일근로"))</f>
        <v/>
      </c>
      <c r="L171" s="20" t="n"/>
      <c r="M171" s="20" t="n"/>
      <c r="N171" s="20" t="n"/>
      <c r="O171" s="20" t="n"/>
      <c r="P171" s="15">
        <f>IF(OR($A171="",$B171=""),"",SUM(L171:O171))</f>
        <v/>
      </c>
      <c r="Q171" s="20" t="n"/>
      <c r="R171" s="20" t="n"/>
      <c r="S171" s="20" t="n"/>
      <c r="T171" s="20" t="n"/>
      <c r="U171" s="20" t="n"/>
      <c r="V171" s="20" t="n"/>
      <c r="W171" s="15">
        <f>IF(OR($A171="",$B171=""),"",SUM(Q171:V171))</f>
        <v/>
      </c>
      <c r="X171" s="15">
        <f>IF(OR($A171="",$B171=""),"",N(P171)-N(W171))</f>
        <v/>
      </c>
    </row>
    <row r="172">
      <c r="A172" s="43" t="n"/>
      <c r="B172" s="18" t="n"/>
      <c r="C172" s="25">
        <f>IFERROR(IF($B172="","",IF(INDEX(직원명부!$B$5:$B$24,MATCH($B172,직원명부!$A$5:$A$24,0))=0,"",INDEX(직원명부!$B$5:$B$24,MATCH($B172,직원명부!$A$5:$A$24,0)))),"사번 확인")</f>
        <v/>
      </c>
      <c r="D172" s="26">
        <f>IFERROR(IF($B172="","",IF(INDEX(근로자명부!$D$5:$D$24,MATCH($B172,근로자명부!$A$5:$A$24,0))=0,"",INDEX(근로자명부!$D$5:$D$24,MATCH($B172,근로자명부!$A$5:$A$24,0)))),"")</f>
        <v/>
      </c>
      <c r="E172" s="26">
        <f>IFERROR(IF($B172="","",IF(INDEX(직원명부!$C$5:$C$24,MATCH($B172,직원명부!$A$5:$A$24,0))=0,"",INDEX(직원명부!$C$5:$C$24,MATCH($B172,직원명부!$A$5:$A$24,0)))),"")</f>
        <v/>
      </c>
      <c r="F172" s="44">
        <f>IFERROR(IF($B172="","",IF(INDEX(근로자명부!$G$5:$G$24,MATCH($B172,근로자명부!$A$5:$A$24,0))=0,"",INDEX(근로자명부!$G$5:$G$24,MATCH($B172,근로자명부!$A$5:$A$24,0)))),"")</f>
        <v/>
      </c>
      <c r="G172" s="30">
        <f>IF(OR($A172="",$B172=""),"",COUNTIFS(근태기록!$C$5:$C$2004,$B172,근태기록!$A$5:$A$2004,"&gt;="&amp;$A172,근태기록!$A$5:$A$2004,"&lt;="&amp;EOMONTH($A172,0),근태기록!$H$5:$H$2004,"&gt;0"))</f>
        <v/>
      </c>
      <c r="H172" s="33">
        <f>IF(OR($A172="",$B172=""),"",SUMIFS(근태기록!$H$5:$H$2004,근태기록!$C$5:$C$2004,$B172,근태기록!$A$5:$A$2004,"&gt;="&amp;$A172,근태기록!$A$5:$A$2004,"&lt;="&amp;EOMONTH($A172,0)))</f>
        <v/>
      </c>
      <c r="I172" s="33">
        <f>IF(OR($A172="",$B172=""),"",SUMIFS(근태기록!$I$5:$I$2004,근태기록!$C$5:$C$2004,$B172,근태기록!$A$5:$A$2004,"&gt;="&amp;$A172,근태기록!$A$5:$A$2004,"&lt;="&amp;EOMONTH($A172,0)))</f>
        <v/>
      </c>
      <c r="J172" s="33">
        <f>IF(OR($A172="",$B172=""),"",SUMIFS(근태기록!$J$5:$J$2004,근태기록!$C$5:$C$2004,$B172,근태기록!$A$5:$A$2004,"&gt;="&amp;$A172,근태기록!$A$5:$A$2004,"&lt;="&amp;EOMONTH($A172,0)))</f>
        <v/>
      </c>
      <c r="K172" s="33">
        <f>IF(OR($A172="",$B172=""),"",SUMIFS(근태기록!$H$5:$H$2004,근태기록!$C$5:$C$2004,$B172,근태기록!$A$5:$A$2004,"&gt;="&amp;$A172,근태기록!$A$5:$A$2004,"&lt;="&amp;EOMONTH($A172,0),근태기록!$L$5:$L$2004,"휴일근로"))</f>
        <v/>
      </c>
      <c r="L172" s="20" t="n"/>
      <c r="M172" s="20" t="n"/>
      <c r="N172" s="20" t="n"/>
      <c r="O172" s="20" t="n"/>
      <c r="P172" s="15">
        <f>IF(OR($A172="",$B172=""),"",SUM(L172:O172))</f>
        <v/>
      </c>
      <c r="Q172" s="20" t="n"/>
      <c r="R172" s="20" t="n"/>
      <c r="S172" s="20" t="n"/>
      <c r="T172" s="20" t="n"/>
      <c r="U172" s="20" t="n"/>
      <c r="V172" s="20" t="n"/>
      <c r="W172" s="15">
        <f>IF(OR($A172="",$B172=""),"",SUM(Q172:V172))</f>
        <v/>
      </c>
      <c r="X172" s="15">
        <f>IF(OR($A172="",$B172=""),"",N(P172)-N(W172))</f>
        <v/>
      </c>
    </row>
    <row r="173">
      <c r="A173" s="43" t="n"/>
      <c r="B173" s="18" t="n"/>
      <c r="C173" s="25">
        <f>IFERROR(IF($B173="","",IF(INDEX(직원명부!$B$5:$B$24,MATCH($B173,직원명부!$A$5:$A$24,0))=0,"",INDEX(직원명부!$B$5:$B$24,MATCH($B173,직원명부!$A$5:$A$24,0)))),"사번 확인")</f>
        <v/>
      </c>
      <c r="D173" s="26">
        <f>IFERROR(IF($B173="","",IF(INDEX(근로자명부!$D$5:$D$24,MATCH($B173,근로자명부!$A$5:$A$24,0))=0,"",INDEX(근로자명부!$D$5:$D$24,MATCH($B173,근로자명부!$A$5:$A$24,0)))),"")</f>
        <v/>
      </c>
      <c r="E173" s="26">
        <f>IFERROR(IF($B173="","",IF(INDEX(직원명부!$C$5:$C$24,MATCH($B173,직원명부!$A$5:$A$24,0))=0,"",INDEX(직원명부!$C$5:$C$24,MATCH($B173,직원명부!$A$5:$A$24,0)))),"")</f>
        <v/>
      </c>
      <c r="F173" s="44">
        <f>IFERROR(IF($B173="","",IF(INDEX(근로자명부!$G$5:$G$24,MATCH($B173,근로자명부!$A$5:$A$24,0))=0,"",INDEX(근로자명부!$G$5:$G$24,MATCH($B173,근로자명부!$A$5:$A$24,0)))),"")</f>
        <v/>
      </c>
      <c r="G173" s="30">
        <f>IF(OR($A173="",$B173=""),"",COUNTIFS(근태기록!$C$5:$C$2004,$B173,근태기록!$A$5:$A$2004,"&gt;="&amp;$A173,근태기록!$A$5:$A$2004,"&lt;="&amp;EOMONTH($A173,0),근태기록!$H$5:$H$2004,"&gt;0"))</f>
        <v/>
      </c>
      <c r="H173" s="33">
        <f>IF(OR($A173="",$B173=""),"",SUMIFS(근태기록!$H$5:$H$2004,근태기록!$C$5:$C$2004,$B173,근태기록!$A$5:$A$2004,"&gt;="&amp;$A173,근태기록!$A$5:$A$2004,"&lt;="&amp;EOMONTH($A173,0)))</f>
        <v/>
      </c>
      <c r="I173" s="33">
        <f>IF(OR($A173="",$B173=""),"",SUMIFS(근태기록!$I$5:$I$2004,근태기록!$C$5:$C$2004,$B173,근태기록!$A$5:$A$2004,"&gt;="&amp;$A173,근태기록!$A$5:$A$2004,"&lt;="&amp;EOMONTH($A173,0)))</f>
        <v/>
      </c>
      <c r="J173" s="33">
        <f>IF(OR($A173="",$B173=""),"",SUMIFS(근태기록!$J$5:$J$2004,근태기록!$C$5:$C$2004,$B173,근태기록!$A$5:$A$2004,"&gt;="&amp;$A173,근태기록!$A$5:$A$2004,"&lt;="&amp;EOMONTH($A173,0)))</f>
        <v/>
      </c>
      <c r="K173" s="33">
        <f>IF(OR($A173="",$B173=""),"",SUMIFS(근태기록!$H$5:$H$2004,근태기록!$C$5:$C$2004,$B173,근태기록!$A$5:$A$2004,"&gt;="&amp;$A173,근태기록!$A$5:$A$2004,"&lt;="&amp;EOMONTH($A173,0),근태기록!$L$5:$L$2004,"휴일근로"))</f>
        <v/>
      </c>
      <c r="L173" s="20" t="n"/>
      <c r="M173" s="20" t="n"/>
      <c r="N173" s="20" t="n"/>
      <c r="O173" s="20" t="n"/>
      <c r="P173" s="15">
        <f>IF(OR($A173="",$B173=""),"",SUM(L173:O173))</f>
        <v/>
      </c>
      <c r="Q173" s="20" t="n"/>
      <c r="R173" s="20" t="n"/>
      <c r="S173" s="20" t="n"/>
      <c r="T173" s="20" t="n"/>
      <c r="U173" s="20" t="n"/>
      <c r="V173" s="20" t="n"/>
      <c r="W173" s="15">
        <f>IF(OR($A173="",$B173=""),"",SUM(Q173:V173))</f>
        <v/>
      </c>
      <c r="X173" s="15">
        <f>IF(OR($A173="",$B173=""),"",N(P173)-N(W173))</f>
        <v/>
      </c>
    </row>
    <row r="174">
      <c r="A174" s="43" t="n"/>
      <c r="B174" s="18" t="n"/>
      <c r="C174" s="25">
        <f>IFERROR(IF($B174="","",IF(INDEX(직원명부!$B$5:$B$24,MATCH($B174,직원명부!$A$5:$A$24,0))=0,"",INDEX(직원명부!$B$5:$B$24,MATCH($B174,직원명부!$A$5:$A$24,0)))),"사번 확인")</f>
        <v/>
      </c>
      <c r="D174" s="26">
        <f>IFERROR(IF($B174="","",IF(INDEX(근로자명부!$D$5:$D$24,MATCH($B174,근로자명부!$A$5:$A$24,0))=0,"",INDEX(근로자명부!$D$5:$D$24,MATCH($B174,근로자명부!$A$5:$A$24,0)))),"")</f>
        <v/>
      </c>
      <c r="E174" s="26">
        <f>IFERROR(IF($B174="","",IF(INDEX(직원명부!$C$5:$C$24,MATCH($B174,직원명부!$A$5:$A$24,0))=0,"",INDEX(직원명부!$C$5:$C$24,MATCH($B174,직원명부!$A$5:$A$24,0)))),"")</f>
        <v/>
      </c>
      <c r="F174" s="44">
        <f>IFERROR(IF($B174="","",IF(INDEX(근로자명부!$G$5:$G$24,MATCH($B174,근로자명부!$A$5:$A$24,0))=0,"",INDEX(근로자명부!$G$5:$G$24,MATCH($B174,근로자명부!$A$5:$A$24,0)))),"")</f>
        <v/>
      </c>
      <c r="G174" s="30">
        <f>IF(OR($A174="",$B174=""),"",COUNTIFS(근태기록!$C$5:$C$2004,$B174,근태기록!$A$5:$A$2004,"&gt;="&amp;$A174,근태기록!$A$5:$A$2004,"&lt;="&amp;EOMONTH($A174,0),근태기록!$H$5:$H$2004,"&gt;0"))</f>
        <v/>
      </c>
      <c r="H174" s="33">
        <f>IF(OR($A174="",$B174=""),"",SUMIFS(근태기록!$H$5:$H$2004,근태기록!$C$5:$C$2004,$B174,근태기록!$A$5:$A$2004,"&gt;="&amp;$A174,근태기록!$A$5:$A$2004,"&lt;="&amp;EOMONTH($A174,0)))</f>
        <v/>
      </c>
      <c r="I174" s="33">
        <f>IF(OR($A174="",$B174=""),"",SUMIFS(근태기록!$I$5:$I$2004,근태기록!$C$5:$C$2004,$B174,근태기록!$A$5:$A$2004,"&gt;="&amp;$A174,근태기록!$A$5:$A$2004,"&lt;="&amp;EOMONTH($A174,0)))</f>
        <v/>
      </c>
      <c r="J174" s="33">
        <f>IF(OR($A174="",$B174=""),"",SUMIFS(근태기록!$J$5:$J$2004,근태기록!$C$5:$C$2004,$B174,근태기록!$A$5:$A$2004,"&gt;="&amp;$A174,근태기록!$A$5:$A$2004,"&lt;="&amp;EOMONTH($A174,0)))</f>
        <v/>
      </c>
      <c r="K174" s="33">
        <f>IF(OR($A174="",$B174=""),"",SUMIFS(근태기록!$H$5:$H$2004,근태기록!$C$5:$C$2004,$B174,근태기록!$A$5:$A$2004,"&gt;="&amp;$A174,근태기록!$A$5:$A$2004,"&lt;="&amp;EOMONTH($A174,0),근태기록!$L$5:$L$2004,"휴일근로"))</f>
        <v/>
      </c>
      <c r="L174" s="20" t="n"/>
      <c r="M174" s="20" t="n"/>
      <c r="N174" s="20" t="n"/>
      <c r="O174" s="20" t="n"/>
      <c r="P174" s="15">
        <f>IF(OR($A174="",$B174=""),"",SUM(L174:O174))</f>
        <v/>
      </c>
      <c r="Q174" s="20" t="n"/>
      <c r="R174" s="20" t="n"/>
      <c r="S174" s="20" t="n"/>
      <c r="T174" s="20" t="n"/>
      <c r="U174" s="20" t="n"/>
      <c r="V174" s="20" t="n"/>
      <c r="W174" s="15">
        <f>IF(OR($A174="",$B174=""),"",SUM(Q174:V174))</f>
        <v/>
      </c>
      <c r="X174" s="15">
        <f>IF(OR($A174="",$B174=""),"",N(P174)-N(W174))</f>
        <v/>
      </c>
    </row>
    <row r="175">
      <c r="A175" s="43" t="n"/>
      <c r="B175" s="18" t="n"/>
      <c r="C175" s="25">
        <f>IFERROR(IF($B175="","",IF(INDEX(직원명부!$B$5:$B$24,MATCH($B175,직원명부!$A$5:$A$24,0))=0,"",INDEX(직원명부!$B$5:$B$24,MATCH($B175,직원명부!$A$5:$A$24,0)))),"사번 확인")</f>
        <v/>
      </c>
      <c r="D175" s="26">
        <f>IFERROR(IF($B175="","",IF(INDEX(근로자명부!$D$5:$D$24,MATCH($B175,근로자명부!$A$5:$A$24,0))=0,"",INDEX(근로자명부!$D$5:$D$24,MATCH($B175,근로자명부!$A$5:$A$24,0)))),"")</f>
        <v/>
      </c>
      <c r="E175" s="26">
        <f>IFERROR(IF($B175="","",IF(INDEX(직원명부!$C$5:$C$24,MATCH($B175,직원명부!$A$5:$A$24,0))=0,"",INDEX(직원명부!$C$5:$C$24,MATCH($B175,직원명부!$A$5:$A$24,0)))),"")</f>
        <v/>
      </c>
      <c r="F175" s="44">
        <f>IFERROR(IF($B175="","",IF(INDEX(근로자명부!$G$5:$G$24,MATCH($B175,근로자명부!$A$5:$A$24,0))=0,"",INDEX(근로자명부!$G$5:$G$24,MATCH($B175,근로자명부!$A$5:$A$24,0)))),"")</f>
        <v/>
      </c>
      <c r="G175" s="30">
        <f>IF(OR($A175="",$B175=""),"",COUNTIFS(근태기록!$C$5:$C$2004,$B175,근태기록!$A$5:$A$2004,"&gt;="&amp;$A175,근태기록!$A$5:$A$2004,"&lt;="&amp;EOMONTH($A175,0),근태기록!$H$5:$H$2004,"&gt;0"))</f>
        <v/>
      </c>
      <c r="H175" s="33">
        <f>IF(OR($A175="",$B175=""),"",SUMIFS(근태기록!$H$5:$H$2004,근태기록!$C$5:$C$2004,$B175,근태기록!$A$5:$A$2004,"&gt;="&amp;$A175,근태기록!$A$5:$A$2004,"&lt;="&amp;EOMONTH($A175,0)))</f>
        <v/>
      </c>
      <c r="I175" s="33">
        <f>IF(OR($A175="",$B175=""),"",SUMIFS(근태기록!$I$5:$I$2004,근태기록!$C$5:$C$2004,$B175,근태기록!$A$5:$A$2004,"&gt;="&amp;$A175,근태기록!$A$5:$A$2004,"&lt;="&amp;EOMONTH($A175,0)))</f>
        <v/>
      </c>
      <c r="J175" s="33">
        <f>IF(OR($A175="",$B175=""),"",SUMIFS(근태기록!$J$5:$J$2004,근태기록!$C$5:$C$2004,$B175,근태기록!$A$5:$A$2004,"&gt;="&amp;$A175,근태기록!$A$5:$A$2004,"&lt;="&amp;EOMONTH($A175,0)))</f>
        <v/>
      </c>
      <c r="K175" s="33">
        <f>IF(OR($A175="",$B175=""),"",SUMIFS(근태기록!$H$5:$H$2004,근태기록!$C$5:$C$2004,$B175,근태기록!$A$5:$A$2004,"&gt;="&amp;$A175,근태기록!$A$5:$A$2004,"&lt;="&amp;EOMONTH($A175,0),근태기록!$L$5:$L$2004,"휴일근로"))</f>
        <v/>
      </c>
      <c r="L175" s="20" t="n"/>
      <c r="M175" s="20" t="n"/>
      <c r="N175" s="20" t="n"/>
      <c r="O175" s="20" t="n"/>
      <c r="P175" s="15">
        <f>IF(OR($A175="",$B175=""),"",SUM(L175:O175))</f>
        <v/>
      </c>
      <c r="Q175" s="20" t="n"/>
      <c r="R175" s="20" t="n"/>
      <c r="S175" s="20" t="n"/>
      <c r="T175" s="20" t="n"/>
      <c r="U175" s="20" t="n"/>
      <c r="V175" s="20" t="n"/>
      <c r="W175" s="15">
        <f>IF(OR($A175="",$B175=""),"",SUM(Q175:V175))</f>
        <v/>
      </c>
      <c r="X175" s="15">
        <f>IF(OR($A175="",$B175=""),"",N(P175)-N(W175))</f>
        <v/>
      </c>
    </row>
    <row r="176">
      <c r="A176" s="43" t="n"/>
      <c r="B176" s="18" t="n"/>
      <c r="C176" s="25">
        <f>IFERROR(IF($B176="","",IF(INDEX(직원명부!$B$5:$B$24,MATCH($B176,직원명부!$A$5:$A$24,0))=0,"",INDEX(직원명부!$B$5:$B$24,MATCH($B176,직원명부!$A$5:$A$24,0)))),"사번 확인")</f>
        <v/>
      </c>
      <c r="D176" s="26">
        <f>IFERROR(IF($B176="","",IF(INDEX(근로자명부!$D$5:$D$24,MATCH($B176,근로자명부!$A$5:$A$24,0))=0,"",INDEX(근로자명부!$D$5:$D$24,MATCH($B176,근로자명부!$A$5:$A$24,0)))),"")</f>
        <v/>
      </c>
      <c r="E176" s="26">
        <f>IFERROR(IF($B176="","",IF(INDEX(직원명부!$C$5:$C$24,MATCH($B176,직원명부!$A$5:$A$24,0))=0,"",INDEX(직원명부!$C$5:$C$24,MATCH($B176,직원명부!$A$5:$A$24,0)))),"")</f>
        <v/>
      </c>
      <c r="F176" s="44">
        <f>IFERROR(IF($B176="","",IF(INDEX(근로자명부!$G$5:$G$24,MATCH($B176,근로자명부!$A$5:$A$24,0))=0,"",INDEX(근로자명부!$G$5:$G$24,MATCH($B176,근로자명부!$A$5:$A$24,0)))),"")</f>
        <v/>
      </c>
      <c r="G176" s="30">
        <f>IF(OR($A176="",$B176=""),"",COUNTIFS(근태기록!$C$5:$C$2004,$B176,근태기록!$A$5:$A$2004,"&gt;="&amp;$A176,근태기록!$A$5:$A$2004,"&lt;="&amp;EOMONTH($A176,0),근태기록!$H$5:$H$2004,"&gt;0"))</f>
        <v/>
      </c>
      <c r="H176" s="33">
        <f>IF(OR($A176="",$B176=""),"",SUMIFS(근태기록!$H$5:$H$2004,근태기록!$C$5:$C$2004,$B176,근태기록!$A$5:$A$2004,"&gt;="&amp;$A176,근태기록!$A$5:$A$2004,"&lt;="&amp;EOMONTH($A176,0)))</f>
        <v/>
      </c>
      <c r="I176" s="33">
        <f>IF(OR($A176="",$B176=""),"",SUMIFS(근태기록!$I$5:$I$2004,근태기록!$C$5:$C$2004,$B176,근태기록!$A$5:$A$2004,"&gt;="&amp;$A176,근태기록!$A$5:$A$2004,"&lt;="&amp;EOMONTH($A176,0)))</f>
        <v/>
      </c>
      <c r="J176" s="33">
        <f>IF(OR($A176="",$B176=""),"",SUMIFS(근태기록!$J$5:$J$2004,근태기록!$C$5:$C$2004,$B176,근태기록!$A$5:$A$2004,"&gt;="&amp;$A176,근태기록!$A$5:$A$2004,"&lt;="&amp;EOMONTH($A176,0)))</f>
        <v/>
      </c>
      <c r="K176" s="33">
        <f>IF(OR($A176="",$B176=""),"",SUMIFS(근태기록!$H$5:$H$2004,근태기록!$C$5:$C$2004,$B176,근태기록!$A$5:$A$2004,"&gt;="&amp;$A176,근태기록!$A$5:$A$2004,"&lt;="&amp;EOMONTH($A176,0),근태기록!$L$5:$L$2004,"휴일근로"))</f>
        <v/>
      </c>
      <c r="L176" s="20" t="n"/>
      <c r="M176" s="20" t="n"/>
      <c r="N176" s="20" t="n"/>
      <c r="O176" s="20" t="n"/>
      <c r="P176" s="15">
        <f>IF(OR($A176="",$B176=""),"",SUM(L176:O176))</f>
        <v/>
      </c>
      <c r="Q176" s="20" t="n"/>
      <c r="R176" s="20" t="n"/>
      <c r="S176" s="20" t="n"/>
      <c r="T176" s="20" t="n"/>
      <c r="U176" s="20" t="n"/>
      <c r="V176" s="20" t="n"/>
      <c r="W176" s="15">
        <f>IF(OR($A176="",$B176=""),"",SUM(Q176:V176))</f>
        <v/>
      </c>
      <c r="X176" s="15">
        <f>IF(OR($A176="",$B176=""),"",N(P176)-N(W176))</f>
        <v/>
      </c>
    </row>
    <row r="177">
      <c r="A177" s="43" t="n"/>
      <c r="B177" s="18" t="n"/>
      <c r="C177" s="25">
        <f>IFERROR(IF($B177="","",IF(INDEX(직원명부!$B$5:$B$24,MATCH($B177,직원명부!$A$5:$A$24,0))=0,"",INDEX(직원명부!$B$5:$B$24,MATCH($B177,직원명부!$A$5:$A$24,0)))),"사번 확인")</f>
        <v/>
      </c>
      <c r="D177" s="26">
        <f>IFERROR(IF($B177="","",IF(INDEX(근로자명부!$D$5:$D$24,MATCH($B177,근로자명부!$A$5:$A$24,0))=0,"",INDEX(근로자명부!$D$5:$D$24,MATCH($B177,근로자명부!$A$5:$A$24,0)))),"")</f>
        <v/>
      </c>
      <c r="E177" s="26">
        <f>IFERROR(IF($B177="","",IF(INDEX(직원명부!$C$5:$C$24,MATCH($B177,직원명부!$A$5:$A$24,0))=0,"",INDEX(직원명부!$C$5:$C$24,MATCH($B177,직원명부!$A$5:$A$24,0)))),"")</f>
        <v/>
      </c>
      <c r="F177" s="44">
        <f>IFERROR(IF($B177="","",IF(INDEX(근로자명부!$G$5:$G$24,MATCH($B177,근로자명부!$A$5:$A$24,0))=0,"",INDEX(근로자명부!$G$5:$G$24,MATCH($B177,근로자명부!$A$5:$A$24,0)))),"")</f>
        <v/>
      </c>
      <c r="G177" s="30">
        <f>IF(OR($A177="",$B177=""),"",COUNTIFS(근태기록!$C$5:$C$2004,$B177,근태기록!$A$5:$A$2004,"&gt;="&amp;$A177,근태기록!$A$5:$A$2004,"&lt;="&amp;EOMONTH($A177,0),근태기록!$H$5:$H$2004,"&gt;0"))</f>
        <v/>
      </c>
      <c r="H177" s="33">
        <f>IF(OR($A177="",$B177=""),"",SUMIFS(근태기록!$H$5:$H$2004,근태기록!$C$5:$C$2004,$B177,근태기록!$A$5:$A$2004,"&gt;="&amp;$A177,근태기록!$A$5:$A$2004,"&lt;="&amp;EOMONTH($A177,0)))</f>
        <v/>
      </c>
      <c r="I177" s="33">
        <f>IF(OR($A177="",$B177=""),"",SUMIFS(근태기록!$I$5:$I$2004,근태기록!$C$5:$C$2004,$B177,근태기록!$A$5:$A$2004,"&gt;="&amp;$A177,근태기록!$A$5:$A$2004,"&lt;="&amp;EOMONTH($A177,0)))</f>
        <v/>
      </c>
      <c r="J177" s="33">
        <f>IF(OR($A177="",$B177=""),"",SUMIFS(근태기록!$J$5:$J$2004,근태기록!$C$5:$C$2004,$B177,근태기록!$A$5:$A$2004,"&gt;="&amp;$A177,근태기록!$A$5:$A$2004,"&lt;="&amp;EOMONTH($A177,0)))</f>
        <v/>
      </c>
      <c r="K177" s="33">
        <f>IF(OR($A177="",$B177=""),"",SUMIFS(근태기록!$H$5:$H$2004,근태기록!$C$5:$C$2004,$B177,근태기록!$A$5:$A$2004,"&gt;="&amp;$A177,근태기록!$A$5:$A$2004,"&lt;="&amp;EOMONTH($A177,0),근태기록!$L$5:$L$2004,"휴일근로"))</f>
        <v/>
      </c>
      <c r="L177" s="20" t="n"/>
      <c r="M177" s="20" t="n"/>
      <c r="N177" s="20" t="n"/>
      <c r="O177" s="20" t="n"/>
      <c r="P177" s="15">
        <f>IF(OR($A177="",$B177=""),"",SUM(L177:O177))</f>
        <v/>
      </c>
      <c r="Q177" s="20" t="n"/>
      <c r="R177" s="20" t="n"/>
      <c r="S177" s="20" t="n"/>
      <c r="T177" s="20" t="n"/>
      <c r="U177" s="20" t="n"/>
      <c r="V177" s="20" t="n"/>
      <c r="W177" s="15">
        <f>IF(OR($A177="",$B177=""),"",SUM(Q177:V177))</f>
        <v/>
      </c>
      <c r="X177" s="15">
        <f>IF(OR($A177="",$B177=""),"",N(P177)-N(W177))</f>
        <v/>
      </c>
    </row>
    <row r="178">
      <c r="A178" s="43" t="n"/>
      <c r="B178" s="18" t="n"/>
      <c r="C178" s="25">
        <f>IFERROR(IF($B178="","",IF(INDEX(직원명부!$B$5:$B$24,MATCH($B178,직원명부!$A$5:$A$24,0))=0,"",INDEX(직원명부!$B$5:$B$24,MATCH($B178,직원명부!$A$5:$A$24,0)))),"사번 확인")</f>
        <v/>
      </c>
      <c r="D178" s="26">
        <f>IFERROR(IF($B178="","",IF(INDEX(근로자명부!$D$5:$D$24,MATCH($B178,근로자명부!$A$5:$A$24,0))=0,"",INDEX(근로자명부!$D$5:$D$24,MATCH($B178,근로자명부!$A$5:$A$24,0)))),"")</f>
        <v/>
      </c>
      <c r="E178" s="26">
        <f>IFERROR(IF($B178="","",IF(INDEX(직원명부!$C$5:$C$24,MATCH($B178,직원명부!$A$5:$A$24,0))=0,"",INDEX(직원명부!$C$5:$C$24,MATCH($B178,직원명부!$A$5:$A$24,0)))),"")</f>
        <v/>
      </c>
      <c r="F178" s="44">
        <f>IFERROR(IF($B178="","",IF(INDEX(근로자명부!$G$5:$G$24,MATCH($B178,근로자명부!$A$5:$A$24,0))=0,"",INDEX(근로자명부!$G$5:$G$24,MATCH($B178,근로자명부!$A$5:$A$24,0)))),"")</f>
        <v/>
      </c>
      <c r="G178" s="30">
        <f>IF(OR($A178="",$B178=""),"",COUNTIFS(근태기록!$C$5:$C$2004,$B178,근태기록!$A$5:$A$2004,"&gt;="&amp;$A178,근태기록!$A$5:$A$2004,"&lt;="&amp;EOMONTH($A178,0),근태기록!$H$5:$H$2004,"&gt;0"))</f>
        <v/>
      </c>
      <c r="H178" s="33">
        <f>IF(OR($A178="",$B178=""),"",SUMIFS(근태기록!$H$5:$H$2004,근태기록!$C$5:$C$2004,$B178,근태기록!$A$5:$A$2004,"&gt;="&amp;$A178,근태기록!$A$5:$A$2004,"&lt;="&amp;EOMONTH($A178,0)))</f>
        <v/>
      </c>
      <c r="I178" s="33">
        <f>IF(OR($A178="",$B178=""),"",SUMIFS(근태기록!$I$5:$I$2004,근태기록!$C$5:$C$2004,$B178,근태기록!$A$5:$A$2004,"&gt;="&amp;$A178,근태기록!$A$5:$A$2004,"&lt;="&amp;EOMONTH($A178,0)))</f>
        <v/>
      </c>
      <c r="J178" s="33">
        <f>IF(OR($A178="",$B178=""),"",SUMIFS(근태기록!$J$5:$J$2004,근태기록!$C$5:$C$2004,$B178,근태기록!$A$5:$A$2004,"&gt;="&amp;$A178,근태기록!$A$5:$A$2004,"&lt;="&amp;EOMONTH($A178,0)))</f>
        <v/>
      </c>
      <c r="K178" s="33">
        <f>IF(OR($A178="",$B178=""),"",SUMIFS(근태기록!$H$5:$H$2004,근태기록!$C$5:$C$2004,$B178,근태기록!$A$5:$A$2004,"&gt;="&amp;$A178,근태기록!$A$5:$A$2004,"&lt;="&amp;EOMONTH($A178,0),근태기록!$L$5:$L$2004,"휴일근로"))</f>
        <v/>
      </c>
      <c r="L178" s="20" t="n"/>
      <c r="M178" s="20" t="n"/>
      <c r="N178" s="20" t="n"/>
      <c r="O178" s="20" t="n"/>
      <c r="P178" s="15">
        <f>IF(OR($A178="",$B178=""),"",SUM(L178:O178))</f>
        <v/>
      </c>
      <c r="Q178" s="20" t="n"/>
      <c r="R178" s="20" t="n"/>
      <c r="S178" s="20" t="n"/>
      <c r="T178" s="20" t="n"/>
      <c r="U178" s="20" t="n"/>
      <c r="V178" s="20" t="n"/>
      <c r="W178" s="15">
        <f>IF(OR($A178="",$B178=""),"",SUM(Q178:V178))</f>
        <v/>
      </c>
      <c r="X178" s="15">
        <f>IF(OR($A178="",$B178=""),"",N(P178)-N(W178))</f>
        <v/>
      </c>
    </row>
    <row r="179">
      <c r="A179" s="43" t="n"/>
      <c r="B179" s="18" t="n"/>
      <c r="C179" s="25">
        <f>IFERROR(IF($B179="","",IF(INDEX(직원명부!$B$5:$B$24,MATCH($B179,직원명부!$A$5:$A$24,0))=0,"",INDEX(직원명부!$B$5:$B$24,MATCH($B179,직원명부!$A$5:$A$24,0)))),"사번 확인")</f>
        <v/>
      </c>
      <c r="D179" s="26">
        <f>IFERROR(IF($B179="","",IF(INDEX(근로자명부!$D$5:$D$24,MATCH($B179,근로자명부!$A$5:$A$24,0))=0,"",INDEX(근로자명부!$D$5:$D$24,MATCH($B179,근로자명부!$A$5:$A$24,0)))),"")</f>
        <v/>
      </c>
      <c r="E179" s="26">
        <f>IFERROR(IF($B179="","",IF(INDEX(직원명부!$C$5:$C$24,MATCH($B179,직원명부!$A$5:$A$24,0))=0,"",INDEX(직원명부!$C$5:$C$24,MATCH($B179,직원명부!$A$5:$A$24,0)))),"")</f>
        <v/>
      </c>
      <c r="F179" s="44">
        <f>IFERROR(IF($B179="","",IF(INDEX(근로자명부!$G$5:$G$24,MATCH($B179,근로자명부!$A$5:$A$24,0))=0,"",INDEX(근로자명부!$G$5:$G$24,MATCH($B179,근로자명부!$A$5:$A$24,0)))),"")</f>
        <v/>
      </c>
      <c r="G179" s="30">
        <f>IF(OR($A179="",$B179=""),"",COUNTIFS(근태기록!$C$5:$C$2004,$B179,근태기록!$A$5:$A$2004,"&gt;="&amp;$A179,근태기록!$A$5:$A$2004,"&lt;="&amp;EOMONTH($A179,0),근태기록!$H$5:$H$2004,"&gt;0"))</f>
        <v/>
      </c>
      <c r="H179" s="33">
        <f>IF(OR($A179="",$B179=""),"",SUMIFS(근태기록!$H$5:$H$2004,근태기록!$C$5:$C$2004,$B179,근태기록!$A$5:$A$2004,"&gt;="&amp;$A179,근태기록!$A$5:$A$2004,"&lt;="&amp;EOMONTH($A179,0)))</f>
        <v/>
      </c>
      <c r="I179" s="33">
        <f>IF(OR($A179="",$B179=""),"",SUMIFS(근태기록!$I$5:$I$2004,근태기록!$C$5:$C$2004,$B179,근태기록!$A$5:$A$2004,"&gt;="&amp;$A179,근태기록!$A$5:$A$2004,"&lt;="&amp;EOMONTH($A179,0)))</f>
        <v/>
      </c>
      <c r="J179" s="33">
        <f>IF(OR($A179="",$B179=""),"",SUMIFS(근태기록!$J$5:$J$2004,근태기록!$C$5:$C$2004,$B179,근태기록!$A$5:$A$2004,"&gt;="&amp;$A179,근태기록!$A$5:$A$2004,"&lt;="&amp;EOMONTH($A179,0)))</f>
        <v/>
      </c>
      <c r="K179" s="33">
        <f>IF(OR($A179="",$B179=""),"",SUMIFS(근태기록!$H$5:$H$2004,근태기록!$C$5:$C$2004,$B179,근태기록!$A$5:$A$2004,"&gt;="&amp;$A179,근태기록!$A$5:$A$2004,"&lt;="&amp;EOMONTH($A179,0),근태기록!$L$5:$L$2004,"휴일근로"))</f>
        <v/>
      </c>
      <c r="L179" s="20" t="n"/>
      <c r="M179" s="20" t="n"/>
      <c r="N179" s="20" t="n"/>
      <c r="O179" s="20" t="n"/>
      <c r="P179" s="15">
        <f>IF(OR($A179="",$B179=""),"",SUM(L179:O179))</f>
        <v/>
      </c>
      <c r="Q179" s="20" t="n"/>
      <c r="R179" s="20" t="n"/>
      <c r="S179" s="20" t="n"/>
      <c r="T179" s="20" t="n"/>
      <c r="U179" s="20" t="n"/>
      <c r="V179" s="20" t="n"/>
      <c r="W179" s="15">
        <f>IF(OR($A179="",$B179=""),"",SUM(Q179:V179))</f>
        <v/>
      </c>
      <c r="X179" s="15">
        <f>IF(OR($A179="",$B179=""),"",N(P179)-N(W179))</f>
        <v/>
      </c>
    </row>
    <row r="180">
      <c r="A180" s="43" t="n"/>
      <c r="B180" s="18" t="n"/>
      <c r="C180" s="25">
        <f>IFERROR(IF($B180="","",IF(INDEX(직원명부!$B$5:$B$24,MATCH($B180,직원명부!$A$5:$A$24,0))=0,"",INDEX(직원명부!$B$5:$B$24,MATCH($B180,직원명부!$A$5:$A$24,0)))),"사번 확인")</f>
        <v/>
      </c>
      <c r="D180" s="26">
        <f>IFERROR(IF($B180="","",IF(INDEX(근로자명부!$D$5:$D$24,MATCH($B180,근로자명부!$A$5:$A$24,0))=0,"",INDEX(근로자명부!$D$5:$D$24,MATCH($B180,근로자명부!$A$5:$A$24,0)))),"")</f>
        <v/>
      </c>
      <c r="E180" s="26">
        <f>IFERROR(IF($B180="","",IF(INDEX(직원명부!$C$5:$C$24,MATCH($B180,직원명부!$A$5:$A$24,0))=0,"",INDEX(직원명부!$C$5:$C$24,MATCH($B180,직원명부!$A$5:$A$24,0)))),"")</f>
        <v/>
      </c>
      <c r="F180" s="44">
        <f>IFERROR(IF($B180="","",IF(INDEX(근로자명부!$G$5:$G$24,MATCH($B180,근로자명부!$A$5:$A$24,0))=0,"",INDEX(근로자명부!$G$5:$G$24,MATCH($B180,근로자명부!$A$5:$A$24,0)))),"")</f>
        <v/>
      </c>
      <c r="G180" s="30">
        <f>IF(OR($A180="",$B180=""),"",COUNTIFS(근태기록!$C$5:$C$2004,$B180,근태기록!$A$5:$A$2004,"&gt;="&amp;$A180,근태기록!$A$5:$A$2004,"&lt;="&amp;EOMONTH($A180,0),근태기록!$H$5:$H$2004,"&gt;0"))</f>
        <v/>
      </c>
      <c r="H180" s="33">
        <f>IF(OR($A180="",$B180=""),"",SUMIFS(근태기록!$H$5:$H$2004,근태기록!$C$5:$C$2004,$B180,근태기록!$A$5:$A$2004,"&gt;="&amp;$A180,근태기록!$A$5:$A$2004,"&lt;="&amp;EOMONTH($A180,0)))</f>
        <v/>
      </c>
      <c r="I180" s="33">
        <f>IF(OR($A180="",$B180=""),"",SUMIFS(근태기록!$I$5:$I$2004,근태기록!$C$5:$C$2004,$B180,근태기록!$A$5:$A$2004,"&gt;="&amp;$A180,근태기록!$A$5:$A$2004,"&lt;="&amp;EOMONTH($A180,0)))</f>
        <v/>
      </c>
      <c r="J180" s="33">
        <f>IF(OR($A180="",$B180=""),"",SUMIFS(근태기록!$J$5:$J$2004,근태기록!$C$5:$C$2004,$B180,근태기록!$A$5:$A$2004,"&gt;="&amp;$A180,근태기록!$A$5:$A$2004,"&lt;="&amp;EOMONTH($A180,0)))</f>
        <v/>
      </c>
      <c r="K180" s="33">
        <f>IF(OR($A180="",$B180=""),"",SUMIFS(근태기록!$H$5:$H$2004,근태기록!$C$5:$C$2004,$B180,근태기록!$A$5:$A$2004,"&gt;="&amp;$A180,근태기록!$A$5:$A$2004,"&lt;="&amp;EOMONTH($A180,0),근태기록!$L$5:$L$2004,"휴일근로"))</f>
        <v/>
      </c>
      <c r="L180" s="20" t="n"/>
      <c r="M180" s="20" t="n"/>
      <c r="N180" s="20" t="n"/>
      <c r="O180" s="20" t="n"/>
      <c r="P180" s="15">
        <f>IF(OR($A180="",$B180=""),"",SUM(L180:O180))</f>
        <v/>
      </c>
      <c r="Q180" s="20" t="n"/>
      <c r="R180" s="20" t="n"/>
      <c r="S180" s="20" t="n"/>
      <c r="T180" s="20" t="n"/>
      <c r="U180" s="20" t="n"/>
      <c r="V180" s="20" t="n"/>
      <c r="W180" s="15">
        <f>IF(OR($A180="",$B180=""),"",SUM(Q180:V180))</f>
        <v/>
      </c>
      <c r="X180" s="15">
        <f>IF(OR($A180="",$B180=""),"",N(P180)-N(W180))</f>
        <v/>
      </c>
    </row>
    <row r="181">
      <c r="A181" s="43" t="n"/>
      <c r="B181" s="18" t="n"/>
      <c r="C181" s="25">
        <f>IFERROR(IF($B181="","",IF(INDEX(직원명부!$B$5:$B$24,MATCH($B181,직원명부!$A$5:$A$24,0))=0,"",INDEX(직원명부!$B$5:$B$24,MATCH($B181,직원명부!$A$5:$A$24,0)))),"사번 확인")</f>
        <v/>
      </c>
      <c r="D181" s="26">
        <f>IFERROR(IF($B181="","",IF(INDEX(근로자명부!$D$5:$D$24,MATCH($B181,근로자명부!$A$5:$A$24,0))=0,"",INDEX(근로자명부!$D$5:$D$24,MATCH($B181,근로자명부!$A$5:$A$24,0)))),"")</f>
        <v/>
      </c>
      <c r="E181" s="26">
        <f>IFERROR(IF($B181="","",IF(INDEX(직원명부!$C$5:$C$24,MATCH($B181,직원명부!$A$5:$A$24,0))=0,"",INDEX(직원명부!$C$5:$C$24,MATCH($B181,직원명부!$A$5:$A$24,0)))),"")</f>
        <v/>
      </c>
      <c r="F181" s="44">
        <f>IFERROR(IF($B181="","",IF(INDEX(근로자명부!$G$5:$G$24,MATCH($B181,근로자명부!$A$5:$A$24,0))=0,"",INDEX(근로자명부!$G$5:$G$24,MATCH($B181,근로자명부!$A$5:$A$24,0)))),"")</f>
        <v/>
      </c>
      <c r="G181" s="30">
        <f>IF(OR($A181="",$B181=""),"",COUNTIFS(근태기록!$C$5:$C$2004,$B181,근태기록!$A$5:$A$2004,"&gt;="&amp;$A181,근태기록!$A$5:$A$2004,"&lt;="&amp;EOMONTH($A181,0),근태기록!$H$5:$H$2004,"&gt;0"))</f>
        <v/>
      </c>
      <c r="H181" s="33">
        <f>IF(OR($A181="",$B181=""),"",SUMIFS(근태기록!$H$5:$H$2004,근태기록!$C$5:$C$2004,$B181,근태기록!$A$5:$A$2004,"&gt;="&amp;$A181,근태기록!$A$5:$A$2004,"&lt;="&amp;EOMONTH($A181,0)))</f>
        <v/>
      </c>
      <c r="I181" s="33">
        <f>IF(OR($A181="",$B181=""),"",SUMIFS(근태기록!$I$5:$I$2004,근태기록!$C$5:$C$2004,$B181,근태기록!$A$5:$A$2004,"&gt;="&amp;$A181,근태기록!$A$5:$A$2004,"&lt;="&amp;EOMONTH($A181,0)))</f>
        <v/>
      </c>
      <c r="J181" s="33">
        <f>IF(OR($A181="",$B181=""),"",SUMIFS(근태기록!$J$5:$J$2004,근태기록!$C$5:$C$2004,$B181,근태기록!$A$5:$A$2004,"&gt;="&amp;$A181,근태기록!$A$5:$A$2004,"&lt;="&amp;EOMONTH($A181,0)))</f>
        <v/>
      </c>
      <c r="K181" s="33">
        <f>IF(OR($A181="",$B181=""),"",SUMIFS(근태기록!$H$5:$H$2004,근태기록!$C$5:$C$2004,$B181,근태기록!$A$5:$A$2004,"&gt;="&amp;$A181,근태기록!$A$5:$A$2004,"&lt;="&amp;EOMONTH($A181,0),근태기록!$L$5:$L$2004,"휴일근로"))</f>
        <v/>
      </c>
      <c r="L181" s="20" t="n"/>
      <c r="M181" s="20" t="n"/>
      <c r="N181" s="20" t="n"/>
      <c r="O181" s="20" t="n"/>
      <c r="P181" s="15">
        <f>IF(OR($A181="",$B181=""),"",SUM(L181:O181))</f>
        <v/>
      </c>
      <c r="Q181" s="20" t="n"/>
      <c r="R181" s="20" t="n"/>
      <c r="S181" s="20" t="n"/>
      <c r="T181" s="20" t="n"/>
      <c r="U181" s="20" t="n"/>
      <c r="V181" s="20" t="n"/>
      <c r="W181" s="15">
        <f>IF(OR($A181="",$B181=""),"",SUM(Q181:V181))</f>
        <v/>
      </c>
      <c r="X181" s="15">
        <f>IF(OR($A181="",$B181=""),"",N(P181)-N(W181))</f>
        <v/>
      </c>
    </row>
    <row r="182">
      <c r="A182" s="43" t="n"/>
      <c r="B182" s="18" t="n"/>
      <c r="C182" s="25">
        <f>IFERROR(IF($B182="","",IF(INDEX(직원명부!$B$5:$B$24,MATCH($B182,직원명부!$A$5:$A$24,0))=0,"",INDEX(직원명부!$B$5:$B$24,MATCH($B182,직원명부!$A$5:$A$24,0)))),"사번 확인")</f>
        <v/>
      </c>
      <c r="D182" s="26">
        <f>IFERROR(IF($B182="","",IF(INDEX(근로자명부!$D$5:$D$24,MATCH($B182,근로자명부!$A$5:$A$24,0))=0,"",INDEX(근로자명부!$D$5:$D$24,MATCH($B182,근로자명부!$A$5:$A$24,0)))),"")</f>
        <v/>
      </c>
      <c r="E182" s="26">
        <f>IFERROR(IF($B182="","",IF(INDEX(직원명부!$C$5:$C$24,MATCH($B182,직원명부!$A$5:$A$24,0))=0,"",INDEX(직원명부!$C$5:$C$24,MATCH($B182,직원명부!$A$5:$A$24,0)))),"")</f>
        <v/>
      </c>
      <c r="F182" s="44">
        <f>IFERROR(IF($B182="","",IF(INDEX(근로자명부!$G$5:$G$24,MATCH($B182,근로자명부!$A$5:$A$24,0))=0,"",INDEX(근로자명부!$G$5:$G$24,MATCH($B182,근로자명부!$A$5:$A$24,0)))),"")</f>
        <v/>
      </c>
      <c r="G182" s="30">
        <f>IF(OR($A182="",$B182=""),"",COUNTIFS(근태기록!$C$5:$C$2004,$B182,근태기록!$A$5:$A$2004,"&gt;="&amp;$A182,근태기록!$A$5:$A$2004,"&lt;="&amp;EOMONTH($A182,0),근태기록!$H$5:$H$2004,"&gt;0"))</f>
        <v/>
      </c>
      <c r="H182" s="33">
        <f>IF(OR($A182="",$B182=""),"",SUMIFS(근태기록!$H$5:$H$2004,근태기록!$C$5:$C$2004,$B182,근태기록!$A$5:$A$2004,"&gt;="&amp;$A182,근태기록!$A$5:$A$2004,"&lt;="&amp;EOMONTH($A182,0)))</f>
        <v/>
      </c>
      <c r="I182" s="33">
        <f>IF(OR($A182="",$B182=""),"",SUMIFS(근태기록!$I$5:$I$2004,근태기록!$C$5:$C$2004,$B182,근태기록!$A$5:$A$2004,"&gt;="&amp;$A182,근태기록!$A$5:$A$2004,"&lt;="&amp;EOMONTH($A182,0)))</f>
        <v/>
      </c>
      <c r="J182" s="33">
        <f>IF(OR($A182="",$B182=""),"",SUMIFS(근태기록!$J$5:$J$2004,근태기록!$C$5:$C$2004,$B182,근태기록!$A$5:$A$2004,"&gt;="&amp;$A182,근태기록!$A$5:$A$2004,"&lt;="&amp;EOMONTH($A182,0)))</f>
        <v/>
      </c>
      <c r="K182" s="33">
        <f>IF(OR($A182="",$B182=""),"",SUMIFS(근태기록!$H$5:$H$2004,근태기록!$C$5:$C$2004,$B182,근태기록!$A$5:$A$2004,"&gt;="&amp;$A182,근태기록!$A$5:$A$2004,"&lt;="&amp;EOMONTH($A182,0),근태기록!$L$5:$L$2004,"휴일근로"))</f>
        <v/>
      </c>
      <c r="L182" s="20" t="n"/>
      <c r="M182" s="20" t="n"/>
      <c r="N182" s="20" t="n"/>
      <c r="O182" s="20" t="n"/>
      <c r="P182" s="15">
        <f>IF(OR($A182="",$B182=""),"",SUM(L182:O182))</f>
        <v/>
      </c>
      <c r="Q182" s="20" t="n"/>
      <c r="R182" s="20" t="n"/>
      <c r="S182" s="20" t="n"/>
      <c r="T182" s="20" t="n"/>
      <c r="U182" s="20" t="n"/>
      <c r="V182" s="20" t="n"/>
      <c r="W182" s="15">
        <f>IF(OR($A182="",$B182=""),"",SUM(Q182:V182))</f>
        <v/>
      </c>
      <c r="X182" s="15">
        <f>IF(OR($A182="",$B182=""),"",N(P182)-N(W182))</f>
        <v/>
      </c>
    </row>
    <row r="183">
      <c r="A183" s="43" t="n"/>
      <c r="B183" s="18" t="n"/>
      <c r="C183" s="25">
        <f>IFERROR(IF($B183="","",IF(INDEX(직원명부!$B$5:$B$24,MATCH($B183,직원명부!$A$5:$A$24,0))=0,"",INDEX(직원명부!$B$5:$B$24,MATCH($B183,직원명부!$A$5:$A$24,0)))),"사번 확인")</f>
        <v/>
      </c>
      <c r="D183" s="26">
        <f>IFERROR(IF($B183="","",IF(INDEX(근로자명부!$D$5:$D$24,MATCH($B183,근로자명부!$A$5:$A$24,0))=0,"",INDEX(근로자명부!$D$5:$D$24,MATCH($B183,근로자명부!$A$5:$A$24,0)))),"")</f>
        <v/>
      </c>
      <c r="E183" s="26">
        <f>IFERROR(IF($B183="","",IF(INDEX(직원명부!$C$5:$C$24,MATCH($B183,직원명부!$A$5:$A$24,0))=0,"",INDEX(직원명부!$C$5:$C$24,MATCH($B183,직원명부!$A$5:$A$24,0)))),"")</f>
        <v/>
      </c>
      <c r="F183" s="44">
        <f>IFERROR(IF($B183="","",IF(INDEX(근로자명부!$G$5:$G$24,MATCH($B183,근로자명부!$A$5:$A$24,0))=0,"",INDEX(근로자명부!$G$5:$G$24,MATCH($B183,근로자명부!$A$5:$A$24,0)))),"")</f>
        <v/>
      </c>
      <c r="G183" s="30">
        <f>IF(OR($A183="",$B183=""),"",COUNTIFS(근태기록!$C$5:$C$2004,$B183,근태기록!$A$5:$A$2004,"&gt;="&amp;$A183,근태기록!$A$5:$A$2004,"&lt;="&amp;EOMONTH($A183,0),근태기록!$H$5:$H$2004,"&gt;0"))</f>
        <v/>
      </c>
      <c r="H183" s="33">
        <f>IF(OR($A183="",$B183=""),"",SUMIFS(근태기록!$H$5:$H$2004,근태기록!$C$5:$C$2004,$B183,근태기록!$A$5:$A$2004,"&gt;="&amp;$A183,근태기록!$A$5:$A$2004,"&lt;="&amp;EOMONTH($A183,0)))</f>
        <v/>
      </c>
      <c r="I183" s="33">
        <f>IF(OR($A183="",$B183=""),"",SUMIFS(근태기록!$I$5:$I$2004,근태기록!$C$5:$C$2004,$B183,근태기록!$A$5:$A$2004,"&gt;="&amp;$A183,근태기록!$A$5:$A$2004,"&lt;="&amp;EOMONTH($A183,0)))</f>
        <v/>
      </c>
      <c r="J183" s="33">
        <f>IF(OR($A183="",$B183=""),"",SUMIFS(근태기록!$J$5:$J$2004,근태기록!$C$5:$C$2004,$B183,근태기록!$A$5:$A$2004,"&gt;="&amp;$A183,근태기록!$A$5:$A$2004,"&lt;="&amp;EOMONTH($A183,0)))</f>
        <v/>
      </c>
      <c r="K183" s="33">
        <f>IF(OR($A183="",$B183=""),"",SUMIFS(근태기록!$H$5:$H$2004,근태기록!$C$5:$C$2004,$B183,근태기록!$A$5:$A$2004,"&gt;="&amp;$A183,근태기록!$A$5:$A$2004,"&lt;="&amp;EOMONTH($A183,0),근태기록!$L$5:$L$2004,"휴일근로"))</f>
        <v/>
      </c>
      <c r="L183" s="20" t="n"/>
      <c r="M183" s="20" t="n"/>
      <c r="N183" s="20" t="n"/>
      <c r="O183" s="20" t="n"/>
      <c r="P183" s="15">
        <f>IF(OR($A183="",$B183=""),"",SUM(L183:O183))</f>
        <v/>
      </c>
      <c r="Q183" s="20" t="n"/>
      <c r="R183" s="20" t="n"/>
      <c r="S183" s="20" t="n"/>
      <c r="T183" s="20" t="n"/>
      <c r="U183" s="20" t="n"/>
      <c r="V183" s="20" t="n"/>
      <c r="W183" s="15">
        <f>IF(OR($A183="",$B183=""),"",SUM(Q183:V183))</f>
        <v/>
      </c>
      <c r="X183" s="15">
        <f>IF(OR($A183="",$B183=""),"",N(P183)-N(W183))</f>
        <v/>
      </c>
    </row>
    <row r="184">
      <c r="A184" s="43" t="n"/>
      <c r="B184" s="18" t="n"/>
      <c r="C184" s="25">
        <f>IFERROR(IF($B184="","",IF(INDEX(직원명부!$B$5:$B$24,MATCH($B184,직원명부!$A$5:$A$24,0))=0,"",INDEX(직원명부!$B$5:$B$24,MATCH($B184,직원명부!$A$5:$A$24,0)))),"사번 확인")</f>
        <v/>
      </c>
      <c r="D184" s="26">
        <f>IFERROR(IF($B184="","",IF(INDEX(근로자명부!$D$5:$D$24,MATCH($B184,근로자명부!$A$5:$A$24,0))=0,"",INDEX(근로자명부!$D$5:$D$24,MATCH($B184,근로자명부!$A$5:$A$24,0)))),"")</f>
        <v/>
      </c>
      <c r="E184" s="26">
        <f>IFERROR(IF($B184="","",IF(INDEX(직원명부!$C$5:$C$24,MATCH($B184,직원명부!$A$5:$A$24,0))=0,"",INDEX(직원명부!$C$5:$C$24,MATCH($B184,직원명부!$A$5:$A$24,0)))),"")</f>
        <v/>
      </c>
      <c r="F184" s="44">
        <f>IFERROR(IF($B184="","",IF(INDEX(근로자명부!$G$5:$G$24,MATCH($B184,근로자명부!$A$5:$A$24,0))=0,"",INDEX(근로자명부!$G$5:$G$24,MATCH($B184,근로자명부!$A$5:$A$24,0)))),"")</f>
        <v/>
      </c>
      <c r="G184" s="30">
        <f>IF(OR($A184="",$B184=""),"",COUNTIFS(근태기록!$C$5:$C$2004,$B184,근태기록!$A$5:$A$2004,"&gt;="&amp;$A184,근태기록!$A$5:$A$2004,"&lt;="&amp;EOMONTH($A184,0),근태기록!$H$5:$H$2004,"&gt;0"))</f>
        <v/>
      </c>
      <c r="H184" s="33">
        <f>IF(OR($A184="",$B184=""),"",SUMIFS(근태기록!$H$5:$H$2004,근태기록!$C$5:$C$2004,$B184,근태기록!$A$5:$A$2004,"&gt;="&amp;$A184,근태기록!$A$5:$A$2004,"&lt;="&amp;EOMONTH($A184,0)))</f>
        <v/>
      </c>
      <c r="I184" s="33">
        <f>IF(OR($A184="",$B184=""),"",SUMIFS(근태기록!$I$5:$I$2004,근태기록!$C$5:$C$2004,$B184,근태기록!$A$5:$A$2004,"&gt;="&amp;$A184,근태기록!$A$5:$A$2004,"&lt;="&amp;EOMONTH($A184,0)))</f>
        <v/>
      </c>
      <c r="J184" s="33">
        <f>IF(OR($A184="",$B184=""),"",SUMIFS(근태기록!$J$5:$J$2004,근태기록!$C$5:$C$2004,$B184,근태기록!$A$5:$A$2004,"&gt;="&amp;$A184,근태기록!$A$5:$A$2004,"&lt;="&amp;EOMONTH($A184,0)))</f>
        <v/>
      </c>
      <c r="K184" s="33">
        <f>IF(OR($A184="",$B184=""),"",SUMIFS(근태기록!$H$5:$H$2004,근태기록!$C$5:$C$2004,$B184,근태기록!$A$5:$A$2004,"&gt;="&amp;$A184,근태기록!$A$5:$A$2004,"&lt;="&amp;EOMONTH($A184,0),근태기록!$L$5:$L$2004,"휴일근로"))</f>
        <v/>
      </c>
      <c r="L184" s="20" t="n"/>
      <c r="M184" s="20" t="n"/>
      <c r="N184" s="20" t="n"/>
      <c r="O184" s="20" t="n"/>
      <c r="P184" s="15">
        <f>IF(OR($A184="",$B184=""),"",SUM(L184:O184))</f>
        <v/>
      </c>
      <c r="Q184" s="20" t="n"/>
      <c r="R184" s="20" t="n"/>
      <c r="S184" s="20" t="n"/>
      <c r="T184" s="20" t="n"/>
      <c r="U184" s="20" t="n"/>
      <c r="V184" s="20" t="n"/>
      <c r="W184" s="15">
        <f>IF(OR($A184="",$B184=""),"",SUM(Q184:V184))</f>
        <v/>
      </c>
      <c r="X184" s="15">
        <f>IF(OR($A184="",$B184=""),"",N(P184)-N(W184))</f>
        <v/>
      </c>
    </row>
    <row r="185">
      <c r="A185" s="43" t="n"/>
      <c r="B185" s="18" t="n"/>
      <c r="C185" s="25">
        <f>IFERROR(IF($B185="","",IF(INDEX(직원명부!$B$5:$B$24,MATCH($B185,직원명부!$A$5:$A$24,0))=0,"",INDEX(직원명부!$B$5:$B$24,MATCH($B185,직원명부!$A$5:$A$24,0)))),"사번 확인")</f>
        <v/>
      </c>
      <c r="D185" s="26">
        <f>IFERROR(IF($B185="","",IF(INDEX(근로자명부!$D$5:$D$24,MATCH($B185,근로자명부!$A$5:$A$24,0))=0,"",INDEX(근로자명부!$D$5:$D$24,MATCH($B185,근로자명부!$A$5:$A$24,0)))),"")</f>
        <v/>
      </c>
      <c r="E185" s="26">
        <f>IFERROR(IF($B185="","",IF(INDEX(직원명부!$C$5:$C$24,MATCH($B185,직원명부!$A$5:$A$24,0))=0,"",INDEX(직원명부!$C$5:$C$24,MATCH($B185,직원명부!$A$5:$A$24,0)))),"")</f>
        <v/>
      </c>
      <c r="F185" s="44">
        <f>IFERROR(IF($B185="","",IF(INDEX(근로자명부!$G$5:$G$24,MATCH($B185,근로자명부!$A$5:$A$24,0))=0,"",INDEX(근로자명부!$G$5:$G$24,MATCH($B185,근로자명부!$A$5:$A$24,0)))),"")</f>
        <v/>
      </c>
      <c r="G185" s="30">
        <f>IF(OR($A185="",$B185=""),"",COUNTIFS(근태기록!$C$5:$C$2004,$B185,근태기록!$A$5:$A$2004,"&gt;="&amp;$A185,근태기록!$A$5:$A$2004,"&lt;="&amp;EOMONTH($A185,0),근태기록!$H$5:$H$2004,"&gt;0"))</f>
        <v/>
      </c>
      <c r="H185" s="33">
        <f>IF(OR($A185="",$B185=""),"",SUMIFS(근태기록!$H$5:$H$2004,근태기록!$C$5:$C$2004,$B185,근태기록!$A$5:$A$2004,"&gt;="&amp;$A185,근태기록!$A$5:$A$2004,"&lt;="&amp;EOMONTH($A185,0)))</f>
        <v/>
      </c>
      <c r="I185" s="33">
        <f>IF(OR($A185="",$B185=""),"",SUMIFS(근태기록!$I$5:$I$2004,근태기록!$C$5:$C$2004,$B185,근태기록!$A$5:$A$2004,"&gt;="&amp;$A185,근태기록!$A$5:$A$2004,"&lt;="&amp;EOMONTH($A185,0)))</f>
        <v/>
      </c>
      <c r="J185" s="33">
        <f>IF(OR($A185="",$B185=""),"",SUMIFS(근태기록!$J$5:$J$2004,근태기록!$C$5:$C$2004,$B185,근태기록!$A$5:$A$2004,"&gt;="&amp;$A185,근태기록!$A$5:$A$2004,"&lt;="&amp;EOMONTH($A185,0)))</f>
        <v/>
      </c>
      <c r="K185" s="33">
        <f>IF(OR($A185="",$B185=""),"",SUMIFS(근태기록!$H$5:$H$2004,근태기록!$C$5:$C$2004,$B185,근태기록!$A$5:$A$2004,"&gt;="&amp;$A185,근태기록!$A$5:$A$2004,"&lt;="&amp;EOMONTH($A185,0),근태기록!$L$5:$L$2004,"휴일근로"))</f>
        <v/>
      </c>
      <c r="L185" s="20" t="n"/>
      <c r="M185" s="20" t="n"/>
      <c r="N185" s="20" t="n"/>
      <c r="O185" s="20" t="n"/>
      <c r="P185" s="15">
        <f>IF(OR($A185="",$B185=""),"",SUM(L185:O185))</f>
        <v/>
      </c>
      <c r="Q185" s="20" t="n"/>
      <c r="R185" s="20" t="n"/>
      <c r="S185" s="20" t="n"/>
      <c r="T185" s="20" t="n"/>
      <c r="U185" s="20" t="n"/>
      <c r="V185" s="20" t="n"/>
      <c r="W185" s="15">
        <f>IF(OR($A185="",$B185=""),"",SUM(Q185:V185))</f>
        <v/>
      </c>
      <c r="X185" s="15">
        <f>IF(OR($A185="",$B185=""),"",N(P185)-N(W185))</f>
        <v/>
      </c>
    </row>
    <row r="186">
      <c r="A186" s="43" t="n"/>
      <c r="B186" s="18" t="n"/>
      <c r="C186" s="25">
        <f>IFERROR(IF($B186="","",IF(INDEX(직원명부!$B$5:$B$24,MATCH($B186,직원명부!$A$5:$A$24,0))=0,"",INDEX(직원명부!$B$5:$B$24,MATCH($B186,직원명부!$A$5:$A$24,0)))),"사번 확인")</f>
        <v/>
      </c>
      <c r="D186" s="26">
        <f>IFERROR(IF($B186="","",IF(INDEX(근로자명부!$D$5:$D$24,MATCH($B186,근로자명부!$A$5:$A$24,0))=0,"",INDEX(근로자명부!$D$5:$D$24,MATCH($B186,근로자명부!$A$5:$A$24,0)))),"")</f>
        <v/>
      </c>
      <c r="E186" s="26">
        <f>IFERROR(IF($B186="","",IF(INDEX(직원명부!$C$5:$C$24,MATCH($B186,직원명부!$A$5:$A$24,0))=0,"",INDEX(직원명부!$C$5:$C$24,MATCH($B186,직원명부!$A$5:$A$24,0)))),"")</f>
        <v/>
      </c>
      <c r="F186" s="44">
        <f>IFERROR(IF($B186="","",IF(INDEX(근로자명부!$G$5:$G$24,MATCH($B186,근로자명부!$A$5:$A$24,0))=0,"",INDEX(근로자명부!$G$5:$G$24,MATCH($B186,근로자명부!$A$5:$A$24,0)))),"")</f>
        <v/>
      </c>
      <c r="G186" s="30">
        <f>IF(OR($A186="",$B186=""),"",COUNTIFS(근태기록!$C$5:$C$2004,$B186,근태기록!$A$5:$A$2004,"&gt;="&amp;$A186,근태기록!$A$5:$A$2004,"&lt;="&amp;EOMONTH($A186,0),근태기록!$H$5:$H$2004,"&gt;0"))</f>
        <v/>
      </c>
      <c r="H186" s="33">
        <f>IF(OR($A186="",$B186=""),"",SUMIFS(근태기록!$H$5:$H$2004,근태기록!$C$5:$C$2004,$B186,근태기록!$A$5:$A$2004,"&gt;="&amp;$A186,근태기록!$A$5:$A$2004,"&lt;="&amp;EOMONTH($A186,0)))</f>
        <v/>
      </c>
      <c r="I186" s="33">
        <f>IF(OR($A186="",$B186=""),"",SUMIFS(근태기록!$I$5:$I$2004,근태기록!$C$5:$C$2004,$B186,근태기록!$A$5:$A$2004,"&gt;="&amp;$A186,근태기록!$A$5:$A$2004,"&lt;="&amp;EOMONTH($A186,0)))</f>
        <v/>
      </c>
      <c r="J186" s="33">
        <f>IF(OR($A186="",$B186=""),"",SUMIFS(근태기록!$J$5:$J$2004,근태기록!$C$5:$C$2004,$B186,근태기록!$A$5:$A$2004,"&gt;="&amp;$A186,근태기록!$A$5:$A$2004,"&lt;="&amp;EOMONTH($A186,0)))</f>
        <v/>
      </c>
      <c r="K186" s="33">
        <f>IF(OR($A186="",$B186=""),"",SUMIFS(근태기록!$H$5:$H$2004,근태기록!$C$5:$C$2004,$B186,근태기록!$A$5:$A$2004,"&gt;="&amp;$A186,근태기록!$A$5:$A$2004,"&lt;="&amp;EOMONTH($A186,0),근태기록!$L$5:$L$2004,"휴일근로"))</f>
        <v/>
      </c>
      <c r="L186" s="20" t="n"/>
      <c r="M186" s="20" t="n"/>
      <c r="N186" s="20" t="n"/>
      <c r="O186" s="20" t="n"/>
      <c r="P186" s="15">
        <f>IF(OR($A186="",$B186=""),"",SUM(L186:O186))</f>
        <v/>
      </c>
      <c r="Q186" s="20" t="n"/>
      <c r="R186" s="20" t="n"/>
      <c r="S186" s="20" t="n"/>
      <c r="T186" s="20" t="n"/>
      <c r="U186" s="20" t="n"/>
      <c r="V186" s="20" t="n"/>
      <c r="W186" s="15">
        <f>IF(OR($A186="",$B186=""),"",SUM(Q186:V186))</f>
        <v/>
      </c>
      <c r="X186" s="15">
        <f>IF(OR($A186="",$B186=""),"",N(P186)-N(W186))</f>
        <v/>
      </c>
    </row>
    <row r="187">
      <c r="A187" s="43" t="n"/>
      <c r="B187" s="18" t="n"/>
      <c r="C187" s="25">
        <f>IFERROR(IF($B187="","",IF(INDEX(직원명부!$B$5:$B$24,MATCH($B187,직원명부!$A$5:$A$24,0))=0,"",INDEX(직원명부!$B$5:$B$24,MATCH($B187,직원명부!$A$5:$A$24,0)))),"사번 확인")</f>
        <v/>
      </c>
      <c r="D187" s="26">
        <f>IFERROR(IF($B187="","",IF(INDEX(근로자명부!$D$5:$D$24,MATCH($B187,근로자명부!$A$5:$A$24,0))=0,"",INDEX(근로자명부!$D$5:$D$24,MATCH($B187,근로자명부!$A$5:$A$24,0)))),"")</f>
        <v/>
      </c>
      <c r="E187" s="26">
        <f>IFERROR(IF($B187="","",IF(INDEX(직원명부!$C$5:$C$24,MATCH($B187,직원명부!$A$5:$A$24,0))=0,"",INDEX(직원명부!$C$5:$C$24,MATCH($B187,직원명부!$A$5:$A$24,0)))),"")</f>
        <v/>
      </c>
      <c r="F187" s="44">
        <f>IFERROR(IF($B187="","",IF(INDEX(근로자명부!$G$5:$G$24,MATCH($B187,근로자명부!$A$5:$A$24,0))=0,"",INDEX(근로자명부!$G$5:$G$24,MATCH($B187,근로자명부!$A$5:$A$24,0)))),"")</f>
        <v/>
      </c>
      <c r="G187" s="30">
        <f>IF(OR($A187="",$B187=""),"",COUNTIFS(근태기록!$C$5:$C$2004,$B187,근태기록!$A$5:$A$2004,"&gt;="&amp;$A187,근태기록!$A$5:$A$2004,"&lt;="&amp;EOMONTH($A187,0),근태기록!$H$5:$H$2004,"&gt;0"))</f>
        <v/>
      </c>
      <c r="H187" s="33">
        <f>IF(OR($A187="",$B187=""),"",SUMIFS(근태기록!$H$5:$H$2004,근태기록!$C$5:$C$2004,$B187,근태기록!$A$5:$A$2004,"&gt;="&amp;$A187,근태기록!$A$5:$A$2004,"&lt;="&amp;EOMONTH($A187,0)))</f>
        <v/>
      </c>
      <c r="I187" s="33">
        <f>IF(OR($A187="",$B187=""),"",SUMIFS(근태기록!$I$5:$I$2004,근태기록!$C$5:$C$2004,$B187,근태기록!$A$5:$A$2004,"&gt;="&amp;$A187,근태기록!$A$5:$A$2004,"&lt;="&amp;EOMONTH($A187,0)))</f>
        <v/>
      </c>
      <c r="J187" s="33">
        <f>IF(OR($A187="",$B187=""),"",SUMIFS(근태기록!$J$5:$J$2004,근태기록!$C$5:$C$2004,$B187,근태기록!$A$5:$A$2004,"&gt;="&amp;$A187,근태기록!$A$5:$A$2004,"&lt;="&amp;EOMONTH($A187,0)))</f>
        <v/>
      </c>
      <c r="K187" s="33">
        <f>IF(OR($A187="",$B187=""),"",SUMIFS(근태기록!$H$5:$H$2004,근태기록!$C$5:$C$2004,$B187,근태기록!$A$5:$A$2004,"&gt;="&amp;$A187,근태기록!$A$5:$A$2004,"&lt;="&amp;EOMONTH($A187,0),근태기록!$L$5:$L$2004,"휴일근로"))</f>
        <v/>
      </c>
      <c r="L187" s="20" t="n"/>
      <c r="M187" s="20" t="n"/>
      <c r="N187" s="20" t="n"/>
      <c r="O187" s="20" t="n"/>
      <c r="P187" s="15">
        <f>IF(OR($A187="",$B187=""),"",SUM(L187:O187))</f>
        <v/>
      </c>
      <c r="Q187" s="20" t="n"/>
      <c r="R187" s="20" t="n"/>
      <c r="S187" s="20" t="n"/>
      <c r="T187" s="20" t="n"/>
      <c r="U187" s="20" t="n"/>
      <c r="V187" s="20" t="n"/>
      <c r="W187" s="15">
        <f>IF(OR($A187="",$B187=""),"",SUM(Q187:V187))</f>
        <v/>
      </c>
      <c r="X187" s="15">
        <f>IF(OR($A187="",$B187=""),"",N(P187)-N(W187))</f>
        <v/>
      </c>
    </row>
    <row r="188">
      <c r="A188" s="43" t="n"/>
      <c r="B188" s="18" t="n"/>
      <c r="C188" s="25">
        <f>IFERROR(IF($B188="","",IF(INDEX(직원명부!$B$5:$B$24,MATCH($B188,직원명부!$A$5:$A$24,0))=0,"",INDEX(직원명부!$B$5:$B$24,MATCH($B188,직원명부!$A$5:$A$24,0)))),"사번 확인")</f>
        <v/>
      </c>
      <c r="D188" s="26">
        <f>IFERROR(IF($B188="","",IF(INDEX(근로자명부!$D$5:$D$24,MATCH($B188,근로자명부!$A$5:$A$24,0))=0,"",INDEX(근로자명부!$D$5:$D$24,MATCH($B188,근로자명부!$A$5:$A$24,0)))),"")</f>
        <v/>
      </c>
      <c r="E188" s="26">
        <f>IFERROR(IF($B188="","",IF(INDEX(직원명부!$C$5:$C$24,MATCH($B188,직원명부!$A$5:$A$24,0))=0,"",INDEX(직원명부!$C$5:$C$24,MATCH($B188,직원명부!$A$5:$A$24,0)))),"")</f>
        <v/>
      </c>
      <c r="F188" s="44">
        <f>IFERROR(IF($B188="","",IF(INDEX(근로자명부!$G$5:$G$24,MATCH($B188,근로자명부!$A$5:$A$24,0))=0,"",INDEX(근로자명부!$G$5:$G$24,MATCH($B188,근로자명부!$A$5:$A$24,0)))),"")</f>
        <v/>
      </c>
      <c r="G188" s="30">
        <f>IF(OR($A188="",$B188=""),"",COUNTIFS(근태기록!$C$5:$C$2004,$B188,근태기록!$A$5:$A$2004,"&gt;="&amp;$A188,근태기록!$A$5:$A$2004,"&lt;="&amp;EOMONTH($A188,0),근태기록!$H$5:$H$2004,"&gt;0"))</f>
        <v/>
      </c>
      <c r="H188" s="33">
        <f>IF(OR($A188="",$B188=""),"",SUMIFS(근태기록!$H$5:$H$2004,근태기록!$C$5:$C$2004,$B188,근태기록!$A$5:$A$2004,"&gt;="&amp;$A188,근태기록!$A$5:$A$2004,"&lt;="&amp;EOMONTH($A188,0)))</f>
        <v/>
      </c>
      <c r="I188" s="33">
        <f>IF(OR($A188="",$B188=""),"",SUMIFS(근태기록!$I$5:$I$2004,근태기록!$C$5:$C$2004,$B188,근태기록!$A$5:$A$2004,"&gt;="&amp;$A188,근태기록!$A$5:$A$2004,"&lt;="&amp;EOMONTH($A188,0)))</f>
        <v/>
      </c>
      <c r="J188" s="33">
        <f>IF(OR($A188="",$B188=""),"",SUMIFS(근태기록!$J$5:$J$2004,근태기록!$C$5:$C$2004,$B188,근태기록!$A$5:$A$2004,"&gt;="&amp;$A188,근태기록!$A$5:$A$2004,"&lt;="&amp;EOMONTH($A188,0)))</f>
        <v/>
      </c>
      <c r="K188" s="33">
        <f>IF(OR($A188="",$B188=""),"",SUMIFS(근태기록!$H$5:$H$2004,근태기록!$C$5:$C$2004,$B188,근태기록!$A$5:$A$2004,"&gt;="&amp;$A188,근태기록!$A$5:$A$2004,"&lt;="&amp;EOMONTH($A188,0),근태기록!$L$5:$L$2004,"휴일근로"))</f>
        <v/>
      </c>
      <c r="L188" s="20" t="n"/>
      <c r="M188" s="20" t="n"/>
      <c r="N188" s="20" t="n"/>
      <c r="O188" s="20" t="n"/>
      <c r="P188" s="15">
        <f>IF(OR($A188="",$B188=""),"",SUM(L188:O188))</f>
        <v/>
      </c>
      <c r="Q188" s="20" t="n"/>
      <c r="R188" s="20" t="n"/>
      <c r="S188" s="20" t="n"/>
      <c r="T188" s="20" t="n"/>
      <c r="U188" s="20" t="n"/>
      <c r="V188" s="20" t="n"/>
      <c r="W188" s="15">
        <f>IF(OR($A188="",$B188=""),"",SUM(Q188:V188))</f>
        <v/>
      </c>
      <c r="X188" s="15">
        <f>IF(OR($A188="",$B188=""),"",N(P188)-N(W188))</f>
        <v/>
      </c>
    </row>
    <row r="189">
      <c r="A189" s="43" t="n"/>
      <c r="B189" s="18" t="n"/>
      <c r="C189" s="25">
        <f>IFERROR(IF($B189="","",IF(INDEX(직원명부!$B$5:$B$24,MATCH($B189,직원명부!$A$5:$A$24,0))=0,"",INDEX(직원명부!$B$5:$B$24,MATCH($B189,직원명부!$A$5:$A$24,0)))),"사번 확인")</f>
        <v/>
      </c>
      <c r="D189" s="26">
        <f>IFERROR(IF($B189="","",IF(INDEX(근로자명부!$D$5:$D$24,MATCH($B189,근로자명부!$A$5:$A$24,0))=0,"",INDEX(근로자명부!$D$5:$D$24,MATCH($B189,근로자명부!$A$5:$A$24,0)))),"")</f>
        <v/>
      </c>
      <c r="E189" s="26">
        <f>IFERROR(IF($B189="","",IF(INDEX(직원명부!$C$5:$C$24,MATCH($B189,직원명부!$A$5:$A$24,0))=0,"",INDEX(직원명부!$C$5:$C$24,MATCH($B189,직원명부!$A$5:$A$24,0)))),"")</f>
        <v/>
      </c>
      <c r="F189" s="44">
        <f>IFERROR(IF($B189="","",IF(INDEX(근로자명부!$G$5:$G$24,MATCH($B189,근로자명부!$A$5:$A$24,0))=0,"",INDEX(근로자명부!$G$5:$G$24,MATCH($B189,근로자명부!$A$5:$A$24,0)))),"")</f>
        <v/>
      </c>
      <c r="G189" s="30">
        <f>IF(OR($A189="",$B189=""),"",COUNTIFS(근태기록!$C$5:$C$2004,$B189,근태기록!$A$5:$A$2004,"&gt;="&amp;$A189,근태기록!$A$5:$A$2004,"&lt;="&amp;EOMONTH($A189,0),근태기록!$H$5:$H$2004,"&gt;0"))</f>
        <v/>
      </c>
      <c r="H189" s="33">
        <f>IF(OR($A189="",$B189=""),"",SUMIFS(근태기록!$H$5:$H$2004,근태기록!$C$5:$C$2004,$B189,근태기록!$A$5:$A$2004,"&gt;="&amp;$A189,근태기록!$A$5:$A$2004,"&lt;="&amp;EOMONTH($A189,0)))</f>
        <v/>
      </c>
      <c r="I189" s="33">
        <f>IF(OR($A189="",$B189=""),"",SUMIFS(근태기록!$I$5:$I$2004,근태기록!$C$5:$C$2004,$B189,근태기록!$A$5:$A$2004,"&gt;="&amp;$A189,근태기록!$A$5:$A$2004,"&lt;="&amp;EOMONTH($A189,0)))</f>
        <v/>
      </c>
      <c r="J189" s="33">
        <f>IF(OR($A189="",$B189=""),"",SUMIFS(근태기록!$J$5:$J$2004,근태기록!$C$5:$C$2004,$B189,근태기록!$A$5:$A$2004,"&gt;="&amp;$A189,근태기록!$A$5:$A$2004,"&lt;="&amp;EOMONTH($A189,0)))</f>
        <v/>
      </c>
      <c r="K189" s="33">
        <f>IF(OR($A189="",$B189=""),"",SUMIFS(근태기록!$H$5:$H$2004,근태기록!$C$5:$C$2004,$B189,근태기록!$A$5:$A$2004,"&gt;="&amp;$A189,근태기록!$A$5:$A$2004,"&lt;="&amp;EOMONTH($A189,0),근태기록!$L$5:$L$2004,"휴일근로"))</f>
        <v/>
      </c>
      <c r="L189" s="20" t="n"/>
      <c r="M189" s="20" t="n"/>
      <c r="N189" s="20" t="n"/>
      <c r="O189" s="20" t="n"/>
      <c r="P189" s="15">
        <f>IF(OR($A189="",$B189=""),"",SUM(L189:O189))</f>
        <v/>
      </c>
      <c r="Q189" s="20" t="n"/>
      <c r="R189" s="20" t="n"/>
      <c r="S189" s="20" t="n"/>
      <c r="T189" s="20" t="n"/>
      <c r="U189" s="20" t="n"/>
      <c r="V189" s="20" t="n"/>
      <c r="W189" s="15">
        <f>IF(OR($A189="",$B189=""),"",SUM(Q189:V189))</f>
        <v/>
      </c>
      <c r="X189" s="15">
        <f>IF(OR($A189="",$B189=""),"",N(P189)-N(W189))</f>
        <v/>
      </c>
    </row>
    <row r="190">
      <c r="A190" s="43" t="n"/>
      <c r="B190" s="18" t="n"/>
      <c r="C190" s="25">
        <f>IFERROR(IF($B190="","",IF(INDEX(직원명부!$B$5:$B$24,MATCH($B190,직원명부!$A$5:$A$24,0))=0,"",INDEX(직원명부!$B$5:$B$24,MATCH($B190,직원명부!$A$5:$A$24,0)))),"사번 확인")</f>
        <v/>
      </c>
      <c r="D190" s="26">
        <f>IFERROR(IF($B190="","",IF(INDEX(근로자명부!$D$5:$D$24,MATCH($B190,근로자명부!$A$5:$A$24,0))=0,"",INDEX(근로자명부!$D$5:$D$24,MATCH($B190,근로자명부!$A$5:$A$24,0)))),"")</f>
        <v/>
      </c>
      <c r="E190" s="26">
        <f>IFERROR(IF($B190="","",IF(INDEX(직원명부!$C$5:$C$24,MATCH($B190,직원명부!$A$5:$A$24,0))=0,"",INDEX(직원명부!$C$5:$C$24,MATCH($B190,직원명부!$A$5:$A$24,0)))),"")</f>
        <v/>
      </c>
      <c r="F190" s="44">
        <f>IFERROR(IF($B190="","",IF(INDEX(근로자명부!$G$5:$G$24,MATCH($B190,근로자명부!$A$5:$A$24,0))=0,"",INDEX(근로자명부!$G$5:$G$24,MATCH($B190,근로자명부!$A$5:$A$24,0)))),"")</f>
        <v/>
      </c>
      <c r="G190" s="30">
        <f>IF(OR($A190="",$B190=""),"",COUNTIFS(근태기록!$C$5:$C$2004,$B190,근태기록!$A$5:$A$2004,"&gt;="&amp;$A190,근태기록!$A$5:$A$2004,"&lt;="&amp;EOMONTH($A190,0),근태기록!$H$5:$H$2004,"&gt;0"))</f>
        <v/>
      </c>
      <c r="H190" s="33">
        <f>IF(OR($A190="",$B190=""),"",SUMIFS(근태기록!$H$5:$H$2004,근태기록!$C$5:$C$2004,$B190,근태기록!$A$5:$A$2004,"&gt;="&amp;$A190,근태기록!$A$5:$A$2004,"&lt;="&amp;EOMONTH($A190,0)))</f>
        <v/>
      </c>
      <c r="I190" s="33">
        <f>IF(OR($A190="",$B190=""),"",SUMIFS(근태기록!$I$5:$I$2004,근태기록!$C$5:$C$2004,$B190,근태기록!$A$5:$A$2004,"&gt;="&amp;$A190,근태기록!$A$5:$A$2004,"&lt;="&amp;EOMONTH($A190,0)))</f>
        <v/>
      </c>
      <c r="J190" s="33">
        <f>IF(OR($A190="",$B190=""),"",SUMIFS(근태기록!$J$5:$J$2004,근태기록!$C$5:$C$2004,$B190,근태기록!$A$5:$A$2004,"&gt;="&amp;$A190,근태기록!$A$5:$A$2004,"&lt;="&amp;EOMONTH($A190,0)))</f>
        <v/>
      </c>
      <c r="K190" s="33">
        <f>IF(OR($A190="",$B190=""),"",SUMIFS(근태기록!$H$5:$H$2004,근태기록!$C$5:$C$2004,$B190,근태기록!$A$5:$A$2004,"&gt;="&amp;$A190,근태기록!$A$5:$A$2004,"&lt;="&amp;EOMONTH($A190,0),근태기록!$L$5:$L$2004,"휴일근로"))</f>
        <v/>
      </c>
      <c r="L190" s="20" t="n"/>
      <c r="M190" s="20" t="n"/>
      <c r="N190" s="20" t="n"/>
      <c r="O190" s="20" t="n"/>
      <c r="P190" s="15">
        <f>IF(OR($A190="",$B190=""),"",SUM(L190:O190))</f>
        <v/>
      </c>
      <c r="Q190" s="20" t="n"/>
      <c r="R190" s="20" t="n"/>
      <c r="S190" s="20" t="n"/>
      <c r="T190" s="20" t="n"/>
      <c r="U190" s="20" t="n"/>
      <c r="V190" s="20" t="n"/>
      <c r="W190" s="15">
        <f>IF(OR($A190="",$B190=""),"",SUM(Q190:V190))</f>
        <v/>
      </c>
      <c r="X190" s="15">
        <f>IF(OR($A190="",$B190=""),"",N(P190)-N(W190))</f>
        <v/>
      </c>
    </row>
    <row r="191">
      <c r="A191" s="43" t="n"/>
      <c r="B191" s="18" t="n"/>
      <c r="C191" s="25">
        <f>IFERROR(IF($B191="","",IF(INDEX(직원명부!$B$5:$B$24,MATCH($B191,직원명부!$A$5:$A$24,0))=0,"",INDEX(직원명부!$B$5:$B$24,MATCH($B191,직원명부!$A$5:$A$24,0)))),"사번 확인")</f>
        <v/>
      </c>
      <c r="D191" s="26">
        <f>IFERROR(IF($B191="","",IF(INDEX(근로자명부!$D$5:$D$24,MATCH($B191,근로자명부!$A$5:$A$24,0))=0,"",INDEX(근로자명부!$D$5:$D$24,MATCH($B191,근로자명부!$A$5:$A$24,0)))),"")</f>
        <v/>
      </c>
      <c r="E191" s="26">
        <f>IFERROR(IF($B191="","",IF(INDEX(직원명부!$C$5:$C$24,MATCH($B191,직원명부!$A$5:$A$24,0))=0,"",INDEX(직원명부!$C$5:$C$24,MATCH($B191,직원명부!$A$5:$A$24,0)))),"")</f>
        <v/>
      </c>
      <c r="F191" s="44">
        <f>IFERROR(IF($B191="","",IF(INDEX(근로자명부!$G$5:$G$24,MATCH($B191,근로자명부!$A$5:$A$24,0))=0,"",INDEX(근로자명부!$G$5:$G$24,MATCH($B191,근로자명부!$A$5:$A$24,0)))),"")</f>
        <v/>
      </c>
      <c r="G191" s="30">
        <f>IF(OR($A191="",$B191=""),"",COUNTIFS(근태기록!$C$5:$C$2004,$B191,근태기록!$A$5:$A$2004,"&gt;="&amp;$A191,근태기록!$A$5:$A$2004,"&lt;="&amp;EOMONTH($A191,0),근태기록!$H$5:$H$2004,"&gt;0"))</f>
        <v/>
      </c>
      <c r="H191" s="33">
        <f>IF(OR($A191="",$B191=""),"",SUMIFS(근태기록!$H$5:$H$2004,근태기록!$C$5:$C$2004,$B191,근태기록!$A$5:$A$2004,"&gt;="&amp;$A191,근태기록!$A$5:$A$2004,"&lt;="&amp;EOMONTH($A191,0)))</f>
        <v/>
      </c>
      <c r="I191" s="33">
        <f>IF(OR($A191="",$B191=""),"",SUMIFS(근태기록!$I$5:$I$2004,근태기록!$C$5:$C$2004,$B191,근태기록!$A$5:$A$2004,"&gt;="&amp;$A191,근태기록!$A$5:$A$2004,"&lt;="&amp;EOMONTH($A191,0)))</f>
        <v/>
      </c>
      <c r="J191" s="33">
        <f>IF(OR($A191="",$B191=""),"",SUMIFS(근태기록!$J$5:$J$2004,근태기록!$C$5:$C$2004,$B191,근태기록!$A$5:$A$2004,"&gt;="&amp;$A191,근태기록!$A$5:$A$2004,"&lt;="&amp;EOMONTH($A191,0)))</f>
        <v/>
      </c>
      <c r="K191" s="33">
        <f>IF(OR($A191="",$B191=""),"",SUMIFS(근태기록!$H$5:$H$2004,근태기록!$C$5:$C$2004,$B191,근태기록!$A$5:$A$2004,"&gt;="&amp;$A191,근태기록!$A$5:$A$2004,"&lt;="&amp;EOMONTH($A191,0),근태기록!$L$5:$L$2004,"휴일근로"))</f>
        <v/>
      </c>
      <c r="L191" s="20" t="n"/>
      <c r="M191" s="20" t="n"/>
      <c r="N191" s="20" t="n"/>
      <c r="O191" s="20" t="n"/>
      <c r="P191" s="15">
        <f>IF(OR($A191="",$B191=""),"",SUM(L191:O191))</f>
        <v/>
      </c>
      <c r="Q191" s="20" t="n"/>
      <c r="R191" s="20" t="n"/>
      <c r="S191" s="20" t="n"/>
      <c r="T191" s="20" t="n"/>
      <c r="U191" s="20" t="n"/>
      <c r="V191" s="20" t="n"/>
      <c r="W191" s="15">
        <f>IF(OR($A191="",$B191=""),"",SUM(Q191:V191))</f>
        <v/>
      </c>
      <c r="X191" s="15">
        <f>IF(OR($A191="",$B191=""),"",N(P191)-N(W191))</f>
        <v/>
      </c>
    </row>
    <row r="192">
      <c r="A192" s="43" t="n"/>
      <c r="B192" s="18" t="n"/>
      <c r="C192" s="25">
        <f>IFERROR(IF($B192="","",IF(INDEX(직원명부!$B$5:$B$24,MATCH($B192,직원명부!$A$5:$A$24,0))=0,"",INDEX(직원명부!$B$5:$B$24,MATCH($B192,직원명부!$A$5:$A$24,0)))),"사번 확인")</f>
        <v/>
      </c>
      <c r="D192" s="26">
        <f>IFERROR(IF($B192="","",IF(INDEX(근로자명부!$D$5:$D$24,MATCH($B192,근로자명부!$A$5:$A$24,0))=0,"",INDEX(근로자명부!$D$5:$D$24,MATCH($B192,근로자명부!$A$5:$A$24,0)))),"")</f>
        <v/>
      </c>
      <c r="E192" s="26">
        <f>IFERROR(IF($B192="","",IF(INDEX(직원명부!$C$5:$C$24,MATCH($B192,직원명부!$A$5:$A$24,0))=0,"",INDEX(직원명부!$C$5:$C$24,MATCH($B192,직원명부!$A$5:$A$24,0)))),"")</f>
        <v/>
      </c>
      <c r="F192" s="44">
        <f>IFERROR(IF($B192="","",IF(INDEX(근로자명부!$G$5:$G$24,MATCH($B192,근로자명부!$A$5:$A$24,0))=0,"",INDEX(근로자명부!$G$5:$G$24,MATCH($B192,근로자명부!$A$5:$A$24,0)))),"")</f>
        <v/>
      </c>
      <c r="G192" s="30">
        <f>IF(OR($A192="",$B192=""),"",COUNTIFS(근태기록!$C$5:$C$2004,$B192,근태기록!$A$5:$A$2004,"&gt;="&amp;$A192,근태기록!$A$5:$A$2004,"&lt;="&amp;EOMONTH($A192,0),근태기록!$H$5:$H$2004,"&gt;0"))</f>
        <v/>
      </c>
      <c r="H192" s="33">
        <f>IF(OR($A192="",$B192=""),"",SUMIFS(근태기록!$H$5:$H$2004,근태기록!$C$5:$C$2004,$B192,근태기록!$A$5:$A$2004,"&gt;="&amp;$A192,근태기록!$A$5:$A$2004,"&lt;="&amp;EOMONTH($A192,0)))</f>
        <v/>
      </c>
      <c r="I192" s="33">
        <f>IF(OR($A192="",$B192=""),"",SUMIFS(근태기록!$I$5:$I$2004,근태기록!$C$5:$C$2004,$B192,근태기록!$A$5:$A$2004,"&gt;="&amp;$A192,근태기록!$A$5:$A$2004,"&lt;="&amp;EOMONTH($A192,0)))</f>
        <v/>
      </c>
      <c r="J192" s="33">
        <f>IF(OR($A192="",$B192=""),"",SUMIFS(근태기록!$J$5:$J$2004,근태기록!$C$5:$C$2004,$B192,근태기록!$A$5:$A$2004,"&gt;="&amp;$A192,근태기록!$A$5:$A$2004,"&lt;="&amp;EOMONTH($A192,0)))</f>
        <v/>
      </c>
      <c r="K192" s="33">
        <f>IF(OR($A192="",$B192=""),"",SUMIFS(근태기록!$H$5:$H$2004,근태기록!$C$5:$C$2004,$B192,근태기록!$A$5:$A$2004,"&gt;="&amp;$A192,근태기록!$A$5:$A$2004,"&lt;="&amp;EOMONTH($A192,0),근태기록!$L$5:$L$2004,"휴일근로"))</f>
        <v/>
      </c>
      <c r="L192" s="20" t="n"/>
      <c r="M192" s="20" t="n"/>
      <c r="N192" s="20" t="n"/>
      <c r="O192" s="20" t="n"/>
      <c r="P192" s="15">
        <f>IF(OR($A192="",$B192=""),"",SUM(L192:O192))</f>
        <v/>
      </c>
      <c r="Q192" s="20" t="n"/>
      <c r="R192" s="20" t="n"/>
      <c r="S192" s="20" t="n"/>
      <c r="T192" s="20" t="n"/>
      <c r="U192" s="20" t="n"/>
      <c r="V192" s="20" t="n"/>
      <c r="W192" s="15">
        <f>IF(OR($A192="",$B192=""),"",SUM(Q192:V192))</f>
        <v/>
      </c>
      <c r="X192" s="15">
        <f>IF(OR($A192="",$B192=""),"",N(P192)-N(W192))</f>
        <v/>
      </c>
    </row>
    <row r="193">
      <c r="A193" s="43" t="n"/>
      <c r="B193" s="18" t="n"/>
      <c r="C193" s="25">
        <f>IFERROR(IF($B193="","",IF(INDEX(직원명부!$B$5:$B$24,MATCH($B193,직원명부!$A$5:$A$24,0))=0,"",INDEX(직원명부!$B$5:$B$24,MATCH($B193,직원명부!$A$5:$A$24,0)))),"사번 확인")</f>
        <v/>
      </c>
      <c r="D193" s="26">
        <f>IFERROR(IF($B193="","",IF(INDEX(근로자명부!$D$5:$D$24,MATCH($B193,근로자명부!$A$5:$A$24,0))=0,"",INDEX(근로자명부!$D$5:$D$24,MATCH($B193,근로자명부!$A$5:$A$24,0)))),"")</f>
        <v/>
      </c>
      <c r="E193" s="26">
        <f>IFERROR(IF($B193="","",IF(INDEX(직원명부!$C$5:$C$24,MATCH($B193,직원명부!$A$5:$A$24,0))=0,"",INDEX(직원명부!$C$5:$C$24,MATCH($B193,직원명부!$A$5:$A$24,0)))),"")</f>
        <v/>
      </c>
      <c r="F193" s="44">
        <f>IFERROR(IF($B193="","",IF(INDEX(근로자명부!$G$5:$G$24,MATCH($B193,근로자명부!$A$5:$A$24,0))=0,"",INDEX(근로자명부!$G$5:$G$24,MATCH($B193,근로자명부!$A$5:$A$24,0)))),"")</f>
        <v/>
      </c>
      <c r="G193" s="30">
        <f>IF(OR($A193="",$B193=""),"",COUNTIFS(근태기록!$C$5:$C$2004,$B193,근태기록!$A$5:$A$2004,"&gt;="&amp;$A193,근태기록!$A$5:$A$2004,"&lt;="&amp;EOMONTH($A193,0),근태기록!$H$5:$H$2004,"&gt;0"))</f>
        <v/>
      </c>
      <c r="H193" s="33">
        <f>IF(OR($A193="",$B193=""),"",SUMIFS(근태기록!$H$5:$H$2004,근태기록!$C$5:$C$2004,$B193,근태기록!$A$5:$A$2004,"&gt;="&amp;$A193,근태기록!$A$5:$A$2004,"&lt;="&amp;EOMONTH($A193,0)))</f>
        <v/>
      </c>
      <c r="I193" s="33">
        <f>IF(OR($A193="",$B193=""),"",SUMIFS(근태기록!$I$5:$I$2004,근태기록!$C$5:$C$2004,$B193,근태기록!$A$5:$A$2004,"&gt;="&amp;$A193,근태기록!$A$5:$A$2004,"&lt;="&amp;EOMONTH($A193,0)))</f>
        <v/>
      </c>
      <c r="J193" s="33">
        <f>IF(OR($A193="",$B193=""),"",SUMIFS(근태기록!$J$5:$J$2004,근태기록!$C$5:$C$2004,$B193,근태기록!$A$5:$A$2004,"&gt;="&amp;$A193,근태기록!$A$5:$A$2004,"&lt;="&amp;EOMONTH($A193,0)))</f>
        <v/>
      </c>
      <c r="K193" s="33">
        <f>IF(OR($A193="",$B193=""),"",SUMIFS(근태기록!$H$5:$H$2004,근태기록!$C$5:$C$2004,$B193,근태기록!$A$5:$A$2004,"&gt;="&amp;$A193,근태기록!$A$5:$A$2004,"&lt;="&amp;EOMONTH($A193,0),근태기록!$L$5:$L$2004,"휴일근로"))</f>
        <v/>
      </c>
      <c r="L193" s="20" t="n"/>
      <c r="M193" s="20" t="n"/>
      <c r="N193" s="20" t="n"/>
      <c r="O193" s="20" t="n"/>
      <c r="P193" s="15">
        <f>IF(OR($A193="",$B193=""),"",SUM(L193:O193))</f>
        <v/>
      </c>
      <c r="Q193" s="20" t="n"/>
      <c r="R193" s="20" t="n"/>
      <c r="S193" s="20" t="n"/>
      <c r="T193" s="20" t="n"/>
      <c r="U193" s="20" t="n"/>
      <c r="V193" s="20" t="n"/>
      <c r="W193" s="15">
        <f>IF(OR($A193="",$B193=""),"",SUM(Q193:V193))</f>
        <v/>
      </c>
      <c r="X193" s="15">
        <f>IF(OR($A193="",$B193=""),"",N(P193)-N(W193))</f>
        <v/>
      </c>
    </row>
    <row r="194">
      <c r="A194" s="43" t="n"/>
      <c r="B194" s="18" t="n"/>
      <c r="C194" s="25">
        <f>IFERROR(IF($B194="","",IF(INDEX(직원명부!$B$5:$B$24,MATCH($B194,직원명부!$A$5:$A$24,0))=0,"",INDEX(직원명부!$B$5:$B$24,MATCH($B194,직원명부!$A$5:$A$24,0)))),"사번 확인")</f>
        <v/>
      </c>
      <c r="D194" s="26">
        <f>IFERROR(IF($B194="","",IF(INDEX(근로자명부!$D$5:$D$24,MATCH($B194,근로자명부!$A$5:$A$24,0))=0,"",INDEX(근로자명부!$D$5:$D$24,MATCH($B194,근로자명부!$A$5:$A$24,0)))),"")</f>
        <v/>
      </c>
      <c r="E194" s="26">
        <f>IFERROR(IF($B194="","",IF(INDEX(직원명부!$C$5:$C$24,MATCH($B194,직원명부!$A$5:$A$24,0))=0,"",INDEX(직원명부!$C$5:$C$24,MATCH($B194,직원명부!$A$5:$A$24,0)))),"")</f>
        <v/>
      </c>
      <c r="F194" s="44">
        <f>IFERROR(IF($B194="","",IF(INDEX(근로자명부!$G$5:$G$24,MATCH($B194,근로자명부!$A$5:$A$24,0))=0,"",INDEX(근로자명부!$G$5:$G$24,MATCH($B194,근로자명부!$A$5:$A$24,0)))),"")</f>
        <v/>
      </c>
      <c r="G194" s="30">
        <f>IF(OR($A194="",$B194=""),"",COUNTIFS(근태기록!$C$5:$C$2004,$B194,근태기록!$A$5:$A$2004,"&gt;="&amp;$A194,근태기록!$A$5:$A$2004,"&lt;="&amp;EOMONTH($A194,0),근태기록!$H$5:$H$2004,"&gt;0"))</f>
        <v/>
      </c>
      <c r="H194" s="33">
        <f>IF(OR($A194="",$B194=""),"",SUMIFS(근태기록!$H$5:$H$2004,근태기록!$C$5:$C$2004,$B194,근태기록!$A$5:$A$2004,"&gt;="&amp;$A194,근태기록!$A$5:$A$2004,"&lt;="&amp;EOMONTH($A194,0)))</f>
        <v/>
      </c>
      <c r="I194" s="33">
        <f>IF(OR($A194="",$B194=""),"",SUMIFS(근태기록!$I$5:$I$2004,근태기록!$C$5:$C$2004,$B194,근태기록!$A$5:$A$2004,"&gt;="&amp;$A194,근태기록!$A$5:$A$2004,"&lt;="&amp;EOMONTH($A194,0)))</f>
        <v/>
      </c>
      <c r="J194" s="33">
        <f>IF(OR($A194="",$B194=""),"",SUMIFS(근태기록!$J$5:$J$2004,근태기록!$C$5:$C$2004,$B194,근태기록!$A$5:$A$2004,"&gt;="&amp;$A194,근태기록!$A$5:$A$2004,"&lt;="&amp;EOMONTH($A194,0)))</f>
        <v/>
      </c>
      <c r="K194" s="33">
        <f>IF(OR($A194="",$B194=""),"",SUMIFS(근태기록!$H$5:$H$2004,근태기록!$C$5:$C$2004,$B194,근태기록!$A$5:$A$2004,"&gt;="&amp;$A194,근태기록!$A$5:$A$2004,"&lt;="&amp;EOMONTH($A194,0),근태기록!$L$5:$L$2004,"휴일근로"))</f>
        <v/>
      </c>
      <c r="L194" s="20" t="n"/>
      <c r="M194" s="20" t="n"/>
      <c r="N194" s="20" t="n"/>
      <c r="O194" s="20" t="n"/>
      <c r="P194" s="15">
        <f>IF(OR($A194="",$B194=""),"",SUM(L194:O194))</f>
        <v/>
      </c>
      <c r="Q194" s="20" t="n"/>
      <c r="R194" s="20" t="n"/>
      <c r="S194" s="20" t="n"/>
      <c r="T194" s="20" t="n"/>
      <c r="U194" s="20" t="n"/>
      <c r="V194" s="20" t="n"/>
      <c r="W194" s="15">
        <f>IF(OR($A194="",$B194=""),"",SUM(Q194:V194))</f>
        <v/>
      </c>
      <c r="X194" s="15">
        <f>IF(OR($A194="",$B194=""),"",N(P194)-N(W194))</f>
        <v/>
      </c>
    </row>
    <row r="195">
      <c r="A195" s="43" t="n"/>
      <c r="B195" s="18" t="n"/>
      <c r="C195" s="25">
        <f>IFERROR(IF($B195="","",IF(INDEX(직원명부!$B$5:$B$24,MATCH($B195,직원명부!$A$5:$A$24,0))=0,"",INDEX(직원명부!$B$5:$B$24,MATCH($B195,직원명부!$A$5:$A$24,0)))),"사번 확인")</f>
        <v/>
      </c>
      <c r="D195" s="26">
        <f>IFERROR(IF($B195="","",IF(INDEX(근로자명부!$D$5:$D$24,MATCH($B195,근로자명부!$A$5:$A$24,0))=0,"",INDEX(근로자명부!$D$5:$D$24,MATCH($B195,근로자명부!$A$5:$A$24,0)))),"")</f>
        <v/>
      </c>
      <c r="E195" s="26">
        <f>IFERROR(IF($B195="","",IF(INDEX(직원명부!$C$5:$C$24,MATCH($B195,직원명부!$A$5:$A$24,0))=0,"",INDEX(직원명부!$C$5:$C$24,MATCH($B195,직원명부!$A$5:$A$24,0)))),"")</f>
        <v/>
      </c>
      <c r="F195" s="44">
        <f>IFERROR(IF($B195="","",IF(INDEX(근로자명부!$G$5:$G$24,MATCH($B195,근로자명부!$A$5:$A$24,0))=0,"",INDEX(근로자명부!$G$5:$G$24,MATCH($B195,근로자명부!$A$5:$A$24,0)))),"")</f>
        <v/>
      </c>
      <c r="G195" s="30">
        <f>IF(OR($A195="",$B195=""),"",COUNTIFS(근태기록!$C$5:$C$2004,$B195,근태기록!$A$5:$A$2004,"&gt;="&amp;$A195,근태기록!$A$5:$A$2004,"&lt;="&amp;EOMONTH($A195,0),근태기록!$H$5:$H$2004,"&gt;0"))</f>
        <v/>
      </c>
      <c r="H195" s="33">
        <f>IF(OR($A195="",$B195=""),"",SUMIFS(근태기록!$H$5:$H$2004,근태기록!$C$5:$C$2004,$B195,근태기록!$A$5:$A$2004,"&gt;="&amp;$A195,근태기록!$A$5:$A$2004,"&lt;="&amp;EOMONTH($A195,0)))</f>
        <v/>
      </c>
      <c r="I195" s="33">
        <f>IF(OR($A195="",$B195=""),"",SUMIFS(근태기록!$I$5:$I$2004,근태기록!$C$5:$C$2004,$B195,근태기록!$A$5:$A$2004,"&gt;="&amp;$A195,근태기록!$A$5:$A$2004,"&lt;="&amp;EOMONTH($A195,0)))</f>
        <v/>
      </c>
      <c r="J195" s="33">
        <f>IF(OR($A195="",$B195=""),"",SUMIFS(근태기록!$J$5:$J$2004,근태기록!$C$5:$C$2004,$B195,근태기록!$A$5:$A$2004,"&gt;="&amp;$A195,근태기록!$A$5:$A$2004,"&lt;="&amp;EOMONTH($A195,0)))</f>
        <v/>
      </c>
      <c r="K195" s="33">
        <f>IF(OR($A195="",$B195=""),"",SUMIFS(근태기록!$H$5:$H$2004,근태기록!$C$5:$C$2004,$B195,근태기록!$A$5:$A$2004,"&gt;="&amp;$A195,근태기록!$A$5:$A$2004,"&lt;="&amp;EOMONTH($A195,0),근태기록!$L$5:$L$2004,"휴일근로"))</f>
        <v/>
      </c>
      <c r="L195" s="20" t="n"/>
      <c r="M195" s="20" t="n"/>
      <c r="N195" s="20" t="n"/>
      <c r="O195" s="20" t="n"/>
      <c r="P195" s="15">
        <f>IF(OR($A195="",$B195=""),"",SUM(L195:O195))</f>
        <v/>
      </c>
      <c r="Q195" s="20" t="n"/>
      <c r="R195" s="20" t="n"/>
      <c r="S195" s="20" t="n"/>
      <c r="T195" s="20" t="n"/>
      <c r="U195" s="20" t="n"/>
      <c r="V195" s="20" t="n"/>
      <c r="W195" s="15">
        <f>IF(OR($A195="",$B195=""),"",SUM(Q195:V195))</f>
        <v/>
      </c>
      <c r="X195" s="15">
        <f>IF(OR($A195="",$B195=""),"",N(P195)-N(W195))</f>
        <v/>
      </c>
    </row>
    <row r="196">
      <c r="A196" s="43" t="n"/>
      <c r="B196" s="18" t="n"/>
      <c r="C196" s="25">
        <f>IFERROR(IF($B196="","",IF(INDEX(직원명부!$B$5:$B$24,MATCH($B196,직원명부!$A$5:$A$24,0))=0,"",INDEX(직원명부!$B$5:$B$24,MATCH($B196,직원명부!$A$5:$A$24,0)))),"사번 확인")</f>
        <v/>
      </c>
      <c r="D196" s="26">
        <f>IFERROR(IF($B196="","",IF(INDEX(근로자명부!$D$5:$D$24,MATCH($B196,근로자명부!$A$5:$A$24,0))=0,"",INDEX(근로자명부!$D$5:$D$24,MATCH($B196,근로자명부!$A$5:$A$24,0)))),"")</f>
        <v/>
      </c>
      <c r="E196" s="26">
        <f>IFERROR(IF($B196="","",IF(INDEX(직원명부!$C$5:$C$24,MATCH($B196,직원명부!$A$5:$A$24,0))=0,"",INDEX(직원명부!$C$5:$C$24,MATCH($B196,직원명부!$A$5:$A$24,0)))),"")</f>
        <v/>
      </c>
      <c r="F196" s="44">
        <f>IFERROR(IF($B196="","",IF(INDEX(근로자명부!$G$5:$G$24,MATCH($B196,근로자명부!$A$5:$A$24,0))=0,"",INDEX(근로자명부!$G$5:$G$24,MATCH($B196,근로자명부!$A$5:$A$24,0)))),"")</f>
        <v/>
      </c>
      <c r="G196" s="30">
        <f>IF(OR($A196="",$B196=""),"",COUNTIFS(근태기록!$C$5:$C$2004,$B196,근태기록!$A$5:$A$2004,"&gt;="&amp;$A196,근태기록!$A$5:$A$2004,"&lt;="&amp;EOMONTH($A196,0),근태기록!$H$5:$H$2004,"&gt;0"))</f>
        <v/>
      </c>
      <c r="H196" s="33">
        <f>IF(OR($A196="",$B196=""),"",SUMIFS(근태기록!$H$5:$H$2004,근태기록!$C$5:$C$2004,$B196,근태기록!$A$5:$A$2004,"&gt;="&amp;$A196,근태기록!$A$5:$A$2004,"&lt;="&amp;EOMONTH($A196,0)))</f>
        <v/>
      </c>
      <c r="I196" s="33">
        <f>IF(OR($A196="",$B196=""),"",SUMIFS(근태기록!$I$5:$I$2004,근태기록!$C$5:$C$2004,$B196,근태기록!$A$5:$A$2004,"&gt;="&amp;$A196,근태기록!$A$5:$A$2004,"&lt;="&amp;EOMONTH($A196,0)))</f>
        <v/>
      </c>
      <c r="J196" s="33">
        <f>IF(OR($A196="",$B196=""),"",SUMIFS(근태기록!$J$5:$J$2004,근태기록!$C$5:$C$2004,$B196,근태기록!$A$5:$A$2004,"&gt;="&amp;$A196,근태기록!$A$5:$A$2004,"&lt;="&amp;EOMONTH($A196,0)))</f>
        <v/>
      </c>
      <c r="K196" s="33">
        <f>IF(OR($A196="",$B196=""),"",SUMIFS(근태기록!$H$5:$H$2004,근태기록!$C$5:$C$2004,$B196,근태기록!$A$5:$A$2004,"&gt;="&amp;$A196,근태기록!$A$5:$A$2004,"&lt;="&amp;EOMONTH($A196,0),근태기록!$L$5:$L$2004,"휴일근로"))</f>
        <v/>
      </c>
      <c r="L196" s="20" t="n"/>
      <c r="M196" s="20" t="n"/>
      <c r="N196" s="20" t="n"/>
      <c r="O196" s="20" t="n"/>
      <c r="P196" s="15">
        <f>IF(OR($A196="",$B196=""),"",SUM(L196:O196))</f>
        <v/>
      </c>
      <c r="Q196" s="20" t="n"/>
      <c r="R196" s="20" t="n"/>
      <c r="S196" s="20" t="n"/>
      <c r="T196" s="20" t="n"/>
      <c r="U196" s="20" t="n"/>
      <c r="V196" s="20" t="n"/>
      <c r="W196" s="15">
        <f>IF(OR($A196="",$B196=""),"",SUM(Q196:V196))</f>
        <v/>
      </c>
      <c r="X196" s="15">
        <f>IF(OR($A196="",$B196=""),"",N(P196)-N(W196))</f>
        <v/>
      </c>
    </row>
    <row r="197">
      <c r="A197" s="43" t="n"/>
      <c r="B197" s="18" t="n"/>
      <c r="C197" s="25">
        <f>IFERROR(IF($B197="","",IF(INDEX(직원명부!$B$5:$B$24,MATCH($B197,직원명부!$A$5:$A$24,0))=0,"",INDEX(직원명부!$B$5:$B$24,MATCH($B197,직원명부!$A$5:$A$24,0)))),"사번 확인")</f>
        <v/>
      </c>
      <c r="D197" s="26">
        <f>IFERROR(IF($B197="","",IF(INDEX(근로자명부!$D$5:$D$24,MATCH($B197,근로자명부!$A$5:$A$24,0))=0,"",INDEX(근로자명부!$D$5:$D$24,MATCH($B197,근로자명부!$A$5:$A$24,0)))),"")</f>
        <v/>
      </c>
      <c r="E197" s="26">
        <f>IFERROR(IF($B197="","",IF(INDEX(직원명부!$C$5:$C$24,MATCH($B197,직원명부!$A$5:$A$24,0))=0,"",INDEX(직원명부!$C$5:$C$24,MATCH($B197,직원명부!$A$5:$A$24,0)))),"")</f>
        <v/>
      </c>
      <c r="F197" s="44">
        <f>IFERROR(IF($B197="","",IF(INDEX(근로자명부!$G$5:$G$24,MATCH($B197,근로자명부!$A$5:$A$24,0))=0,"",INDEX(근로자명부!$G$5:$G$24,MATCH($B197,근로자명부!$A$5:$A$24,0)))),"")</f>
        <v/>
      </c>
      <c r="G197" s="30">
        <f>IF(OR($A197="",$B197=""),"",COUNTIFS(근태기록!$C$5:$C$2004,$B197,근태기록!$A$5:$A$2004,"&gt;="&amp;$A197,근태기록!$A$5:$A$2004,"&lt;="&amp;EOMONTH($A197,0),근태기록!$H$5:$H$2004,"&gt;0"))</f>
        <v/>
      </c>
      <c r="H197" s="33">
        <f>IF(OR($A197="",$B197=""),"",SUMIFS(근태기록!$H$5:$H$2004,근태기록!$C$5:$C$2004,$B197,근태기록!$A$5:$A$2004,"&gt;="&amp;$A197,근태기록!$A$5:$A$2004,"&lt;="&amp;EOMONTH($A197,0)))</f>
        <v/>
      </c>
      <c r="I197" s="33">
        <f>IF(OR($A197="",$B197=""),"",SUMIFS(근태기록!$I$5:$I$2004,근태기록!$C$5:$C$2004,$B197,근태기록!$A$5:$A$2004,"&gt;="&amp;$A197,근태기록!$A$5:$A$2004,"&lt;="&amp;EOMONTH($A197,0)))</f>
        <v/>
      </c>
      <c r="J197" s="33">
        <f>IF(OR($A197="",$B197=""),"",SUMIFS(근태기록!$J$5:$J$2004,근태기록!$C$5:$C$2004,$B197,근태기록!$A$5:$A$2004,"&gt;="&amp;$A197,근태기록!$A$5:$A$2004,"&lt;="&amp;EOMONTH($A197,0)))</f>
        <v/>
      </c>
      <c r="K197" s="33">
        <f>IF(OR($A197="",$B197=""),"",SUMIFS(근태기록!$H$5:$H$2004,근태기록!$C$5:$C$2004,$B197,근태기록!$A$5:$A$2004,"&gt;="&amp;$A197,근태기록!$A$5:$A$2004,"&lt;="&amp;EOMONTH($A197,0),근태기록!$L$5:$L$2004,"휴일근로"))</f>
        <v/>
      </c>
      <c r="L197" s="20" t="n"/>
      <c r="M197" s="20" t="n"/>
      <c r="N197" s="20" t="n"/>
      <c r="O197" s="20" t="n"/>
      <c r="P197" s="15">
        <f>IF(OR($A197="",$B197=""),"",SUM(L197:O197))</f>
        <v/>
      </c>
      <c r="Q197" s="20" t="n"/>
      <c r="R197" s="20" t="n"/>
      <c r="S197" s="20" t="n"/>
      <c r="T197" s="20" t="n"/>
      <c r="U197" s="20" t="n"/>
      <c r="V197" s="20" t="n"/>
      <c r="W197" s="15">
        <f>IF(OR($A197="",$B197=""),"",SUM(Q197:V197))</f>
        <v/>
      </c>
      <c r="X197" s="15">
        <f>IF(OR($A197="",$B197=""),"",N(P197)-N(W197))</f>
        <v/>
      </c>
    </row>
    <row r="198">
      <c r="A198" s="43" t="n"/>
      <c r="B198" s="18" t="n"/>
      <c r="C198" s="25">
        <f>IFERROR(IF($B198="","",IF(INDEX(직원명부!$B$5:$B$24,MATCH($B198,직원명부!$A$5:$A$24,0))=0,"",INDEX(직원명부!$B$5:$B$24,MATCH($B198,직원명부!$A$5:$A$24,0)))),"사번 확인")</f>
        <v/>
      </c>
      <c r="D198" s="26">
        <f>IFERROR(IF($B198="","",IF(INDEX(근로자명부!$D$5:$D$24,MATCH($B198,근로자명부!$A$5:$A$24,0))=0,"",INDEX(근로자명부!$D$5:$D$24,MATCH($B198,근로자명부!$A$5:$A$24,0)))),"")</f>
        <v/>
      </c>
      <c r="E198" s="26">
        <f>IFERROR(IF($B198="","",IF(INDEX(직원명부!$C$5:$C$24,MATCH($B198,직원명부!$A$5:$A$24,0))=0,"",INDEX(직원명부!$C$5:$C$24,MATCH($B198,직원명부!$A$5:$A$24,0)))),"")</f>
        <v/>
      </c>
      <c r="F198" s="44">
        <f>IFERROR(IF($B198="","",IF(INDEX(근로자명부!$G$5:$G$24,MATCH($B198,근로자명부!$A$5:$A$24,0))=0,"",INDEX(근로자명부!$G$5:$G$24,MATCH($B198,근로자명부!$A$5:$A$24,0)))),"")</f>
        <v/>
      </c>
      <c r="G198" s="30">
        <f>IF(OR($A198="",$B198=""),"",COUNTIFS(근태기록!$C$5:$C$2004,$B198,근태기록!$A$5:$A$2004,"&gt;="&amp;$A198,근태기록!$A$5:$A$2004,"&lt;="&amp;EOMONTH($A198,0),근태기록!$H$5:$H$2004,"&gt;0"))</f>
        <v/>
      </c>
      <c r="H198" s="33">
        <f>IF(OR($A198="",$B198=""),"",SUMIFS(근태기록!$H$5:$H$2004,근태기록!$C$5:$C$2004,$B198,근태기록!$A$5:$A$2004,"&gt;="&amp;$A198,근태기록!$A$5:$A$2004,"&lt;="&amp;EOMONTH($A198,0)))</f>
        <v/>
      </c>
      <c r="I198" s="33">
        <f>IF(OR($A198="",$B198=""),"",SUMIFS(근태기록!$I$5:$I$2004,근태기록!$C$5:$C$2004,$B198,근태기록!$A$5:$A$2004,"&gt;="&amp;$A198,근태기록!$A$5:$A$2004,"&lt;="&amp;EOMONTH($A198,0)))</f>
        <v/>
      </c>
      <c r="J198" s="33">
        <f>IF(OR($A198="",$B198=""),"",SUMIFS(근태기록!$J$5:$J$2004,근태기록!$C$5:$C$2004,$B198,근태기록!$A$5:$A$2004,"&gt;="&amp;$A198,근태기록!$A$5:$A$2004,"&lt;="&amp;EOMONTH($A198,0)))</f>
        <v/>
      </c>
      <c r="K198" s="33">
        <f>IF(OR($A198="",$B198=""),"",SUMIFS(근태기록!$H$5:$H$2004,근태기록!$C$5:$C$2004,$B198,근태기록!$A$5:$A$2004,"&gt;="&amp;$A198,근태기록!$A$5:$A$2004,"&lt;="&amp;EOMONTH($A198,0),근태기록!$L$5:$L$2004,"휴일근로"))</f>
        <v/>
      </c>
      <c r="L198" s="20" t="n"/>
      <c r="M198" s="20" t="n"/>
      <c r="N198" s="20" t="n"/>
      <c r="O198" s="20" t="n"/>
      <c r="P198" s="15">
        <f>IF(OR($A198="",$B198=""),"",SUM(L198:O198))</f>
        <v/>
      </c>
      <c r="Q198" s="20" t="n"/>
      <c r="R198" s="20" t="n"/>
      <c r="S198" s="20" t="n"/>
      <c r="T198" s="20" t="n"/>
      <c r="U198" s="20" t="n"/>
      <c r="V198" s="20" t="n"/>
      <c r="W198" s="15">
        <f>IF(OR($A198="",$B198=""),"",SUM(Q198:V198))</f>
        <v/>
      </c>
      <c r="X198" s="15">
        <f>IF(OR($A198="",$B198=""),"",N(P198)-N(W198))</f>
        <v/>
      </c>
    </row>
    <row r="199">
      <c r="A199" s="43" t="n"/>
      <c r="B199" s="18" t="n"/>
      <c r="C199" s="25">
        <f>IFERROR(IF($B199="","",IF(INDEX(직원명부!$B$5:$B$24,MATCH($B199,직원명부!$A$5:$A$24,0))=0,"",INDEX(직원명부!$B$5:$B$24,MATCH($B199,직원명부!$A$5:$A$24,0)))),"사번 확인")</f>
        <v/>
      </c>
      <c r="D199" s="26">
        <f>IFERROR(IF($B199="","",IF(INDEX(근로자명부!$D$5:$D$24,MATCH($B199,근로자명부!$A$5:$A$24,0))=0,"",INDEX(근로자명부!$D$5:$D$24,MATCH($B199,근로자명부!$A$5:$A$24,0)))),"")</f>
        <v/>
      </c>
      <c r="E199" s="26">
        <f>IFERROR(IF($B199="","",IF(INDEX(직원명부!$C$5:$C$24,MATCH($B199,직원명부!$A$5:$A$24,0))=0,"",INDEX(직원명부!$C$5:$C$24,MATCH($B199,직원명부!$A$5:$A$24,0)))),"")</f>
        <v/>
      </c>
      <c r="F199" s="44">
        <f>IFERROR(IF($B199="","",IF(INDEX(근로자명부!$G$5:$G$24,MATCH($B199,근로자명부!$A$5:$A$24,0))=0,"",INDEX(근로자명부!$G$5:$G$24,MATCH($B199,근로자명부!$A$5:$A$24,0)))),"")</f>
        <v/>
      </c>
      <c r="G199" s="30">
        <f>IF(OR($A199="",$B199=""),"",COUNTIFS(근태기록!$C$5:$C$2004,$B199,근태기록!$A$5:$A$2004,"&gt;="&amp;$A199,근태기록!$A$5:$A$2004,"&lt;="&amp;EOMONTH($A199,0),근태기록!$H$5:$H$2004,"&gt;0"))</f>
        <v/>
      </c>
      <c r="H199" s="33">
        <f>IF(OR($A199="",$B199=""),"",SUMIFS(근태기록!$H$5:$H$2004,근태기록!$C$5:$C$2004,$B199,근태기록!$A$5:$A$2004,"&gt;="&amp;$A199,근태기록!$A$5:$A$2004,"&lt;="&amp;EOMONTH($A199,0)))</f>
        <v/>
      </c>
      <c r="I199" s="33">
        <f>IF(OR($A199="",$B199=""),"",SUMIFS(근태기록!$I$5:$I$2004,근태기록!$C$5:$C$2004,$B199,근태기록!$A$5:$A$2004,"&gt;="&amp;$A199,근태기록!$A$5:$A$2004,"&lt;="&amp;EOMONTH($A199,0)))</f>
        <v/>
      </c>
      <c r="J199" s="33">
        <f>IF(OR($A199="",$B199=""),"",SUMIFS(근태기록!$J$5:$J$2004,근태기록!$C$5:$C$2004,$B199,근태기록!$A$5:$A$2004,"&gt;="&amp;$A199,근태기록!$A$5:$A$2004,"&lt;="&amp;EOMONTH($A199,0)))</f>
        <v/>
      </c>
      <c r="K199" s="33">
        <f>IF(OR($A199="",$B199=""),"",SUMIFS(근태기록!$H$5:$H$2004,근태기록!$C$5:$C$2004,$B199,근태기록!$A$5:$A$2004,"&gt;="&amp;$A199,근태기록!$A$5:$A$2004,"&lt;="&amp;EOMONTH($A199,0),근태기록!$L$5:$L$2004,"휴일근로"))</f>
        <v/>
      </c>
      <c r="L199" s="20" t="n"/>
      <c r="M199" s="20" t="n"/>
      <c r="N199" s="20" t="n"/>
      <c r="O199" s="20" t="n"/>
      <c r="P199" s="15">
        <f>IF(OR($A199="",$B199=""),"",SUM(L199:O199))</f>
        <v/>
      </c>
      <c r="Q199" s="20" t="n"/>
      <c r="R199" s="20" t="n"/>
      <c r="S199" s="20" t="n"/>
      <c r="T199" s="20" t="n"/>
      <c r="U199" s="20" t="n"/>
      <c r="V199" s="20" t="n"/>
      <c r="W199" s="15">
        <f>IF(OR($A199="",$B199=""),"",SUM(Q199:V199))</f>
        <v/>
      </c>
      <c r="X199" s="15">
        <f>IF(OR($A199="",$B199=""),"",N(P199)-N(W199))</f>
        <v/>
      </c>
    </row>
    <row r="200">
      <c r="A200" s="43" t="n"/>
      <c r="B200" s="18" t="n"/>
      <c r="C200" s="25">
        <f>IFERROR(IF($B200="","",IF(INDEX(직원명부!$B$5:$B$24,MATCH($B200,직원명부!$A$5:$A$24,0))=0,"",INDEX(직원명부!$B$5:$B$24,MATCH($B200,직원명부!$A$5:$A$24,0)))),"사번 확인")</f>
        <v/>
      </c>
      <c r="D200" s="26">
        <f>IFERROR(IF($B200="","",IF(INDEX(근로자명부!$D$5:$D$24,MATCH($B200,근로자명부!$A$5:$A$24,0))=0,"",INDEX(근로자명부!$D$5:$D$24,MATCH($B200,근로자명부!$A$5:$A$24,0)))),"")</f>
        <v/>
      </c>
      <c r="E200" s="26">
        <f>IFERROR(IF($B200="","",IF(INDEX(직원명부!$C$5:$C$24,MATCH($B200,직원명부!$A$5:$A$24,0))=0,"",INDEX(직원명부!$C$5:$C$24,MATCH($B200,직원명부!$A$5:$A$24,0)))),"")</f>
        <v/>
      </c>
      <c r="F200" s="44">
        <f>IFERROR(IF($B200="","",IF(INDEX(근로자명부!$G$5:$G$24,MATCH($B200,근로자명부!$A$5:$A$24,0))=0,"",INDEX(근로자명부!$G$5:$G$24,MATCH($B200,근로자명부!$A$5:$A$24,0)))),"")</f>
        <v/>
      </c>
      <c r="G200" s="30">
        <f>IF(OR($A200="",$B200=""),"",COUNTIFS(근태기록!$C$5:$C$2004,$B200,근태기록!$A$5:$A$2004,"&gt;="&amp;$A200,근태기록!$A$5:$A$2004,"&lt;="&amp;EOMONTH($A200,0),근태기록!$H$5:$H$2004,"&gt;0"))</f>
        <v/>
      </c>
      <c r="H200" s="33">
        <f>IF(OR($A200="",$B200=""),"",SUMIFS(근태기록!$H$5:$H$2004,근태기록!$C$5:$C$2004,$B200,근태기록!$A$5:$A$2004,"&gt;="&amp;$A200,근태기록!$A$5:$A$2004,"&lt;="&amp;EOMONTH($A200,0)))</f>
        <v/>
      </c>
      <c r="I200" s="33">
        <f>IF(OR($A200="",$B200=""),"",SUMIFS(근태기록!$I$5:$I$2004,근태기록!$C$5:$C$2004,$B200,근태기록!$A$5:$A$2004,"&gt;="&amp;$A200,근태기록!$A$5:$A$2004,"&lt;="&amp;EOMONTH($A200,0)))</f>
        <v/>
      </c>
      <c r="J200" s="33">
        <f>IF(OR($A200="",$B200=""),"",SUMIFS(근태기록!$J$5:$J$2004,근태기록!$C$5:$C$2004,$B200,근태기록!$A$5:$A$2004,"&gt;="&amp;$A200,근태기록!$A$5:$A$2004,"&lt;="&amp;EOMONTH($A200,0)))</f>
        <v/>
      </c>
      <c r="K200" s="33">
        <f>IF(OR($A200="",$B200=""),"",SUMIFS(근태기록!$H$5:$H$2004,근태기록!$C$5:$C$2004,$B200,근태기록!$A$5:$A$2004,"&gt;="&amp;$A200,근태기록!$A$5:$A$2004,"&lt;="&amp;EOMONTH($A200,0),근태기록!$L$5:$L$2004,"휴일근로"))</f>
        <v/>
      </c>
      <c r="L200" s="20" t="n"/>
      <c r="M200" s="20" t="n"/>
      <c r="N200" s="20" t="n"/>
      <c r="O200" s="20" t="n"/>
      <c r="P200" s="15">
        <f>IF(OR($A200="",$B200=""),"",SUM(L200:O200))</f>
        <v/>
      </c>
      <c r="Q200" s="20" t="n"/>
      <c r="R200" s="20" t="n"/>
      <c r="S200" s="20" t="n"/>
      <c r="T200" s="20" t="n"/>
      <c r="U200" s="20" t="n"/>
      <c r="V200" s="20" t="n"/>
      <c r="W200" s="15">
        <f>IF(OR($A200="",$B200=""),"",SUM(Q200:V200))</f>
        <v/>
      </c>
      <c r="X200" s="15">
        <f>IF(OR($A200="",$B200=""),"",N(P200)-N(W200))</f>
        <v/>
      </c>
    </row>
    <row r="201">
      <c r="A201" s="43" t="n"/>
      <c r="B201" s="18" t="n"/>
      <c r="C201" s="25">
        <f>IFERROR(IF($B201="","",IF(INDEX(직원명부!$B$5:$B$24,MATCH($B201,직원명부!$A$5:$A$24,0))=0,"",INDEX(직원명부!$B$5:$B$24,MATCH($B201,직원명부!$A$5:$A$24,0)))),"사번 확인")</f>
        <v/>
      </c>
      <c r="D201" s="26">
        <f>IFERROR(IF($B201="","",IF(INDEX(근로자명부!$D$5:$D$24,MATCH($B201,근로자명부!$A$5:$A$24,0))=0,"",INDEX(근로자명부!$D$5:$D$24,MATCH($B201,근로자명부!$A$5:$A$24,0)))),"")</f>
        <v/>
      </c>
      <c r="E201" s="26">
        <f>IFERROR(IF($B201="","",IF(INDEX(직원명부!$C$5:$C$24,MATCH($B201,직원명부!$A$5:$A$24,0))=0,"",INDEX(직원명부!$C$5:$C$24,MATCH($B201,직원명부!$A$5:$A$24,0)))),"")</f>
        <v/>
      </c>
      <c r="F201" s="44">
        <f>IFERROR(IF($B201="","",IF(INDEX(근로자명부!$G$5:$G$24,MATCH($B201,근로자명부!$A$5:$A$24,0))=0,"",INDEX(근로자명부!$G$5:$G$24,MATCH($B201,근로자명부!$A$5:$A$24,0)))),"")</f>
        <v/>
      </c>
      <c r="G201" s="30">
        <f>IF(OR($A201="",$B201=""),"",COUNTIFS(근태기록!$C$5:$C$2004,$B201,근태기록!$A$5:$A$2004,"&gt;="&amp;$A201,근태기록!$A$5:$A$2004,"&lt;="&amp;EOMONTH($A201,0),근태기록!$H$5:$H$2004,"&gt;0"))</f>
        <v/>
      </c>
      <c r="H201" s="33">
        <f>IF(OR($A201="",$B201=""),"",SUMIFS(근태기록!$H$5:$H$2004,근태기록!$C$5:$C$2004,$B201,근태기록!$A$5:$A$2004,"&gt;="&amp;$A201,근태기록!$A$5:$A$2004,"&lt;="&amp;EOMONTH($A201,0)))</f>
        <v/>
      </c>
      <c r="I201" s="33">
        <f>IF(OR($A201="",$B201=""),"",SUMIFS(근태기록!$I$5:$I$2004,근태기록!$C$5:$C$2004,$B201,근태기록!$A$5:$A$2004,"&gt;="&amp;$A201,근태기록!$A$5:$A$2004,"&lt;="&amp;EOMONTH($A201,0)))</f>
        <v/>
      </c>
      <c r="J201" s="33">
        <f>IF(OR($A201="",$B201=""),"",SUMIFS(근태기록!$J$5:$J$2004,근태기록!$C$5:$C$2004,$B201,근태기록!$A$5:$A$2004,"&gt;="&amp;$A201,근태기록!$A$5:$A$2004,"&lt;="&amp;EOMONTH($A201,0)))</f>
        <v/>
      </c>
      <c r="K201" s="33">
        <f>IF(OR($A201="",$B201=""),"",SUMIFS(근태기록!$H$5:$H$2004,근태기록!$C$5:$C$2004,$B201,근태기록!$A$5:$A$2004,"&gt;="&amp;$A201,근태기록!$A$5:$A$2004,"&lt;="&amp;EOMONTH($A201,0),근태기록!$L$5:$L$2004,"휴일근로"))</f>
        <v/>
      </c>
      <c r="L201" s="20" t="n"/>
      <c r="M201" s="20" t="n"/>
      <c r="N201" s="20" t="n"/>
      <c r="O201" s="20" t="n"/>
      <c r="P201" s="15">
        <f>IF(OR($A201="",$B201=""),"",SUM(L201:O201))</f>
        <v/>
      </c>
      <c r="Q201" s="20" t="n"/>
      <c r="R201" s="20" t="n"/>
      <c r="S201" s="20" t="n"/>
      <c r="T201" s="20" t="n"/>
      <c r="U201" s="20" t="n"/>
      <c r="V201" s="20" t="n"/>
      <c r="W201" s="15">
        <f>IF(OR($A201="",$B201=""),"",SUM(Q201:V201))</f>
        <v/>
      </c>
      <c r="X201" s="15">
        <f>IF(OR($A201="",$B201=""),"",N(P201)-N(W201))</f>
        <v/>
      </c>
    </row>
    <row r="202">
      <c r="A202" s="43" t="n"/>
      <c r="B202" s="18" t="n"/>
      <c r="C202" s="25">
        <f>IFERROR(IF($B202="","",IF(INDEX(직원명부!$B$5:$B$24,MATCH($B202,직원명부!$A$5:$A$24,0))=0,"",INDEX(직원명부!$B$5:$B$24,MATCH($B202,직원명부!$A$5:$A$24,0)))),"사번 확인")</f>
        <v/>
      </c>
      <c r="D202" s="26">
        <f>IFERROR(IF($B202="","",IF(INDEX(근로자명부!$D$5:$D$24,MATCH($B202,근로자명부!$A$5:$A$24,0))=0,"",INDEX(근로자명부!$D$5:$D$24,MATCH($B202,근로자명부!$A$5:$A$24,0)))),"")</f>
        <v/>
      </c>
      <c r="E202" s="26">
        <f>IFERROR(IF($B202="","",IF(INDEX(직원명부!$C$5:$C$24,MATCH($B202,직원명부!$A$5:$A$24,0))=0,"",INDEX(직원명부!$C$5:$C$24,MATCH($B202,직원명부!$A$5:$A$24,0)))),"")</f>
        <v/>
      </c>
      <c r="F202" s="44">
        <f>IFERROR(IF($B202="","",IF(INDEX(근로자명부!$G$5:$G$24,MATCH($B202,근로자명부!$A$5:$A$24,0))=0,"",INDEX(근로자명부!$G$5:$G$24,MATCH($B202,근로자명부!$A$5:$A$24,0)))),"")</f>
        <v/>
      </c>
      <c r="G202" s="30">
        <f>IF(OR($A202="",$B202=""),"",COUNTIFS(근태기록!$C$5:$C$2004,$B202,근태기록!$A$5:$A$2004,"&gt;="&amp;$A202,근태기록!$A$5:$A$2004,"&lt;="&amp;EOMONTH($A202,0),근태기록!$H$5:$H$2004,"&gt;0"))</f>
        <v/>
      </c>
      <c r="H202" s="33">
        <f>IF(OR($A202="",$B202=""),"",SUMIFS(근태기록!$H$5:$H$2004,근태기록!$C$5:$C$2004,$B202,근태기록!$A$5:$A$2004,"&gt;="&amp;$A202,근태기록!$A$5:$A$2004,"&lt;="&amp;EOMONTH($A202,0)))</f>
        <v/>
      </c>
      <c r="I202" s="33">
        <f>IF(OR($A202="",$B202=""),"",SUMIFS(근태기록!$I$5:$I$2004,근태기록!$C$5:$C$2004,$B202,근태기록!$A$5:$A$2004,"&gt;="&amp;$A202,근태기록!$A$5:$A$2004,"&lt;="&amp;EOMONTH($A202,0)))</f>
        <v/>
      </c>
      <c r="J202" s="33">
        <f>IF(OR($A202="",$B202=""),"",SUMIFS(근태기록!$J$5:$J$2004,근태기록!$C$5:$C$2004,$B202,근태기록!$A$5:$A$2004,"&gt;="&amp;$A202,근태기록!$A$5:$A$2004,"&lt;="&amp;EOMONTH($A202,0)))</f>
        <v/>
      </c>
      <c r="K202" s="33">
        <f>IF(OR($A202="",$B202=""),"",SUMIFS(근태기록!$H$5:$H$2004,근태기록!$C$5:$C$2004,$B202,근태기록!$A$5:$A$2004,"&gt;="&amp;$A202,근태기록!$A$5:$A$2004,"&lt;="&amp;EOMONTH($A202,0),근태기록!$L$5:$L$2004,"휴일근로"))</f>
        <v/>
      </c>
      <c r="L202" s="20" t="n"/>
      <c r="M202" s="20" t="n"/>
      <c r="N202" s="20" t="n"/>
      <c r="O202" s="20" t="n"/>
      <c r="P202" s="15">
        <f>IF(OR($A202="",$B202=""),"",SUM(L202:O202))</f>
        <v/>
      </c>
      <c r="Q202" s="20" t="n"/>
      <c r="R202" s="20" t="n"/>
      <c r="S202" s="20" t="n"/>
      <c r="T202" s="20" t="n"/>
      <c r="U202" s="20" t="n"/>
      <c r="V202" s="20" t="n"/>
      <c r="W202" s="15">
        <f>IF(OR($A202="",$B202=""),"",SUM(Q202:V202))</f>
        <v/>
      </c>
      <c r="X202" s="15">
        <f>IF(OR($A202="",$B202=""),"",N(P202)-N(W202))</f>
        <v/>
      </c>
    </row>
    <row r="203">
      <c r="A203" s="43" t="n"/>
      <c r="B203" s="18" t="n"/>
      <c r="C203" s="25">
        <f>IFERROR(IF($B203="","",IF(INDEX(직원명부!$B$5:$B$24,MATCH($B203,직원명부!$A$5:$A$24,0))=0,"",INDEX(직원명부!$B$5:$B$24,MATCH($B203,직원명부!$A$5:$A$24,0)))),"사번 확인")</f>
        <v/>
      </c>
      <c r="D203" s="26">
        <f>IFERROR(IF($B203="","",IF(INDEX(근로자명부!$D$5:$D$24,MATCH($B203,근로자명부!$A$5:$A$24,0))=0,"",INDEX(근로자명부!$D$5:$D$24,MATCH($B203,근로자명부!$A$5:$A$24,0)))),"")</f>
        <v/>
      </c>
      <c r="E203" s="26">
        <f>IFERROR(IF($B203="","",IF(INDEX(직원명부!$C$5:$C$24,MATCH($B203,직원명부!$A$5:$A$24,0))=0,"",INDEX(직원명부!$C$5:$C$24,MATCH($B203,직원명부!$A$5:$A$24,0)))),"")</f>
        <v/>
      </c>
      <c r="F203" s="44">
        <f>IFERROR(IF($B203="","",IF(INDEX(근로자명부!$G$5:$G$24,MATCH($B203,근로자명부!$A$5:$A$24,0))=0,"",INDEX(근로자명부!$G$5:$G$24,MATCH($B203,근로자명부!$A$5:$A$24,0)))),"")</f>
        <v/>
      </c>
      <c r="G203" s="30">
        <f>IF(OR($A203="",$B203=""),"",COUNTIFS(근태기록!$C$5:$C$2004,$B203,근태기록!$A$5:$A$2004,"&gt;="&amp;$A203,근태기록!$A$5:$A$2004,"&lt;="&amp;EOMONTH($A203,0),근태기록!$H$5:$H$2004,"&gt;0"))</f>
        <v/>
      </c>
      <c r="H203" s="33">
        <f>IF(OR($A203="",$B203=""),"",SUMIFS(근태기록!$H$5:$H$2004,근태기록!$C$5:$C$2004,$B203,근태기록!$A$5:$A$2004,"&gt;="&amp;$A203,근태기록!$A$5:$A$2004,"&lt;="&amp;EOMONTH($A203,0)))</f>
        <v/>
      </c>
      <c r="I203" s="33">
        <f>IF(OR($A203="",$B203=""),"",SUMIFS(근태기록!$I$5:$I$2004,근태기록!$C$5:$C$2004,$B203,근태기록!$A$5:$A$2004,"&gt;="&amp;$A203,근태기록!$A$5:$A$2004,"&lt;="&amp;EOMONTH($A203,0)))</f>
        <v/>
      </c>
      <c r="J203" s="33">
        <f>IF(OR($A203="",$B203=""),"",SUMIFS(근태기록!$J$5:$J$2004,근태기록!$C$5:$C$2004,$B203,근태기록!$A$5:$A$2004,"&gt;="&amp;$A203,근태기록!$A$5:$A$2004,"&lt;="&amp;EOMONTH($A203,0)))</f>
        <v/>
      </c>
      <c r="K203" s="33">
        <f>IF(OR($A203="",$B203=""),"",SUMIFS(근태기록!$H$5:$H$2004,근태기록!$C$5:$C$2004,$B203,근태기록!$A$5:$A$2004,"&gt;="&amp;$A203,근태기록!$A$5:$A$2004,"&lt;="&amp;EOMONTH($A203,0),근태기록!$L$5:$L$2004,"휴일근로"))</f>
        <v/>
      </c>
      <c r="L203" s="20" t="n"/>
      <c r="M203" s="20" t="n"/>
      <c r="N203" s="20" t="n"/>
      <c r="O203" s="20" t="n"/>
      <c r="P203" s="15">
        <f>IF(OR($A203="",$B203=""),"",SUM(L203:O203))</f>
        <v/>
      </c>
      <c r="Q203" s="20" t="n"/>
      <c r="R203" s="20" t="n"/>
      <c r="S203" s="20" t="n"/>
      <c r="T203" s="20" t="n"/>
      <c r="U203" s="20" t="n"/>
      <c r="V203" s="20" t="n"/>
      <c r="W203" s="15">
        <f>IF(OR($A203="",$B203=""),"",SUM(Q203:V203))</f>
        <v/>
      </c>
      <c r="X203" s="15">
        <f>IF(OR($A203="",$B203=""),"",N(P203)-N(W203))</f>
        <v/>
      </c>
    </row>
    <row r="204">
      <c r="A204" s="43" t="n"/>
      <c r="B204" s="18" t="n"/>
      <c r="C204" s="25">
        <f>IFERROR(IF($B204="","",IF(INDEX(직원명부!$B$5:$B$24,MATCH($B204,직원명부!$A$5:$A$24,0))=0,"",INDEX(직원명부!$B$5:$B$24,MATCH($B204,직원명부!$A$5:$A$24,0)))),"사번 확인")</f>
        <v/>
      </c>
      <c r="D204" s="26">
        <f>IFERROR(IF($B204="","",IF(INDEX(근로자명부!$D$5:$D$24,MATCH($B204,근로자명부!$A$5:$A$24,0))=0,"",INDEX(근로자명부!$D$5:$D$24,MATCH($B204,근로자명부!$A$5:$A$24,0)))),"")</f>
        <v/>
      </c>
      <c r="E204" s="26">
        <f>IFERROR(IF($B204="","",IF(INDEX(직원명부!$C$5:$C$24,MATCH($B204,직원명부!$A$5:$A$24,0))=0,"",INDEX(직원명부!$C$5:$C$24,MATCH($B204,직원명부!$A$5:$A$24,0)))),"")</f>
        <v/>
      </c>
      <c r="F204" s="44">
        <f>IFERROR(IF($B204="","",IF(INDEX(근로자명부!$G$5:$G$24,MATCH($B204,근로자명부!$A$5:$A$24,0))=0,"",INDEX(근로자명부!$G$5:$G$24,MATCH($B204,근로자명부!$A$5:$A$24,0)))),"")</f>
        <v/>
      </c>
      <c r="G204" s="30">
        <f>IF(OR($A204="",$B204=""),"",COUNTIFS(근태기록!$C$5:$C$2004,$B204,근태기록!$A$5:$A$2004,"&gt;="&amp;$A204,근태기록!$A$5:$A$2004,"&lt;="&amp;EOMONTH($A204,0),근태기록!$H$5:$H$2004,"&gt;0"))</f>
        <v/>
      </c>
      <c r="H204" s="33">
        <f>IF(OR($A204="",$B204=""),"",SUMIFS(근태기록!$H$5:$H$2004,근태기록!$C$5:$C$2004,$B204,근태기록!$A$5:$A$2004,"&gt;="&amp;$A204,근태기록!$A$5:$A$2004,"&lt;="&amp;EOMONTH($A204,0)))</f>
        <v/>
      </c>
      <c r="I204" s="33">
        <f>IF(OR($A204="",$B204=""),"",SUMIFS(근태기록!$I$5:$I$2004,근태기록!$C$5:$C$2004,$B204,근태기록!$A$5:$A$2004,"&gt;="&amp;$A204,근태기록!$A$5:$A$2004,"&lt;="&amp;EOMONTH($A204,0)))</f>
        <v/>
      </c>
      <c r="J204" s="33">
        <f>IF(OR($A204="",$B204=""),"",SUMIFS(근태기록!$J$5:$J$2004,근태기록!$C$5:$C$2004,$B204,근태기록!$A$5:$A$2004,"&gt;="&amp;$A204,근태기록!$A$5:$A$2004,"&lt;="&amp;EOMONTH($A204,0)))</f>
        <v/>
      </c>
      <c r="K204" s="33">
        <f>IF(OR($A204="",$B204=""),"",SUMIFS(근태기록!$H$5:$H$2004,근태기록!$C$5:$C$2004,$B204,근태기록!$A$5:$A$2004,"&gt;="&amp;$A204,근태기록!$A$5:$A$2004,"&lt;="&amp;EOMONTH($A204,0),근태기록!$L$5:$L$2004,"휴일근로"))</f>
        <v/>
      </c>
      <c r="L204" s="20" t="n"/>
      <c r="M204" s="20" t="n"/>
      <c r="N204" s="20" t="n"/>
      <c r="O204" s="20" t="n"/>
      <c r="P204" s="15">
        <f>IF(OR($A204="",$B204=""),"",SUM(L204:O204))</f>
        <v/>
      </c>
      <c r="Q204" s="20" t="n"/>
      <c r="R204" s="20" t="n"/>
      <c r="S204" s="20" t="n"/>
      <c r="T204" s="20" t="n"/>
      <c r="U204" s="20" t="n"/>
      <c r="V204" s="20" t="n"/>
      <c r="W204" s="15">
        <f>IF(OR($A204="",$B204=""),"",SUM(Q204:V204))</f>
        <v/>
      </c>
      <c r="X204" s="15">
        <f>IF(OR($A204="",$B204=""),"",N(P204)-N(W204))</f>
        <v/>
      </c>
    </row>
    <row r="205">
      <c r="A205" s="43" t="n"/>
      <c r="B205" s="18" t="n"/>
      <c r="C205" s="25">
        <f>IFERROR(IF($B205="","",IF(INDEX(직원명부!$B$5:$B$24,MATCH($B205,직원명부!$A$5:$A$24,0))=0,"",INDEX(직원명부!$B$5:$B$24,MATCH($B205,직원명부!$A$5:$A$24,0)))),"사번 확인")</f>
        <v/>
      </c>
      <c r="D205" s="26">
        <f>IFERROR(IF($B205="","",IF(INDEX(근로자명부!$D$5:$D$24,MATCH($B205,근로자명부!$A$5:$A$24,0))=0,"",INDEX(근로자명부!$D$5:$D$24,MATCH($B205,근로자명부!$A$5:$A$24,0)))),"")</f>
        <v/>
      </c>
      <c r="E205" s="26">
        <f>IFERROR(IF($B205="","",IF(INDEX(직원명부!$C$5:$C$24,MATCH($B205,직원명부!$A$5:$A$24,0))=0,"",INDEX(직원명부!$C$5:$C$24,MATCH($B205,직원명부!$A$5:$A$24,0)))),"")</f>
        <v/>
      </c>
      <c r="F205" s="44">
        <f>IFERROR(IF($B205="","",IF(INDEX(근로자명부!$G$5:$G$24,MATCH($B205,근로자명부!$A$5:$A$24,0))=0,"",INDEX(근로자명부!$G$5:$G$24,MATCH($B205,근로자명부!$A$5:$A$24,0)))),"")</f>
        <v/>
      </c>
      <c r="G205" s="30">
        <f>IF(OR($A205="",$B205=""),"",COUNTIFS(근태기록!$C$5:$C$2004,$B205,근태기록!$A$5:$A$2004,"&gt;="&amp;$A205,근태기록!$A$5:$A$2004,"&lt;="&amp;EOMONTH($A205,0),근태기록!$H$5:$H$2004,"&gt;0"))</f>
        <v/>
      </c>
      <c r="H205" s="33">
        <f>IF(OR($A205="",$B205=""),"",SUMIFS(근태기록!$H$5:$H$2004,근태기록!$C$5:$C$2004,$B205,근태기록!$A$5:$A$2004,"&gt;="&amp;$A205,근태기록!$A$5:$A$2004,"&lt;="&amp;EOMONTH($A205,0)))</f>
        <v/>
      </c>
      <c r="I205" s="33">
        <f>IF(OR($A205="",$B205=""),"",SUMIFS(근태기록!$I$5:$I$2004,근태기록!$C$5:$C$2004,$B205,근태기록!$A$5:$A$2004,"&gt;="&amp;$A205,근태기록!$A$5:$A$2004,"&lt;="&amp;EOMONTH($A205,0)))</f>
        <v/>
      </c>
      <c r="J205" s="33">
        <f>IF(OR($A205="",$B205=""),"",SUMIFS(근태기록!$J$5:$J$2004,근태기록!$C$5:$C$2004,$B205,근태기록!$A$5:$A$2004,"&gt;="&amp;$A205,근태기록!$A$5:$A$2004,"&lt;="&amp;EOMONTH($A205,0)))</f>
        <v/>
      </c>
      <c r="K205" s="33">
        <f>IF(OR($A205="",$B205=""),"",SUMIFS(근태기록!$H$5:$H$2004,근태기록!$C$5:$C$2004,$B205,근태기록!$A$5:$A$2004,"&gt;="&amp;$A205,근태기록!$A$5:$A$2004,"&lt;="&amp;EOMONTH($A205,0),근태기록!$L$5:$L$2004,"휴일근로"))</f>
        <v/>
      </c>
      <c r="L205" s="20" t="n"/>
      <c r="M205" s="20" t="n"/>
      <c r="N205" s="20" t="n"/>
      <c r="O205" s="20" t="n"/>
      <c r="P205" s="15">
        <f>IF(OR($A205="",$B205=""),"",SUM(L205:O205))</f>
        <v/>
      </c>
      <c r="Q205" s="20" t="n"/>
      <c r="R205" s="20" t="n"/>
      <c r="S205" s="20" t="n"/>
      <c r="T205" s="20" t="n"/>
      <c r="U205" s="20" t="n"/>
      <c r="V205" s="20" t="n"/>
      <c r="W205" s="15">
        <f>IF(OR($A205="",$B205=""),"",SUM(Q205:V205))</f>
        <v/>
      </c>
      <c r="X205" s="15">
        <f>IF(OR($A205="",$B205=""),"",N(P205)-N(W205))</f>
        <v/>
      </c>
    </row>
    <row r="206">
      <c r="A206" s="43" t="n"/>
      <c r="B206" s="18" t="n"/>
      <c r="C206" s="25">
        <f>IFERROR(IF($B206="","",IF(INDEX(직원명부!$B$5:$B$24,MATCH($B206,직원명부!$A$5:$A$24,0))=0,"",INDEX(직원명부!$B$5:$B$24,MATCH($B206,직원명부!$A$5:$A$24,0)))),"사번 확인")</f>
        <v/>
      </c>
      <c r="D206" s="26">
        <f>IFERROR(IF($B206="","",IF(INDEX(근로자명부!$D$5:$D$24,MATCH($B206,근로자명부!$A$5:$A$24,0))=0,"",INDEX(근로자명부!$D$5:$D$24,MATCH($B206,근로자명부!$A$5:$A$24,0)))),"")</f>
        <v/>
      </c>
      <c r="E206" s="26">
        <f>IFERROR(IF($B206="","",IF(INDEX(직원명부!$C$5:$C$24,MATCH($B206,직원명부!$A$5:$A$24,0))=0,"",INDEX(직원명부!$C$5:$C$24,MATCH($B206,직원명부!$A$5:$A$24,0)))),"")</f>
        <v/>
      </c>
      <c r="F206" s="44">
        <f>IFERROR(IF($B206="","",IF(INDEX(근로자명부!$G$5:$G$24,MATCH($B206,근로자명부!$A$5:$A$24,0))=0,"",INDEX(근로자명부!$G$5:$G$24,MATCH($B206,근로자명부!$A$5:$A$24,0)))),"")</f>
        <v/>
      </c>
      <c r="G206" s="30">
        <f>IF(OR($A206="",$B206=""),"",COUNTIFS(근태기록!$C$5:$C$2004,$B206,근태기록!$A$5:$A$2004,"&gt;="&amp;$A206,근태기록!$A$5:$A$2004,"&lt;="&amp;EOMONTH($A206,0),근태기록!$H$5:$H$2004,"&gt;0"))</f>
        <v/>
      </c>
      <c r="H206" s="33">
        <f>IF(OR($A206="",$B206=""),"",SUMIFS(근태기록!$H$5:$H$2004,근태기록!$C$5:$C$2004,$B206,근태기록!$A$5:$A$2004,"&gt;="&amp;$A206,근태기록!$A$5:$A$2004,"&lt;="&amp;EOMONTH($A206,0)))</f>
        <v/>
      </c>
      <c r="I206" s="33">
        <f>IF(OR($A206="",$B206=""),"",SUMIFS(근태기록!$I$5:$I$2004,근태기록!$C$5:$C$2004,$B206,근태기록!$A$5:$A$2004,"&gt;="&amp;$A206,근태기록!$A$5:$A$2004,"&lt;="&amp;EOMONTH($A206,0)))</f>
        <v/>
      </c>
      <c r="J206" s="33">
        <f>IF(OR($A206="",$B206=""),"",SUMIFS(근태기록!$J$5:$J$2004,근태기록!$C$5:$C$2004,$B206,근태기록!$A$5:$A$2004,"&gt;="&amp;$A206,근태기록!$A$5:$A$2004,"&lt;="&amp;EOMONTH($A206,0)))</f>
        <v/>
      </c>
      <c r="K206" s="33">
        <f>IF(OR($A206="",$B206=""),"",SUMIFS(근태기록!$H$5:$H$2004,근태기록!$C$5:$C$2004,$B206,근태기록!$A$5:$A$2004,"&gt;="&amp;$A206,근태기록!$A$5:$A$2004,"&lt;="&amp;EOMONTH($A206,0),근태기록!$L$5:$L$2004,"휴일근로"))</f>
        <v/>
      </c>
      <c r="L206" s="20" t="n"/>
      <c r="M206" s="20" t="n"/>
      <c r="N206" s="20" t="n"/>
      <c r="O206" s="20" t="n"/>
      <c r="P206" s="15">
        <f>IF(OR($A206="",$B206=""),"",SUM(L206:O206))</f>
        <v/>
      </c>
      <c r="Q206" s="20" t="n"/>
      <c r="R206" s="20" t="n"/>
      <c r="S206" s="20" t="n"/>
      <c r="T206" s="20" t="n"/>
      <c r="U206" s="20" t="n"/>
      <c r="V206" s="20" t="n"/>
      <c r="W206" s="15">
        <f>IF(OR($A206="",$B206=""),"",SUM(Q206:V206))</f>
        <v/>
      </c>
      <c r="X206" s="15">
        <f>IF(OR($A206="",$B206=""),"",N(P206)-N(W206))</f>
        <v/>
      </c>
    </row>
    <row r="207">
      <c r="A207" s="43" t="n"/>
      <c r="B207" s="18" t="n"/>
      <c r="C207" s="25">
        <f>IFERROR(IF($B207="","",IF(INDEX(직원명부!$B$5:$B$24,MATCH($B207,직원명부!$A$5:$A$24,0))=0,"",INDEX(직원명부!$B$5:$B$24,MATCH($B207,직원명부!$A$5:$A$24,0)))),"사번 확인")</f>
        <v/>
      </c>
      <c r="D207" s="26">
        <f>IFERROR(IF($B207="","",IF(INDEX(근로자명부!$D$5:$D$24,MATCH($B207,근로자명부!$A$5:$A$24,0))=0,"",INDEX(근로자명부!$D$5:$D$24,MATCH($B207,근로자명부!$A$5:$A$24,0)))),"")</f>
        <v/>
      </c>
      <c r="E207" s="26">
        <f>IFERROR(IF($B207="","",IF(INDEX(직원명부!$C$5:$C$24,MATCH($B207,직원명부!$A$5:$A$24,0))=0,"",INDEX(직원명부!$C$5:$C$24,MATCH($B207,직원명부!$A$5:$A$24,0)))),"")</f>
        <v/>
      </c>
      <c r="F207" s="44">
        <f>IFERROR(IF($B207="","",IF(INDEX(근로자명부!$G$5:$G$24,MATCH($B207,근로자명부!$A$5:$A$24,0))=0,"",INDEX(근로자명부!$G$5:$G$24,MATCH($B207,근로자명부!$A$5:$A$24,0)))),"")</f>
        <v/>
      </c>
      <c r="G207" s="30">
        <f>IF(OR($A207="",$B207=""),"",COUNTIFS(근태기록!$C$5:$C$2004,$B207,근태기록!$A$5:$A$2004,"&gt;="&amp;$A207,근태기록!$A$5:$A$2004,"&lt;="&amp;EOMONTH($A207,0),근태기록!$H$5:$H$2004,"&gt;0"))</f>
        <v/>
      </c>
      <c r="H207" s="33">
        <f>IF(OR($A207="",$B207=""),"",SUMIFS(근태기록!$H$5:$H$2004,근태기록!$C$5:$C$2004,$B207,근태기록!$A$5:$A$2004,"&gt;="&amp;$A207,근태기록!$A$5:$A$2004,"&lt;="&amp;EOMONTH($A207,0)))</f>
        <v/>
      </c>
      <c r="I207" s="33">
        <f>IF(OR($A207="",$B207=""),"",SUMIFS(근태기록!$I$5:$I$2004,근태기록!$C$5:$C$2004,$B207,근태기록!$A$5:$A$2004,"&gt;="&amp;$A207,근태기록!$A$5:$A$2004,"&lt;="&amp;EOMONTH($A207,0)))</f>
        <v/>
      </c>
      <c r="J207" s="33">
        <f>IF(OR($A207="",$B207=""),"",SUMIFS(근태기록!$J$5:$J$2004,근태기록!$C$5:$C$2004,$B207,근태기록!$A$5:$A$2004,"&gt;="&amp;$A207,근태기록!$A$5:$A$2004,"&lt;="&amp;EOMONTH($A207,0)))</f>
        <v/>
      </c>
      <c r="K207" s="33">
        <f>IF(OR($A207="",$B207=""),"",SUMIFS(근태기록!$H$5:$H$2004,근태기록!$C$5:$C$2004,$B207,근태기록!$A$5:$A$2004,"&gt;="&amp;$A207,근태기록!$A$5:$A$2004,"&lt;="&amp;EOMONTH($A207,0),근태기록!$L$5:$L$2004,"휴일근로"))</f>
        <v/>
      </c>
      <c r="L207" s="20" t="n"/>
      <c r="M207" s="20" t="n"/>
      <c r="N207" s="20" t="n"/>
      <c r="O207" s="20" t="n"/>
      <c r="P207" s="15">
        <f>IF(OR($A207="",$B207=""),"",SUM(L207:O207))</f>
        <v/>
      </c>
      <c r="Q207" s="20" t="n"/>
      <c r="R207" s="20" t="n"/>
      <c r="S207" s="20" t="n"/>
      <c r="T207" s="20" t="n"/>
      <c r="U207" s="20" t="n"/>
      <c r="V207" s="20" t="n"/>
      <c r="W207" s="15">
        <f>IF(OR($A207="",$B207=""),"",SUM(Q207:V207))</f>
        <v/>
      </c>
      <c r="X207" s="15">
        <f>IF(OR($A207="",$B207=""),"",N(P207)-N(W207))</f>
        <v/>
      </c>
    </row>
    <row r="208">
      <c r="A208" s="43" t="n"/>
      <c r="B208" s="18" t="n"/>
      <c r="C208" s="25">
        <f>IFERROR(IF($B208="","",IF(INDEX(직원명부!$B$5:$B$24,MATCH($B208,직원명부!$A$5:$A$24,0))=0,"",INDEX(직원명부!$B$5:$B$24,MATCH($B208,직원명부!$A$5:$A$24,0)))),"사번 확인")</f>
        <v/>
      </c>
      <c r="D208" s="26">
        <f>IFERROR(IF($B208="","",IF(INDEX(근로자명부!$D$5:$D$24,MATCH($B208,근로자명부!$A$5:$A$24,0))=0,"",INDEX(근로자명부!$D$5:$D$24,MATCH($B208,근로자명부!$A$5:$A$24,0)))),"")</f>
        <v/>
      </c>
      <c r="E208" s="26">
        <f>IFERROR(IF($B208="","",IF(INDEX(직원명부!$C$5:$C$24,MATCH($B208,직원명부!$A$5:$A$24,0))=0,"",INDEX(직원명부!$C$5:$C$24,MATCH($B208,직원명부!$A$5:$A$24,0)))),"")</f>
        <v/>
      </c>
      <c r="F208" s="44">
        <f>IFERROR(IF($B208="","",IF(INDEX(근로자명부!$G$5:$G$24,MATCH($B208,근로자명부!$A$5:$A$24,0))=0,"",INDEX(근로자명부!$G$5:$G$24,MATCH($B208,근로자명부!$A$5:$A$24,0)))),"")</f>
        <v/>
      </c>
      <c r="G208" s="30">
        <f>IF(OR($A208="",$B208=""),"",COUNTIFS(근태기록!$C$5:$C$2004,$B208,근태기록!$A$5:$A$2004,"&gt;="&amp;$A208,근태기록!$A$5:$A$2004,"&lt;="&amp;EOMONTH($A208,0),근태기록!$H$5:$H$2004,"&gt;0"))</f>
        <v/>
      </c>
      <c r="H208" s="33">
        <f>IF(OR($A208="",$B208=""),"",SUMIFS(근태기록!$H$5:$H$2004,근태기록!$C$5:$C$2004,$B208,근태기록!$A$5:$A$2004,"&gt;="&amp;$A208,근태기록!$A$5:$A$2004,"&lt;="&amp;EOMONTH($A208,0)))</f>
        <v/>
      </c>
      <c r="I208" s="33">
        <f>IF(OR($A208="",$B208=""),"",SUMIFS(근태기록!$I$5:$I$2004,근태기록!$C$5:$C$2004,$B208,근태기록!$A$5:$A$2004,"&gt;="&amp;$A208,근태기록!$A$5:$A$2004,"&lt;="&amp;EOMONTH($A208,0)))</f>
        <v/>
      </c>
      <c r="J208" s="33">
        <f>IF(OR($A208="",$B208=""),"",SUMIFS(근태기록!$J$5:$J$2004,근태기록!$C$5:$C$2004,$B208,근태기록!$A$5:$A$2004,"&gt;="&amp;$A208,근태기록!$A$5:$A$2004,"&lt;="&amp;EOMONTH($A208,0)))</f>
        <v/>
      </c>
      <c r="K208" s="33">
        <f>IF(OR($A208="",$B208=""),"",SUMIFS(근태기록!$H$5:$H$2004,근태기록!$C$5:$C$2004,$B208,근태기록!$A$5:$A$2004,"&gt;="&amp;$A208,근태기록!$A$5:$A$2004,"&lt;="&amp;EOMONTH($A208,0),근태기록!$L$5:$L$2004,"휴일근로"))</f>
        <v/>
      </c>
      <c r="L208" s="20" t="n"/>
      <c r="M208" s="20" t="n"/>
      <c r="N208" s="20" t="n"/>
      <c r="O208" s="20" t="n"/>
      <c r="P208" s="15">
        <f>IF(OR($A208="",$B208=""),"",SUM(L208:O208))</f>
        <v/>
      </c>
      <c r="Q208" s="20" t="n"/>
      <c r="R208" s="20" t="n"/>
      <c r="S208" s="20" t="n"/>
      <c r="T208" s="20" t="n"/>
      <c r="U208" s="20" t="n"/>
      <c r="V208" s="20" t="n"/>
      <c r="W208" s="15">
        <f>IF(OR($A208="",$B208=""),"",SUM(Q208:V208))</f>
        <v/>
      </c>
      <c r="X208" s="15">
        <f>IF(OR($A208="",$B208=""),"",N(P208)-N(W208))</f>
        <v/>
      </c>
    </row>
    <row r="209">
      <c r="A209" s="43" t="n"/>
      <c r="B209" s="18" t="n"/>
      <c r="C209" s="25">
        <f>IFERROR(IF($B209="","",IF(INDEX(직원명부!$B$5:$B$24,MATCH($B209,직원명부!$A$5:$A$24,0))=0,"",INDEX(직원명부!$B$5:$B$24,MATCH($B209,직원명부!$A$5:$A$24,0)))),"사번 확인")</f>
        <v/>
      </c>
      <c r="D209" s="26">
        <f>IFERROR(IF($B209="","",IF(INDEX(근로자명부!$D$5:$D$24,MATCH($B209,근로자명부!$A$5:$A$24,0))=0,"",INDEX(근로자명부!$D$5:$D$24,MATCH($B209,근로자명부!$A$5:$A$24,0)))),"")</f>
        <v/>
      </c>
      <c r="E209" s="26">
        <f>IFERROR(IF($B209="","",IF(INDEX(직원명부!$C$5:$C$24,MATCH($B209,직원명부!$A$5:$A$24,0))=0,"",INDEX(직원명부!$C$5:$C$24,MATCH($B209,직원명부!$A$5:$A$24,0)))),"")</f>
        <v/>
      </c>
      <c r="F209" s="44">
        <f>IFERROR(IF($B209="","",IF(INDEX(근로자명부!$G$5:$G$24,MATCH($B209,근로자명부!$A$5:$A$24,0))=0,"",INDEX(근로자명부!$G$5:$G$24,MATCH($B209,근로자명부!$A$5:$A$24,0)))),"")</f>
        <v/>
      </c>
      <c r="G209" s="30">
        <f>IF(OR($A209="",$B209=""),"",COUNTIFS(근태기록!$C$5:$C$2004,$B209,근태기록!$A$5:$A$2004,"&gt;="&amp;$A209,근태기록!$A$5:$A$2004,"&lt;="&amp;EOMONTH($A209,0),근태기록!$H$5:$H$2004,"&gt;0"))</f>
        <v/>
      </c>
      <c r="H209" s="33">
        <f>IF(OR($A209="",$B209=""),"",SUMIFS(근태기록!$H$5:$H$2004,근태기록!$C$5:$C$2004,$B209,근태기록!$A$5:$A$2004,"&gt;="&amp;$A209,근태기록!$A$5:$A$2004,"&lt;="&amp;EOMONTH($A209,0)))</f>
        <v/>
      </c>
      <c r="I209" s="33">
        <f>IF(OR($A209="",$B209=""),"",SUMIFS(근태기록!$I$5:$I$2004,근태기록!$C$5:$C$2004,$B209,근태기록!$A$5:$A$2004,"&gt;="&amp;$A209,근태기록!$A$5:$A$2004,"&lt;="&amp;EOMONTH($A209,0)))</f>
        <v/>
      </c>
      <c r="J209" s="33">
        <f>IF(OR($A209="",$B209=""),"",SUMIFS(근태기록!$J$5:$J$2004,근태기록!$C$5:$C$2004,$B209,근태기록!$A$5:$A$2004,"&gt;="&amp;$A209,근태기록!$A$5:$A$2004,"&lt;="&amp;EOMONTH($A209,0)))</f>
        <v/>
      </c>
      <c r="K209" s="33">
        <f>IF(OR($A209="",$B209=""),"",SUMIFS(근태기록!$H$5:$H$2004,근태기록!$C$5:$C$2004,$B209,근태기록!$A$5:$A$2004,"&gt;="&amp;$A209,근태기록!$A$5:$A$2004,"&lt;="&amp;EOMONTH($A209,0),근태기록!$L$5:$L$2004,"휴일근로"))</f>
        <v/>
      </c>
      <c r="L209" s="20" t="n"/>
      <c r="M209" s="20" t="n"/>
      <c r="N209" s="20" t="n"/>
      <c r="O209" s="20" t="n"/>
      <c r="P209" s="15">
        <f>IF(OR($A209="",$B209=""),"",SUM(L209:O209))</f>
        <v/>
      </c>
      <c r="Q209" s="20" t="n"/>
      <c r="R209" s="20" t="n"/>
      <c r="S209" s="20" t="n"/>
      <c r="T209" s="20" t="n"/>
      <c r="U209" s="20" t="n"/>
      <c r="V209" s="20" t="n"/>
      <c r="W209" s="15">
        <f>IF(OR($A209="",$B209=""),"",SUM(Q209:V209))</f>
        <v/>
      </c>
      <c r="X209" s="15">
        <f>IF(OR($A209="",$B209=""),"",N(P209)-N(W209))</f>
        <v/>
      </c>
    </row>
    <row r="210">
      <c r="A210" s="43" t="n"/>
      <c r="B210" s="18" t="n"/>
      <c r="C210" s="25">
        <f>IFERROR(IF($B210="","",IF(INDEX(직원명부!$B$5:$B$24,MATCH($B210,직원명부!$A$5:$A$24,0))=0,"",INDEX(직원명부!$B$5:$B$24,MATCH($B210,직원명부!$A$5:$A$24,0)))),"사번 확인")</f>
        <v/>
      </c>
      <c r="D210" s="26">
        <f>IFERROR(IF($B210="","",IF(INDEX(근로자명부!$D$5:$D$24,MATCH($B210,근로자명부!$A$5:$A$24,0))=0,"",INDEX(근로자명부!$D$5:$D$24,MATCH($B210,근로자명부!$A$5:$A$24,0)))),"")</f>
        <v/>
      </c>
      <c r="E210" s="26">
        <f>IFERROR(IF($B210="","",IF(INDEX(직원명부!$C$5:$C$24,MATCH($B210,직원명부!$A$5:$A$24,0))=0,"",INDEX(직원명부!$C$5:$C$24,MATCH($B210,직원명부!$A$5:$A$24,0)))),"")</f>
        <v/>
      </c>
      <c r="F210" s="44">
        <f>IFERROR(IF($B210="","",IF(INDEX(근로자명부!$G$5:$G$24,MATCH($B210,근로자명부!$A$5:$A$24,0))=0,"",INDEX(근로자명부!$G$5:$G$24,MATCH($B210,근로자명부!$A$5:$A$24,0)))),"")</f>
        <v/>
      </c>
      <c r="G210" s="30">
        <f>IF(OR($A210="",$B210=""),"",COUNTIFS(근태기록!$C$5:$C$2004,$B210,근태기록!$A$5:$A$2004,"&gt;="&amp;$A210,근태기록!$A$5:$A$2004,"&lt;="&amp;EOMONTH($A210,0),근태기록!$H$5:$H$2004,"&gt;0"))</f>
        <v/>
      </c>
      <c r="H210" s="33">
        <f>IF(OR($A210="",$B210=""),"",SUMIFS(근태기록!$H$5:$H$2004,근태기록!$C$5:$C$2004,$B210,근태기록!$A$5:$A$2004,"&gt;="&amp;$A210,근태기록!$A$5:$A$2004,"&lt;="&amp;EOMONTH($A210,0)))</f>
        <v/>
      </c>
      <c r="I210" s="33">
        <f>IF(OR($A210="",$B210=""),"",SUMIFS(근태기록!$I$5:$I$2004,근태기록!$C$5:$C$2004,$B210,근태기록!$A$5:$A$2004,"&gt;="&amp;$A210,근태기록!$A$5:$A$2004,"&lt;="&amp;EOMONTH($A210,0)))</f>
        <v/>
      </c>
      <c r="J210" s="33">
        <f>IF(OR($A210="",$B210=""),"",SUMIFS(근태기록!$J$5:$J$2004,근태기록!$C$5:$C$2004,$B210,근태기록!$A$5:$A$2004,"&gt;="&amp;$A210,근태기록!$A$5:$A$2004,"&lt;="&amp;EOMONTH($A210,0)))</f>
        <v/>
      </c>
      <c r="K210" s="33">
        <f>IF(OR($A210="",$B210=""),"",SUMIFS(근태기록!$H$5:$H$2004,근태기록!$C$5:$C$2004,$B210,근태기록!$A$5:$A$2004,"&gt;="&amp;$A210,근태기록!$A$5:$A$2004,"&lt;="&amp;EOMONTH($A210,0),근태기록!$L$5:$L$2004,"휴일근로"))</f>
        <v/>
      </c>
      <c r="L210" s="20" t="n"/>
      <c r="M210" s="20" t="n"/>
      <c r="N210" s="20" t="n"/>
      <c r="O210" s="20" t="n"/>
      <c r="P210" s="15">
        <f>IF(OR($A210="",$B210=""),"",SUM(L210:O210))</f>
        <v/>
      </c>
      <c r="Q210" s="20" t="n"/>
      <c r="R210" s="20" t="n"/>
      <c r="S210" s="20" t="n"/>
      <c r="T210" s="20" t="n"/>
      <c r="U210" s="20" t="n"/>
      <c r="V210" s="20" t="n"/>
      <c r="W210" s="15">
        <f>IF(OR($A210="",$B210=""),"",SUM(Q210:V210))</f>
        <v/>
      </c>
      <c r="X210" s="15">
        <f>IF(OR($A210="",$B210=""),"",N(P210)-N(W210))</f>
        <v/>
      </c>
    </row>
    <row r="211">
      <c r="A211" s="43" t="n"/>
      <c r="B211" s="18" t="n"/>
      <c r="C211" s="25">
        <f>IFERROR(IF($B211="","",IF(INDEX(직원명부!$B$5:$B$24,MATCH($B211,직원명부!$A$5:$A$24,0))=0,"",INDEX(직원명부!$B$5:$B$24,MATCH($B211,직원명부!$A$5:$A$24,0)))),"사번 확인")</f>
        <v/>
      </c>
      <c r="D211" s="26">
        <f>IFERROR(IF($B211="","",IF(INDEX(근로자명부!$D$5:$D$24,MATCH($B211,근로자명부!$A$5:$A$24,0))=0,"",INDEX(근로자명부!$D$5:$D$24,MATCH($B211,근로자명부!$A$5:$A$24,0)))),"")</f>
        <v/>
      </c>
      <c r="E211" s="26">
        <f>IFERROR(IF($B211="","",IF(INDEX(직원명부!$C$5:$C$24,MATCH($B211,직원명부!$A$5:$A$24,0))=0,"",INDEX(직원명부!$C$5:$C$24,MATCH($B211,직원명부!$A$5:$A$24,0)))),"")</f>
        <v/>
      </c>
      <c r="F211" s="44">
        <f>IFERROR(IF($B211="","",IF(INDEX(근로자명부!$G$5:$G$24,MATCH($B211,근로자명부!$A$5:$A$24,0))=0,"",INDEX(근로자명부!$G$5:$G$24,MATCH($B211,근로자명부!$A$5:$A$24,0)))),"")</f>
        <v/>
      </c>
      <c r="G211" s="30">
        <f>IF(OR($A211="",$B211=""),"",COUNTIFS(근태기록!$C$5:$C$2004,$B211,근태기록!$A$5:$A$2004,"&gt;="&amp;$A211,근태기록!$A$5:$A$2004,"&lt;="&amp;EOMONTH($A211,0),근태기록!$H$5:$H$2004,"&gt;0"))</f>
        <v/>
      </c>
      <c r="H211" s="33">
        <f>IF(OR($A211="",$B211=""),"",SUMIFS(근태기록!$H$5:$H$2004,근태기록!$C$5:$C$2004,$B211,근태기록!$A$5:$A$2004,"&gt;="&amp;$A211,근태기록!$A$5:$A$2004,"&lt;="&amp;EOMONTH($A211,0)))</f>
        <v/>
      </c>
      <c r="I211" s="33">
        <f>IF(OR($A211="",$B211=""),"",SUMIFS(근태기록!$I$5:$I$2004,근태기록!$C$5:$C$2004,$B211,근태기록!$A$5:$A$2004,"&gt;="&amp;$A211,근태기록!$A$5:$A$2004,"&lt;="&amp;EOMONTH($A211,0)))</f>
        <v/>
      </c>
      <c r="J211" s="33">
        <f>IF(OR($A211="",$B211=""),"",SUMIFS(근태기록!$J$5:$J$2004,근태기록!$C$5:$C$2004,$B211,근태기록!$A$5:$A$2004,"&gt;="&amp;$A211,근태기록!$A$5:$A$2004,"&lt;="&amp;EOMONTH($A211,0)))</f>
        <v/>
      </c>
      <c r="K211" s="33">
        <f>IF(OR($A211="",$B211=""),"",SUMIFS(근태기록!$H$5:$H$2004,근태기록!$C$5:$C$2004,$B211,근태기록!$A$5:$A$2004,"&gt;="&amp;$A211,근태기록!$A$5:$A$2004,"&lt;="&amp;EOMONTH($A211,0),근태기록!$L$5:$L$2004,"휴일근로"))</f>
        <v/>
      </c>
      <c r="L211" s="20" t="n"/>
      <c r="M211" s="20" t="n"/>
      <c r="N211" s="20" t="n"/>
      <c r="O211" s="20" t="n"/>
      <c r="P211" s="15">
        <f>IF(OR($A211="",$B211=""),"",SUM(L211:O211))</f>
        <v/>
      </c>
      <c r="Q211" s="20" t="n"/>
      <c r="R211" s="20" t="n"/>
      <c r="S211" s="20" t="n"/>
      <c r="T211" s="20" t="n"/>
      <c r="U211" s="20" t="n"/>
      <c r="V211" s="20" t="n"/>
      <c r="W211" s="15">
        <f>IF(OR($A211="",$B211=""),"",SUM(Q211:V211))</f>
        <v/>
      </c>
      <c r="X211" s="15">
        <f>IF(OR($A211="",$B211=""),"",N(P211)-N(W211))</f>
        <v/>
      </c>
    </row>
    <row r="212">
      <c r="A212" s="43" t="n"/>
      <c r="B212" s="18" t="n"/>
      <c r="C212" s="25">
        <f>IFERROR(IF($B212="","",IF(INDEX(직원명부!$B$5:$B$24,MATCH($B212,직원명부!$A$5:$A$24,0))=0,"",INDEX(직원명부!$B$5:$B$24,MATCH($B212,직원명부!$A$5:$A$24,0)))),"사번 확인")</f>
        <v/>
      </c>
      <c r="D212" s="26">
        <f>IFERROR(IF($B212="","",IF(INDEX(근로자명부!$D$5:$D$24,MATCH($B212,근로자명부!$A$5:$A$24,0))=0,"",INDEX(근로자명부!$D$5:$D$24,MATCH($B212,근로자명부!$A$5:$A$24,0)))),"")</f>
        <v/>
      </c>
      <c r="E212" s="26">
        <f>IFERROR(IF($B212="","",IF(INDEX(직원명부!$C$5:$C$24,MATCH($B212,직원명부!$A$5:$A$24,0))=0,"",INDEX(직원명부!$C$5:$C$24,MATCH($B212,직원명부!$A$5:$A$24,0)))),"")</f>
        <v/>
      </c>
      <c r="F212" s="44">
        <f>IFERROR(IF($B212="","",IF(INDEX(근로자명부!$G$5:$G$24,MATCH($B212,근로자명부!$A$5:$A$24,0))=0,"",INDEX(근로자명부!$G$5:$G$24,MATCH($B212,근로자명부!$A$5:$A$24,0)))),"")</f>
        <v/>
      </c>
      <c r="G212" s="30">
        <f>IF(OR($A212="",$B212=""),"",COUNTIFS(근태기록!$C$5:$C$2004,$B212,근태기록!$A$5:$A$2004,"&gt;="&amp;$A212,근태기록!$A$5:$A$2004,"&lt;="&amp;EOMONTH($A212,0),근태기록!$H$5:$H$2004,"&gt;0"))</f>
        <v/>
      </c>
      <c r="H212" s="33">
        <f>IF(OR($A212="",$B212=""),"",SUMIFS(근태기록!$H$5:$H$2004,근태기록!$C$5:$C$2004,$B212,근태기록!$A$5:$A$2004,"&gt;="&amp;$A212,근태기록!$A$5:$A$2004,"&lt;="&amp;EOMONTH($A212,0)))</f>
        <v/>
      </c>
      <c r="I212" s="33">
        <f>IF(OR($A212="",$B212=""),"",SUMIFS(근태기록!$I$5:$I$2004,근태기록!$C$5:$C$2004,$B212,근태기록!$A$5:$A$2004,"&gt;="&amp;$A212,근태기록!$A$5:$A$2004,"&lt;="&amp;EOMONTH($A212,0)))</f>
        <v/>
      </c>
      <c r="J212" s="33">
        <f>IF(OR($A212="",$B212=""),"",SUMIFS(근태기록!$J$5:$J$2004,근태기록!$C$5:$C$2004,$B212,근태기록!$A$5:$A$2004,"&gt;="&amp;$A212,근태기록!$A$5:$A$2004,"&lt;="&amp;EOMONTH($A212,0)))</f>
        <v/>
      </c>
      <c r="K212" s="33">
        <f>IF(OR($A212="",$B212=""),"",SUMIFS(근태기록!$H$5:$H$2004,근태기록!$C$5:$C$2004,$B212,근태기록!$A$5:$A$2004,"&gt;="&amp;$A212,근태기록!$A$5:$A$2004,"&lt;="&amp;EOMONTH($A212,0),근태기록!$L$5:$L$2004,"휴일근로"))</f>
        <v/>
      </c>
      <c r="L212" s="20" t="n"/>
      <c r="M212" s="20" t="n"/>
      <c r="N212" s="20" t="n"/>
      <c r="O212" s="20" t="n"/>
      <c r="P212" s="15">
        <f>IF(OR($A212="",$B212=""),"",SUM(L212:O212))</f>
        <v/>
      </c>
      <c r="Q212" s="20" t="n"/>
      <c r="R212" s="20" t="n"/>
      <c r="S212" s="20" t="n"/>
      <c r="T212" s="20" t="n"/>
      <c r="U212" s="20" t="n"/>
      <c r="V212" s="20" t="n"/>
      <c r="W212" s="15">
        <f>IF(OR($A212="",$B212=""),"",SUM(Q212:V212))</f>
        <v/>
      </c>
      <c r="X212" s="15">
        <f>IF(OR($A212="",$B212=""),"",N(P212)-N(W212))</f>
        <v/>
      </c>
    </row>
    <row r="213">
      <c r="A213" s="43" t="n"/>
      <c r="B213" s="18" t="n"/>
      <c r="C213" s="25">
        <f>IFERROR(IF($B213="","",IF(INDEX(직원명부!$B$5:$B$24,MATCH($B213,직원명부!$A$5:$A$24,0))=0,"",INDEX(직원명부!$B$5:$B$24,MATCH($B213,직원명부!$A$5:$A$24,0)))),"사번 확인")</f>
        <v/>
      </c>
      <c r="D213" s="26">
        <f>IFERROR(IF($B213="","",IF(INDEX(근로자명부!$D$5:$D$24,MATCH($B213,근로자명부!$A$5:$A$24,0))=0,"",INDEX(근로자명부!$D$5:$D$24,MATCH($B213,근로자명부!$A$5:$A$24,0)))),"")</f>
        <v/>
      </c>
      <c r="E213" s="26">
        <f>IFERROR(IF($B213="","",IF(INDEX(직원명부!$C$5:$C$24,MATCH($B213,직원명부!$A$5:$A$24,0))=0,"",INDEX(직원명부!$C$5:$C$24,MATCH($B213,직원명부!$A$5:$A$24,0)))),"")</f>
        <v/>
      </c>
      <c r="F213" s="44">
        <f>IFERROR(IF($B213="","",IF(INDEX(근로자명부!$G$5:$G$24,MATCH($B213,근로자명부!$A$5:$A$24,0))=0,"",INDEX(근로자명부!$G$5:$G$24,MATCH($B213,근로자명부!$A$5:$A$24,0)))),"")</f>
        <v/>
      </c>
      <c r="G213" s="30">
        <f>IF(OR($A213="",$B213=""),"",COUNTIFS(근태기록!$C$5:$C$2004,$B213,근태기록!$A$5:$A$2004,"&gt;="&amp;$A213,근태기록!$A$5:$A$2004,"&lt;="&amp;EOMONTH($A213,0),근태기록!$H$5:$H$2004,"&gt;0"))</f>
        <v/>
      </c>
      <c r="H213" s="33">
        <f>IF(OR($A213="",$B213=""),"",SUMIFS(근태기록!$H$5:$H$2004,근태기록!$C$5:$C$2004,$B213,근태기록!$A$5:$A$2004,"&gt;="&amp;$A213,근태기록!$A$5:$A$2004,"&lt;="&amp;EOMONTH($A213,0)))</f>
        <v/>
      </c>
      <c r="I213" s="33">
        <f>IF(OR($A213="",$B213=""),"",SUMIFS(근태기록!$I$5:$I$2004,근태기록!$C$5:$C$2004,$B213,근태기록!$A$5:$A$2004,"&gt;="&amp;$A213,근태기록!$A$5:$A$2004,"&lt;="&amp;EOMONTH($A213,0)))</f>
        <v/>
      </c>
      <c r="J213" s="33">
        <f>IF(OR($A213="",$B213=""),"",SUMIFS(근태기록!$J$5:$J$2004,근태기록!$C$5:$C$2004,$B213,근태기록!$A$5:$A$2004,"&gt;="&amp;$A213,근태기록!$A$5:$A$2004,"&lt;="&amp;EOMONTH($A213,0)))</f>
        <v/>
      </c>
      <c r="K213" s="33">
        <f>IF(OR($A213="",$B213=""),"",SUMIFS(근태기록!$H$5:$H$2004,근태기록!$C$5:$C$2004,$B213,근태기록!$A$5:$A$2004,"&gt;="&amp;$A213,근태기록!$A$5:$A$2004,"&lt;="&amp;EOMONTH($A213,0),근태기록!$L$5:$L$2004,"휴일근로"))</f>
        <v/>
      </c>
      <c r="L213" s="20" t="n"/>
      <c r="M213" s="20" t="n"/>
      <c r="N213" s="20" t="n"/>
      <c r="O213" s="20" t="n"/>
      <c r="P213" s="15">
        <f>IF(OR($A213="",$B213=""),"",SUM(L213:O213))</f>
        <v/>
      </c>
      <c r="Q213" s="20" t="n"/>
      <c r="R213" s="20" t="n"/>
      <c r="S213" s="20" t="n"/>
      <c r="T213" s="20" t="n"/>
      <c r="U213" s="20" t="n"/>
      <c r="V213" s="20" t="n"/>
      <c r="W213" s="15">
        <f>IF(OR($A213="",$B213=""),"",SUM(Q213:V213))</f>
        <v/>
      </c>
      <c r="X213" s="15">
        <f>IF(OR($A213="",$B213=""),"",N(P213)-N(W213))</f>
        <v/>
      </c>
    </row>
    <row r="214">
      <c r="A214" s="43" t="n"/>
      <c r="B214" s="18" t="n"/>
      <c r="C214" s="25">
        <f>IFERROR(IF($B214="","",IF(INDEX(직원명부!$B$5:$B$24,MATCH($B214,직원명부!$A$5:$A$24,0))=0,"",INDEX(직원명부!$B$5:$B$24,MATCH($B214,직원명부!$A$5:$A$24,0)))),"사번 확인")</f>
        <v/>
      </c>
      <c r="D214" s="26">
        <f>IFERROR(IF($B214="","",IF(INDEX(근로자명부!$D$5:$D$24,MATCH($B214,근로자명부!$A$5:$A$24,0))=0,"",INDEX(근로자명부!$D$5:$D$24,MATCH($B214,근로자명부!$A$5:$A$24,0)))),"")</f>
        <v/>
      </c>
      <c r="E214" s="26">
        <f>IFERROR(IF($B214="","",IF(INDEX(직원명부!$C$5:$C$24,MATCH($B214,직원명부!$A$5:$A$24,0))=0,"",INDEX(직원명부!$C$5:$C$24,MATCH($B214,직원명부!$A$5:$A$24,0)))),"")</f>
        <v/>
      </c>
      <c r="F214" s="44">
        <f>IFERROR(IF($B214="","",IF(INDEX(근로자명부!$G$5:$G$24,MATCH($B214,근로자명부!$A$5:$A$24,0))=0,"",INDEX(근로자명부!$G$5:$G$24,MATCH($B214,근로자명부!$A$5:$A$24,0)))),"")</f>
        <v/>
      </c>
      <c r="G214" s="30">
        <f>IF(OR($A214="",$B214=""),"",COUNTIFS(근태기록!$C$5:$C$2004,$B214,근태기록!$A$5:$A$2004,"&gt;="&amp;$A214,근태기록!$A$5:$A$2004,"&lt;="&amp;EOMONTH($A214,0),근태기록!$H$5:$H$2004,"&gt;0"))</f>
        <v/>
      </c>
      <c r="H214" s="33">
        <f>IF(OR($A214="",$B214=""),"",SUMIFS(근태기록!$H$5:$H$2004,근태기록!$C$5:$C$2004,$B214,근태기록!$A$5:$A$2004,"&gt;="&amp;$A214,근태기록!$A$5:$A$2004,"&lt;="&amp;EOMONTH($A214,0)))</f>
        <v/>
      </c>
      <c r="I214" s="33">
        <f>IF(OR($A214="",$B214=""),"",SUMIFS(근태기록!$I$5:$I$2004,근태기록!$C$5:$C$2004,$B214,근태기록!$A$5:$A$2004,"&gt;="&amp;$A214,근태기록!$A$5:$A$2004,"&lt;="&amp;EOMONTH($A214,0)))</f>
        <v/>
      </c>
      <c r="J214" s="33">
        <f>IF(OR($A214="",$B214=""),"",SUMIFS(근태기록!$J$5:$J$2004,근태기록!$C$5:$C$2004,$B214,근태기록!$A$5:$A$2004,"&gt;="&amp;$A214,근태기록!$A$5:$A$2004,"&lt;="&amp;EOMONTH($A214,0)))</f>
        <v/>
      </c>
      <c r="K214" s="33">
        <f>IF(OR($A214="",$B214=""),"",SUMIFS(근태기록!$H$5:$H$2004,근태기록!$C$5:$C$2004,$B214,근태기록!$A$5:$A$2004,"&gt;="&amp;$A214,근태기록!$A$5:$A$2004,"&lt;="&amp;EOMONTH($A214,0),근태기록!$L$5:$L$2004,"휴일근로"))</f>
        <v/>
      </c>
      <c r="L214" s="20" t="n"/>
      <c r="M214" s="20" t="n"/>
      <c r="N214" s="20" t="n"/>
      <c r="O214" s="20" t="n"/>
      <c r="P214" s="15">
        <f>IF(OR($A214="",$B214=""),"",SUM(L214:O214))</f>
        <v/>
      </c>
      <c r="Q214" s="20" t="n"/>
      <c r="R214" s="20" t="n"/>
      <c r="S214" s="20" t="n"/>
      <c r="T214" s="20" t="n"/>
      <c r="U214" s="20" t="n"/>
      <c r="V214" s="20" t="n"/>
      <c r="W214" s="15">
        <f>IF(OR($A214="",$B214=""),"",SUM(Q214:V214))</f>
        <v/>
      </c>
      <c r="X214" s="15">
        <f>IF(OR($A214="",$B214=""),"",N(P214)-N(W214))</f>
        <v/>
      </c>
    </row>
    <row r="215">
      <c r="A215" s="43" t="n"/>
      <c r="B215" s="18" t="n"/>
      <c r="C215" s="25">
        <f>IFERROR(IF($B215="","",IF(INDEX(직원명부!$B$5:$B$24,MATCH($B215,직원명부!$A$5:$A$24,0))=0,"",INDEX(직원명부!$B$5:$B$24,MATCH($B215,직원명부!$A$5:$A$24,0)))),"사번 확인")</f>
        <v/>
      </c>
      <c r="D215" s="26">
        <f>IFERROR(IF($B215="","",IF(INDEX(근로자명부!$D$5:$D$24,MATCH($B215,근로자명부!$A$5:$A$24,0))=0,"",INDEX(근로자명부!$D$5:$D$24,MATCH($B215,근로자명부!$A$5:$A$24,0)))),"")</f>
        <v/>
      </c>
      <c r="E215" s="26">
        <f>IFERROR(IF($B215="","",IF(INDEX(직원명부!$C$5:$C$24,MATCH($B215,직원명부!$A$5:$A$24,0))=0,"",INDEX(직원명부!$C$5:$C$24,MATCH($B215,직원명부!$A$5:$A$24,0)))),"")</f>
        <v/>
      </c>
      <c r="F215" s="44">
        <f>IFERROR(IF($B215="","",IF(INDEX(근로자명부!$G$5:$G$24,MATCH($B215,근로자명부!$A$5:$A$24,0))=0,"",INDEX(근로자명부!$G$5:$G$24,MATCH($B215,근로자명부!$A$5:$A$24,0)))),"")</f>
        <v/>
      </c>
      <c r="G215" s="30">
        <f>IF(OR($A215="",$B215=""),"",COUNTIFS(근태기록!$C$5:$C$2004,$B215,근태기록!$A$5:$A$2004,"&gt;="&amp;$A215,근태기록!$A$5:$A$2004,"&lt;="&amp;EOMONTH($A215,0),근태기록!$H$5:$H$2004,"&gt;0"))</f>
        <v/>
      </c>
      <c r="H215" s="33">
        <f>IF(OR($A215="",$B215=""),"",SUMIFS(근태기록!$H$5:$H$2004,근태기록!$C$5:$C$2004,$B215,근태기록!$A$5:$A$2004,"&gt;="&amp;$A215,근태기록!$A$5:$A$2004,"&lt;="&amp;EOMONTH($A215,0)))</f>
        <v/>
      </c>
      <c r="I215" s="33">
        <f>IF(OR($A215="",$B215=""),"",SUMIFS(근태기록!$I$5:$I$2004,근태기록!$C$5:$C$2004,$B215,근태기록!$A$5:$A$2004,"&gt;="&amp;$A215,근태기록!$A$5:$A$2004,"&lt;="&amp;EOMONTH($A215,0)))</f>
        <v/>
      </c>
      <c r="J215" s="33">
        <f>IF(OR($A215="",$B215=""),"",SUMIFS(근태기록!$J$5:$J$2004,근태기록!$C$5:$C$2004,$B215,근태기록!$A$5:$A$2004,"&gt;="&amp;$A215,근태기록!$A$5:$A$2004,"&lt;="&amp;EOMONTH($A215,0)))</f>
        <v/>
      </c>
      <c r="K215" s="33">
        <f>IF(OR($A215="",$B215=""),"",SUMIFS(근태기록!$H$5:$H$2004,근태기록!$C$5:$C$2004,$B215,근태기록!$A$5:$A$2004,"&gt;="&amp;$A215,근태기록!$A$5:$A$2004,"&lt;="&amp;EOMONTH($A215,0),근태기록!$L$5:$L$2004,"휴일근로"))</f>
        <v/>
      </c>
      <c r="L215" s="20" t="n"/>
      <c r="M215" s="20" t="n"/>
      <c r="N215" s="20" t="n"/>
      <c r="O215" s="20" t="n"/>
      <c r="P215" s="15">
        <f>IF(OR($A215="",$B215=""),"",SUM(L215:O215))</f>
        <v/>
      </c>
      <c r="Q215" s="20" t="n"/>
      <c r="R215" s="20" t="n"/>
      <c r="S215" s="20" t="n"/>
      <c r="T215" s="20" t="n"/>
      <c r="U215" s="20" t="n"/>
      <c r="V215" s="20" t="n"/>
      <c r="W215" s="15">
        <f>IF(OR($A215="",$B215=""),"",SUM(Q215:V215))</f>
        <v/>
      </c>
      <c r="X215" s="15">
        <f>IF(OR($A215="",$B215=""),"",N(P215)-N(W215))</f>
        <v/>
      </c>
    </row>
    <row r="216">
      <c r="A216" s="43" t="n"/>
      <c r="B216" s="18" t="n"/>
      <c r="C216" s="25">
        <f>IFERROR(IF($B216="","",IF(INDEX(직원명부!$B$5:$B$24,MATCH($B216,직원명부!$A$5:$A$24,0))=0,"",INDEX(직원명부!$B$5:$B$24,MATCH($B216,직원명부!$A$5:$A$24,0)))),"사번 확인")</f>
        <v/>
      </c>
      <c r="D216" s="26">
        <f>IFERROR(IF($B216="","",IF(INDEX(근로자명부!$D$5:$D$24,MATCH($B216,근로자명부!$A$5:$A$24,0))=0,"",INDEX(근로자명부!$D$5:$D$24,MATCH($B216,근로자명부!$A$5:$A$24,0)))),"")</f>
        <v/>
      </c>
      <c r="E216" s="26">
        <f>IFERROR(IF($B216="","",IF(INDEX(직원명부!$C$5:$C$24,MATCH($B216,직원명부!$A$5:$A$24,0))=0,"",INDEX(직원명부!$C$5:$C$24,MATCH($B216,직원명부!$A$5:$A$24,0)))),"")</f>
        <v/>
      </c>
      <c r="F216" s="44">
        <f>IFERROR(IF($B216="","",IF(INDEX(근로자명부!$G$5:$G$24,MATCH($B216,근로자명부!$A$5:$A$24,0))=0,"",INDEX(근로자명부!$G$5:$G$24,MATCH($B216,근로자명부!$A$5:$A$24,0)))),"")</f>
        <v/>
      </c>
      <c r="G216" s="30">
        <f>IF(OR($A216="",$B216=""),"",COUNTIFS(근태기록!$C$5:$C$2004,$B216,근태기록!$A$5:$A$2004,"&gt;="&amp;$A216,근태기록!$A$5:$A$2004,"&lt;="&amp;EOMONTH($A216,0),근태기록!$H$5:$H$2004,"&gt;0"))</f>
        <v/>
      </c>
      <c r="H216" s="33">
        <f>IF(OR($A216="",$B216=""),"",SUMIFS(근태기록!$H$5:$H$2004,근태기록!$C$5:$C$2004,$B216,근태기록!$A$5:$A$2004,"&gt;="&amp;$A216,근태기록!$A$5:$A$2004,"&lt;="&amp;EOMONTH($A216,0)))</f>
        <v/>
      </c>
      <c r="I216" s="33">
        <f>IF(OR($A216="",$B216=""),"",SUMIFS(근태기록!$I$5:$I$2004,근태기록!$C$5:$C$2004,$B216,근태기록!$A$5:$A$2004,"&gt;="&amp;$A216,근태기록!$A$5:$A$2004,"&lt;="&amp;EOMONTH($A216,0)))</f>
        <v/>
      </c>
      <c r="J216" s="33">
        <f>IF(OR($A216="",$B216=""),"",SUMIFS(근태기록!$J$5:$J$2004,근태기록!$C$5:$C$2004,$B216,근태기록!$A$5:$A$2004,"&gt;="&amp;$A216,근태기록!$A$5:$A$2004,"&lt;="&amp;EOMONTH($A216,0)))</f>
        <v/>
      </c>
      <c r="K216" s="33">
        <f>IF(OR($A216="",$B216=""),"",SUMIFS(근태기록!$H$5:$H$2004,근태기록!$C$5:$C$2004,$B216,근태기록!$A$5:$A$2004,"&gt;="&amp;$A216,근태기록!$A$5:$A$2004,"&lt;="&amp;EOMONTH($A216,0),근태기록!$L$5:$L$2004,"휴일근로"))</f>
        <v/>
      </c>
      <c r="L216" s="20" t="n"/>
      <c r="M216" s="20" t="n"/>
      <c r="N216" s="20" t="n"/>
      <c r="O216" s="20" t="n"/>
      <c r="P216" s="15">
        <f>IF(OR($A216="",$B216=""),"",SUM(L216:O216))</f>
        <v/>
      </c>
      <c r="Q216" s="20" t="n"/>
      <c r="R216" s="20" t="n"/>
      <c r="S216" s="20" t="n"/>
      <c r="T216" s="20" t="n"/>
      <c r="U216" s="20" t="n"/>
      <c r="V216" s="20" t="n"/>
      <c r="W216" s="15">
        <f>IF(OR($A216="",$B216=""),"",SUM(Q216:V216))</f>
        <v/>
      </c>
      <c r="X216" s="15">
        <f>IF(OR($A216="",$B216=""),"",N(P216)-N(W216))</f>
        <v/>
      </c>
    </row>
    <row r="217">
      <c r="A217" s="43" t="n"/>
      <c r="B217" s="18" t="n"/>
      <c r="C217" s="25">
        <f>IFERROR(IF($B217="","",IF(INDEX(직원명부!$B$5:$B$24,MATCH($B217,직원명부!$A$5:$A$24,0))=0,"",INDEX(직원명부!$B$5:$B$24,MATCH($B217,직원명부!$A$5:$A$24,0)))),"사번 확인")</f>
        <v/>
      </c>
      <c r="D217" s="26">
        <f>IFERROR(IF($B217="","",IF(INDEX(근로자명부!$D$5:$D$24,MATCH($B217,근로자명부!$A$5:$A$24,0))=0,"",INDEX(근로자명부!$D$5:$D$24,MATCH($B217,근로자명부!$A$5:$A$24,0)))),"")</f>
        <v/>
      </c>
      <c r="E217" s="26">
        <f>IFERROR(IF($B217="","",IF(INDEX(직원명부!$C$5:$C$24,MATCH($B217,직원명부!$A$5:$A$24,0))=0,"",INDEX(직원명부!$C$5:$C$24,MATCH($B217,직원명부!$A$5:$A$24,0)))),"")</f>
        <v/>
      </c>
      <c r="F217" s="44">
        <f>IFERROR(IF($B217="","",IF(INDEX(근로자명부!$G$5:$G$24,MATCH($B217,근로자명부!$A$5:$A$24,0))=0,"",INDEX(근로자명부!$G$5:$G$24,MATCH($B217,근로자명부!$A$5:$A$24,0)))),"")</f>
        <v/>
      </c>
      <c r="G217" s="30">
        <f>IF(OR($A217="",$B217=""),"",COUNTIFS(근태기록!$C$5:$C$2004,$B217,근태기록!$A$5:$A$2004,"&gt;="&amp;$A217,근태기록!$A$5:$A$2004,"&lt;="&amp;EOMONTH($A217,0),근태기록!$H$5:$H$2004,"&gt;0"))</f>
        <v/>
      </c>
      <c r="H217" s="33">
        <f>IF(OR($A217="",$B217=""),"",SUMIFS(근태기록!$H$5:$H$2004,근태기록!$C$5:$C$2004,$B217,근태기록!$A$5:$A$2004,"&gt;="&amp;$A217,근태기록!$A$5:$A$2004,"&lt;="&amp;EOMONTH($A217,0)))</f>
        <v/>
      </c>
      <c r="I217" s="33">
        <f>IF(OR($A217="",$B217=""),"",SUMIFS(근태기록!$I$5:$I$2004,근태기록!$C$5:$C$2004,$B217,근태기록!$A$5:$A$2004,"&gt;="&amp;$A217,근태기록!$A$5:$A$2004,"&lt;="&amp;EOMONTH($A217,0)))</f>
        <v/>
      </c>
      <c r="J217" s="33">
        <f>IF(OR($A217="",$B217=""),"",SUMIFS(근태기록!$J$5:$J$2004,근태기록!$C$5:$C$2004,$B217,근태기록!$A$5:$A$2004,"&gt;="&amp;$A217,근태기록!$A$5:$A$2004,"&lt;="&amp;EOMONTH($A217,0)))</f>
        <v/>
      </c>
      <c r="K217" s="33">
        <f>IF(OR($A217="",$B217=""),"",SUMIFS(근태기록!$H$5:$H$2004,근태기록!$C$5:$C$2004,$B217,근태기록!$A$5:$A$2004,"&gt;="&amp;$A217,근태기록!$A$5:$A$2004,"&lt;="&amp;EOMONTH($A217,0),근태기록!$L$5:$L$2004,"휴일근로"))</f>
        <v/>
      </c>
      <c r="L217" s="20" t="n"/>
      <c r="M217" s="20" t="n"/>
      <c r="N217" s="20" t="n"/>
      <c r="O217" s="20" t="n"/>
      <c r="P217" s="15">
        <f>IF(OR($A217="",$B217=""),"",SUM(L217:O217))</f>
        <v/>
      </c>
      <c r="Q217" s="20" t="n"/>
      <c r="R217" s="20" t="n"/>
      <c r="S217" s="20" t="n"/>
      <c r="T217" s="20" t="n"/>
      <c r="U217" s="20" t="n"/>
      <c r="V217" s="20" t="n"/>
      <c r="W217" s="15">
        <f>IF(OR($A217="",$B217=""),"",SUM(Q217:V217))</f>
        <v/>
      </c>
      <c r="X217" s="15">
        <f>IF(OR($A217="",$B217=""),"",N(P217)-N(W217))</f>
        <v/>
      </c>
    </row>
    <row r="218">
      <c r="A218" s="43" t="n"/>
      <c r="B218" s="18" t="n"/>
      <c r="C218" s="25">
        <f>IFERROR(IF($B218="","",IF(INDEX(직원명부!$B$5:$B$24,MATCH($B218,직원명부!$A$5:$A$24,0))=0,"",INDEX(직원명부!$B$5:$B$24,MATCH($B218,직원명부!$A$5:$A$24,0)))),"사번 확인")</f>
        <v/>
      </c>
      <c r="D218" s="26">
        <f>IFERROR(IF($B218="","",IF(INDEX(근로자명부!$D$5:$D$24,MATCH($B218,근로자명부!$A$5:$A$24,0))=0,"",INDEX(근로자명부!$D$5:$D$24,MATCH($B218,근로자명부!$A$5:$A$24,0)))),"")</f>
        <v/>
      </c>
      <c r="E218" s="26">
        <f>IFERROR(IF($B218="","",IF(INDEX(직원명부!$C$5:$C$24,MATCH($B218,직원명부!$A$5:$A$24,0))=0,"",INDEX(직원명부!$C$5:$C$24,MATCH($B218,직원명부!$A$5:$A$24,0)))),"")</f>
        <v/>
      </c>
      <c r="F218" s="44">
        <f>IFERROR(IF($B218="","",IF(INDEX(근로자명부!$G$5:$G$24,MATCH($B218,근로자명부!$A$5:$A$24,0))=0,"",INDEX(근로자명부!$G$5:$G$24,MATCH($B218,근로자명부!$A$5:$A$24,0)))),"")</f>
        <v/>
      </c>
      <c r="G218" s="30">
        <f>IF(OR($A218="",$B218=""),"",COUNTIFS(근태기록!$C$5:$C$2004,$B218,근태기록!$A$5:$A$2004,"&gt;="&amp;$A218,근태기록!$A$5:$A$2004,"&lt;="&amp;EOMONTH($A218,0),근태기록!$H$5:$H$2004,"&gt;0"))</f>
        <v/>
      </c>
      <c r="H218" s="33">
        <f>IF(OR($A218="",$B218=""),"",SUMIFS(근태기록!$H$5:$H$2004,근태기록!$C$5:$C$2004,$B218,근태기록!$A$5:$A$2004,"&gt;="&amp;$A218,근태기록!$A$5:$A$2004,"&lt;="&amp;EOMONTH($A218,0)))</f>
        <v/>
      </c>
      <c r="I218" s="33">
        <f>IF(OR($A218="",$B218=""),"",SUMIFS(근태기록!$I$5:$I$2004,근태기록!$C$5:$C$2004,$B218,근태기록!$A$5:$A$2004,"&gt;="&amp;$A218,근태기록!$A$5:$A$2004,"&lt;="&amp;EOMONTH($A218,0)))</f>
        <v/>
      </c>
      <c r="J218" s="33">
        <f>IF(OR($A218="",$B218=""),"",SUMIFS(근태기록!$J$5:$J$2004,근태기록!$C$5:$C$2004,$B218,근태기록!$A$5:$A$2004,"&gt;="&amp;$A218,근태기록!$A$5:$A$2004,"&lt;="&amp;EOMONTH($A218,0)))</f>
        <v/>
      </c>
      <c r="K218" s="33">
        <f>IF(OR($A218="",$B218=""),"",SUMIFS(근태기록!$H$5:$H$2004,근태기록!$C$5:$C$2004,$B218,근태기록!$A$5:$A$2004,"&gt;="&amp;$A218,근태기록!$A$5:$A$2004,"&lt;="&amp;EOMONTH($A218,0),근태기록!$L$5:$L$2004,"휴일근로"))</f>
        <v/>
      </c>
      <c r="L218" s="20" t="n"/>
      <c r="M218" s="20" t="n"/>
      <c r="N218" s="20" t="n"/>
      <c r="O218" s="20" t="n"/>
      <c r="P218" s="15">
        <f>IF(OR($A218="",$B218=""),"",SUM(L218:O218))</f>
        <v/>
      </c>
      <c r="Q218" s="20" t="n"/>
      <c r="R218" s="20" t="n"/>
      <c r="S218" s="20" t="n"/>
      <c r="T218" s="20" t="n"/>
      <c r="U218" s="20" t="n"/>
      <c r="V218" s="20" t="n"/>
      <c r="W218" s="15">
        <f>IF(OR($A218="",$B218=""),"",SUM(Q218:V218))</f>
        <v/>
      </c>
      <c r="X218" s="15">
        <f>IF(OR($A218="",$B218=""),"",N(P218)-N(W218))</f>
        <v/>
      </c>
    </row>
    <row r="219">
      <c r="A219" s="43" t="n"/>
      <c r="B219" s="18" t="n"/>
      <c r="C219" s="25">
        <f>IFERROR(IF($B219="","",IF(INDEX(직원명부!$B$5:$B$24,MATCH($B219,직원명부!$A$5:$A$24,0))=0,"",INDEX(직원명부!$B$5:$B$24,MATCH($B219,직원명부!$A$5:$A$24,0)))),"사번 확인")</f>
        <v/>
      </c>
      <c r="D219" s="26">
        <f>IFERROR(IF($B219="","",IF(INDEX(근로자명부!$D$5:$D$24,MATCH($B219,근로자명부!$A$5:$A$24,0))=0,"",INDEX(근로자명부!$D$5:$D$24,MATCH($B219,근로자명부!$A$5:$A$24,0)))),"")</f>
        <v/>
      </c>
      <c r="E219" s="26">
        <f>IFERROR(IF($B219="","",IF(INDEX(직원명부!$C$5:$C$24,MATCH($B219,직원명부!$A$5:$A$24,0))=0,"",INDEX(직원명부!$C$5:$C$24,MATCH($B219,직원명부!$A$5:$A$24,0)))),"")</f>
        <v/>
      </c>
      <c r="F219" s="44">
        <f>IFERROR(IF($B219="","",IF(INDEX(근로자명부!$G$5:$G$24,MATCH($B219,근로자명부!$A$5:$A$24,0))=0,"",INDEX(근로자명부!$G$5:$G$24,MATCH($B219,근로자명부!$A$5:$A$24,0)))),"")</f>
        <v/>
      </c>
      <c r="G219" s="30">
        <f>IF(OR($A219="",$B219=""),"",COUNTIFS(근태기록!$C$5:$C$2004,$B219,근태기록!$A$5:$A$2004,"&gt;="&amp;$A219,근태기록!$A$5:$A$2004,"&lt;="&amp;EOMONTH($A219,0),근태기록!$H$5:$H$2004,"&gt;0"))</f>
        <v/>
      </c>
      <c r="H219" s="33">
        <f>IF(OR($A219="",$B219=""),"",SUMIFS(근태기록!$H$5:$H$2004,근태기록!$C$5:$C$2004,$B219,근태기록!$A$5:$A$2004,"&gt;="&amp;$A219,근태기록!$A$5:$A$2004,"&lt;="&amp;EOMONTH($A219,0)))</f>
        <v/>
      </c>
      <c r="I219" s="33">
        <f>IF(OR($A219="",$B219=""),"",SUMIFS(근태기록!$I$5:$I$2004,근태기록!$C$5:$C$2004,$B219,근태기록!$A$5:$A$2004,"&gt;="&amp;$A219,근태기록!$A$5:$A$2004,"&lt;="&amp;EOMONTH($A219,0)))</f>
        <v/>
      </c>
      <c r="J219" s="33">
        <f>IF(OR($A219="",$B219=""),"",SUMIFS(근태기록!$J$5:$J$2004,근태기록!$C$5:$C$2004,$B219,근태기록!$A$5:$A$2004,"&gt;="&amp;$A219,근태기록!$A$5:$A$2004,"&lt;="&amp;EOMONTH($A219,0)))</f>
        <v/>
      </c>
      <c r="K219" s="33">
        <f>IF(OR($A219="",$B219=""),"",SUMIFS(근태기록!$H$5:$H$2004,근태기록!$C$5:$C$2004,$B219,근태기록!$A$5:$A$2004,"&gt;="&amp;$A219,근태기록!$A$5:$A$2004,"&lt;="&amp;EOMONTH($A219,0),근태기록!$L$5:$L$2004,"휴일근로"))</f>
        <v/>
      </c>
      <c r="L219" s="20" t="n"/>
      <c r="M219" s="20" t="n"/>
      <c r="N219" s="20" t="n"/>
      <c r="O219" s="20" t="n"/>
      <c r="P219" s="15">
        <f>IF(OR($A219="",$B219=""),"",SUM(L219:O219))</f>
        <v/>
      </c>
      <c r="Q219" s="20" t="n"/>
      <c r="R219" s="20" t="n"/>
      <c r="S219" s="20" t="n"/>
      <c r="T219" s="20" t="n"/>
      <c r="U219" s="20" t="n"/>
      <c r="V219" s="20" t="n"/>
      <c r="W219" s="15">
        <f>IF(OR($A219="",$B219=""),"",SUM(Q219:V219))</f>
        <v/>
      </c>
      <c r="X219" s="15">
        <f>IF(OR($A219="",$B219=""),"",N(P219)-N(W219))</f>
        <v/>
      </c>
    </row>
    <row r="220">
      <c r="A220" s="43" t="n"/>
      <c r="B220" s="18" t="n"/>
      <c r="C220" s="25">
        <f>IFERROR(IF($B220="","",IF(INDEX(직원명부!$B$5:$B$24,MATCH($B220,직원명부!$A$5:$A$24,0))=0,"",INDEX(직원명부!$B$5:$B$24,MATCH($B220,직원명부!$A$5:$A$24,0)))),"사번 확인")</f>
        <v/>
      </c>
      <c r="D220" s="26">
        <f>IFERROR(IF($B220="","",IF(INDEX(근로자명부!$D$5:$D$24,MATCH($B220,근로자명부!$A$5:$A$24,0))=0,"",INDEX(근로자명부!$D$5:$D$24,MATCH($B220,근로자명부!$A$5:$A$24,0)))),"")</f>
        <v/>
      </c>
      <c r="E220" s="26">
        <f>IFERROR(IF($B220="","",IF(INDEX(직원명부!$C$5:$C$24,MATCH($B220,직원명부!$A$5:$A$24,0))=0,"",INDEX(직원명부!$C$5:$C$24,MATCH($B220,직원명부!$A$5:$A$24,0)))),"")</f>
        <v/>
      </c>
      <c r="F220" s="44">
        <f>IFERROR(IF($B220="","",IF(INDEX(근로자명부!$G$5:$G$24,MATCH($B220,근로자명부!$A$5:$A$24,0))=0,"",INDEX(근로자명부!$G$5:$G$24,MATCH($B220,근로자명부!$A$5:$A$24,0)))),"")</f>
        <v/>
      </c>
      <c r="G220" s="30">
        <f>IF(OR($A220="",$B220=""),"",COUNTIFS(근태기록!$C$5:$C$2004,$B220,근태기록!$A$5:$A$2004,"&gt;="&amp;$A220,근태기록!$A$5:$A$2004,"&lt;="&amp;EOMONTH($A220,0),근태기록!$H$5:$H$2004,"&gt;0"))</f>
        <v/>
      </c>
      <c r="H220" s="33">
        <f>IF(OR($A220="",$B220=""),"",SUMIFS(근태기록!$H$5:$H$2004,근태기록!$C$5:$C$2004,$B220,근태기록!$A$5:$A$2004,"&gt;="&amp;$A220,근태기록!$A$5:$A$2004,"&lt;="&amp;EOMONTH($A220,0)))</f>
        <v/>
      </c>
      <c r="I220" s="33">
        <f>IF(OR($A220="",$B220=""),"",SUMIFS(근태기록!$I$5:$I$2004,근태기록!$C$5:$C$2004,$B220,근태기록!$A$5:$A$2004,"&gt;="&amp;$A220,근태기록!$A$5:$A$2004,"&lt;="&amp;EOMONTH($A220,0)))</f>
        <v/>
      </c>
      <c r="J220" s="33">
        <f>IF(OR($A220="",$B220=""),"",SUMIFS(근태기록!$J$5:$J$2004,근태기록!$C$5:$C$2004,$B220,근태기록!$A$5:$A$2004,"&gt;="&amp;$A220,근태기록!$A$5:$A$2004,"&lt;="&amp;EOMONTH($A220,0)))</f>
        <v/>
      </c>
      <c r="K220" s="33">
        <f>IF(OR($A220="",$B220=""),"",SUMIFS(근태기록!$H$5:$H$2004,근태기록!$C$5:$C$2004,$B220,근태기록!$A$5:$A$2004,"&gt;="&amp;$A220,근태기록!$A$5:$A$2004,"&lt;="&amp;EOMONTH($A220,0),근태기록!$L$5:$L$2004,"휴일근로"))</f>
        <v/>
      </c>
      <c r="L220" s="20" t="n"/>
      <c r="M220" s="20" t="n"/>
      <c r="N220" s="20" t="n"/>
      <c r="O220" s="20" t="n"/>
      <c r="P220" s="15">
        <f>IF(OR($A220="",$B220=""),"",SUM(L220:O220))</f>
        <v/>
      </c>
      <c r="Q220" s="20" t="n"/>
      <c r="R220" s="20" t="n"/>
      <c r="S220" s="20" t="n"/>
      <c r="T220" s="20" t="n"/>
      <c r="U220" s="20" t="n"/>
      <c r="V220" s="20" t="n"/>
      <c r="W220" s="15">
        <f>IF(OR($A220="",$B220=""),"",SUM(Q220:V220))</f>
        <v/>
      </c>
      <c r="X220" s="15">
        <f>IF(OR($A220="",$B220=""),"",N(P220)-N(W220))</f>
        <v/>
      </c>
    </row>
    <row r="221">
      <c r="A221" s="43" t="n"/>
      <c r="B221" s="18" t="n"/>
      <c r="C221" s="25">
        <f>IFERROR(IF($B221="","",IF(INDEX(직원명부!$B$5:$B$24,MATCH($B221,직원명부!$A$5:$A$24,0))=0,"",INDEX(직원명부!$B$5:$B$24,MATCH($B221,직원명부!$A$5:$A$24,0)))),"사번 확인")</f>
        <v/>
      </c>
      <c r="D221" s="26">
        <f>IFERROR(IF($B221="","",IF(INDEX(근로자명부!$D$5:$D$24,MATCH($B221,근로자명부!$A$5:$A$24,0))=0,"",INDEX(근로자명부!$D$5:$D$24,MATCH($B221,근로자명부!$A$5:$A$24,0)))),"")</f>
        <v/>
      </c>
      <c r="E221" s="26">
        <f>IFERROR(IF($B221="","",IF(INDEX(직원명부!$C$5:$C$24,MATCH($B221,직원명부!$A$5:$A$24,0))=0,"",INDEX(직원명부!$C$5:$C$24,MATCH($B221,직원명부!$A$5:$A$24,0)))),"")</f>
        <v/>
      </c>
      <c r="F221" s="44">
        <f>IFERROR(IF($B221="","",IF(INDEX(근로자명부!$G$5:$G$24,MATCH($B221,근로자명부!$A$5:$A$24,0))=0,"",INDEX(근로자명부!$G$5:$G$24,MATCH($B221,근로자명부!$A$5:$A$24,0)))),"")</f>
        <v/>
      </c>
      <c r="G221" s="30">
        <f>IF(OR($A221="",$B221=""),"",COUNTIFS(근태기록!$C$5:$C$2004,$B221,근태기록!$A$5:$A$2004,"&gt;="&amp;$A221,근태기록!$A$5:$A$2004,"&lt;="&amp;EOMONTH($A221,0),근태기록!$H$5:$H$2004,"&gt;0"))</f>
        <v/>
      </c>
      <c r="H221" s="33">
        <f>IF(OR($A221="",$B221=""),"",SUMIFS(근태기록!$H$5:$H$2004,근태기록!$C$5:$C$2004,$B221,근태기록!$A$5:$A$2004,"&gt;="&amp;$A221,근태기록!$A$5:$A$2004,"&lt;="&amp;EOMONTH($A221,0)))</f>
        <v/>
      </c>
      <c r="I221" s="33">
        <f>IF(OR($A221="",$B221=""),"",SUMIFS(근태기록!$I$5:$I$2004,근태기록!$C$5:$C$2004,$B221,근태기록!$A$5:$A$2004,"&gt;="&amp;$A221,근태기록!$A$5:$A$2004,"&lt;="&amp;EOMONTH($A221,0)))</f>
        <v/>
      </c>
      <c r="J221" s="33">
        <f>IF(OR($A221="",$B221=""),"",SUMIFS(근태기록!$J$5:$J$2004,근태기록!$C$5:$C$2004,$B221,근태기록!$A$5:$A$2004,"&gt;="&amp;$A221,근태기록!$A$5:$A$2004,"&lt;="&amp;EOMONTH($A221,0)))</f>
        <v/>
      </c>
      <c r="K221" s="33">
        <f>IF(OR($A221="",$B221=""),"",SUMIFS(근태기록!$H$5:$H$2004,근태기록!$C$5:$C$2004,$B221,근태기록!$A$5:$A$2004,"&gt;="&amp;$A221,근태기록!$A$5:$A$2004,"&lt;="&amp;EOMONTH($A221,0),근태기록!$L$5:$L$2004,"휴일근로"))</f>
        <v/>
      </c>
      <c r="L221" s="20" t="n"/>
      <c r="M221" s="20" t="n"/>
      <c r="N221" s="20" t="n"/>
      <c r="O221" s="20" t="n"/>
      <c r="P221" s="15">
        <f>IF(OR($A221="",$B221=""),"",SUM(L221:O221))</f>
        <v/>
      </c>
      <c r="Q221" s="20" t="n"/>
      <c r="R221" s="20" t="n"/>
      <c r="S221" s="20" t="n"/>
      <c r="T221" s="20" t="n"/>
      <c r="U221" s="20" t="n"/>
      <c r="V221" s="20" t="n"/>
      <c r="W221" s="15">
        <f>IF(OR($A221="",$B221=""),"",SUM(Q221:V221))</f>
        <v/>
      </c>
      <c r="X221" s="15">
        <f>IF(OR($A221="",$B221=""),"",N(P221)-N(W221))</f>
        <v/>
      </c>
    </row>
    <row r="222">
      <c r="A222" s="43" t="n"/>
      <c r="B222" s="18" t="n"/>
      <c r="C222" s="25">
        <f>IFERROR(IF($B222="","",IF(INDEX(직원명부!$B$5:$B$24,MATCH($B222,직원명부!$A$5:$A$24,0))=0,"",INDEX(직원명부!$B$5:$B$24,MATCH($B222,직원명부!$A$5:$A$24,0)))),"사번 확인")</f>
        <v/>
      </c>
      <c r="D222" s="26">
        <f>IFERROR(IF($B222="","",IF(INDEX(근로자명부!$D$5:$D$24,MATCH($B222,근로자명부!$A$5:$A$24,0))=0,"",INDEX(근로자명부!$D$5:$D$24,MATCH($B222,근로자명부!$A$5:$A$24,0)))),"")</f>
        <v/>
      </c>
      <c r="E222" s="26">
        <f>IFERROR(IF($B222="","",IF(INDEX(직원명부!$C$5:$C$24,MATCH($B222,직원명부!$A$5:$A$24,0))=0,"",INDEX(직원명부!$C$5:$C$24,MATCH($B222,직원명부!$A$5:$A$24,0)))),"")</f>
        <v/>
      </c>
      <c r="F222" s="44">
        <f>IFERROR(IF($B222="","",IF(INDEX(근로자명부!$G$5:$G$24,MATCH($B222,근로자명부!$A$5:$A$24,0))=0,"",INDEX(근로자명부!$G$5:$G$24,MATCH($B222,근로자명부!$A$5:$A$24,0)))),"")</f>
        <v/>
      </c>
      <c r="G222" s="30">
        <f>IF(OR($A222="",$B222=""),"",COUNTIFS(근태기록!$C$5:$C$2004,$B222,근태기록!$A$5:$A$2004,"&gt;="&amp;$A222,근태기록!$A$5:$A$2004,"&lt;="&amp;EOMONTH($A222,0),근태기록!$H$5:$H$2004,"&gt;0"))</f>
        <v/>
      </c>
      <c r="H222" s="33">
        <f>IF(OR($A222="",$B222=""),"",SUMIFS(근태기록!$H$5:$H$2004,근태기록!$C$5:$C$2004,$B222,근태기록!$A$5:$A$2004,"&gt;="&amp;$A222,근태기록!$A$5:$A$2004,"&lt;="&amp;EOMONTH($A222,0)))</f>
        <v/>
      </c>
      <c r="I222" s="33">
        <f>IF(OR($A222="",$B222=""),"",SUMIFS(근태기록!$I$5:$I$2004,근태기록!$C$5:$C$2004,$B222,근태기록!$A$5:$A$2004,"&gt;="&amp;$A222,근태기록!$A$5:$A$2004,"&lt;="&amp;EOMONTH($A222,0)))</f>
        <v/>
      </c>
      <c r="J222" s="33">
        <f>IF(OR($A222="",$B222=""),"",SUMIFS(근태기록!$J$5:$J$2004,근태기록!$C$5:$C$2004,$B222,근태기록!$A$5:$A$2004,"&gt;="&amp;$A222,근태기록!$A$5:$A$2004,"&lt;="&amp;EOMONTH($A222,0)))</f>
        <v/>
      </c>
      <c r="K222" s="33">
        <f>IF(OR($A222="",$B222=""),"",SUMIFS(근태기록!$H$5:$H$2004,근태기록!$C$5:$C$2004,$B222,근태기록!$A$5:$A$2004,"&gt;="&amp;$A222,근태기록!$A$5:$A$2004,"&lt;="&amp;EOMONTH($A222,0),근태기록!$L$5:$L$2004,"휴일근로"))</f>
        <v/>
      </c>
      <c r="L222" s="20" t="n"/>
      <c r="M222" s="20" t="n"/>
      <c r="N222" s="20" t="n"/>
      <c r="O222" s="20" t="n"/>
      <c r="P222" s="15">
        <f>IF(OR($A222="",$B222=""),"",SUM(L222:O222))</f>
        <v/>
      </c>
      <c r="Q222" s="20" t="n"/>
      <c r="R222" s="20" t="n"/>
      <c r="S222" s="20" t="n"/>
      <c r="T222" s="20" t="n"/>
      <c r="U222" s="20" t="n"/>
      <c r="V222" s="20" t="n"/>
      <c r="W222" s="15">
        <f>IF(OR($A222="",$B222=""),"",SUM(Q222:V222))</f>
        <v/>
      </c>
      <c r="X222" s="15">
        <f>IF(OR($A222="",$B222=""),"",N(P222)-N(W222))</f>
        <v/>
      </c>
    </row>
    <row r="223">
      <c r="A223" s="43" t="n"/>
      <c r="B223" s="18" t="n"/>
      <c r="C223" s="25">
        <f>IFERROR(IF($B223="","",IF(INDEX(직원명부!$B$5:$B$24,MATCH($B223,직원명부!$A$5:$A$24,0))=0,"",INDEX(직원명부!$B$5:$B$24,MATCH($B223,직원명부!$A$5:$A$24,0)))),"사번 확인")</f>
        <v/>
      </c>
      <c r="D223" s="26">
        <f>IFERROR(IF($B223="","",IF(INDEX(근로자명부!$D$5:$D$24,MATCH($B223,근로자명부!$A$5:$A$24,0))=0,"",INDEX(근로자명부!$D$5:$D$24,MATCH($B223,근로자명부!$A$5:$A$24,0)))),"")</f>
        <v/>
      </c>
      <c r="E223" s="26">
        <f>IFERROR(IF($B223="","",IF(INDEX(직원명부!$C$5:$C$24,MATCH($B223,직원명부!$A$5:$A$24,0))=0,"",INDEX(직원명부!$C$5:$C$24,MATCH($B223,직원명부!$A$5:$A$24,0)))),"")</f>
        <v/>
      </c>
      <c r="F223" s="44">
        <f>IFERROR(IF($B223="","",IF(INDEX(근로자명부!$G$5:$G$24,MATCH($B223,근로자명부!$A$5:$A$24,0))=0,"",INDEX(근로자명부!$G$5:$G$24,MATCH($B223,근로자명부!$A$5:$A$24,0)))),"")</f>
        <v/>
      </c>
      <c r="G223" s="30">
        <f>IF(OR($A223="",$B223=""),"",COUNTIFS(근태기록!$C$5:$C$2004,$B223,근태기록!$A$5:$A$2004,"&gt;="&amp;$A223,근태기록!$A$5:$A$2004,"&lt;="&amp;EOMONTH($A223,0),근태기록!$H$5:$H$2004,"&gt;0"))</f>
        <v/>
      </c>
      <c r="H223" s="33">
        <f>IF(OR($A223="",$B223=""),"",SUMIFS(근태기록!$H$5:$H$2004,근태기록!$C$5:$C$2004,$B223,근태기록!$A$5:$A$2004,"&gt;="&amp;$A223,근태기록!$A$5:$A$2004,"&lt;="&amp;EOMONTH($A223,0)))</f>
        <v/>
      </c>
      <c r="I223" s="33">
        <f>IF(OR($A223="",$B223=""),"",SUMIFS(근태기록!$I$5:$I$2004,근태기록!$C$5:$C$2004,$B223,근태기록!$A$5:$A$2004,"&gt;="&amp;$A223,근태기록!$A$5:$A$2004,"&lt;="&amp;EOMONTH($A223,0)))</f>
        <v/>
      </c>
      <c r="J223" s="33">
        <f>IF(OR($A223="",$B223=""),"",SUMIFS(근태기록!$J$5:$J$2004,근태기록!$C$5:$C$2004,$B223,근태기록!$A$5:$A$2004,"&gt;="&amp;$A223,근태기록!$A$5:$A$2004,"&lt;="&amp;EOMONTH($A223,0)))</f>
        <v/>
      </c>
      <c r="K223" s="33">
        <f>IF(OR($A223="",$B223=""),"",SUMIFS(근태기록!$H$5:$H$2004,근태기록!$C$5:$C$2004,$B223,근태기록!$A$5:$A$2004,"&gt;="&amp;$A223,근태기록!$A$5:$A$2004,"&lt;="&amp;EOMONTH($A223,0),근태기록!$L$5:$L$2004,"휴일근로"))</f>
        <v/>
      </c>
      <c r="L223" s="20" t="n"/>
      <c r="M223" s="20" t="n"/>
      <c r="N223" s="20" t="n"/>
      <c r="O223" s="20" t="n"/>
      <c r="P223" s="15">
        <f>IF(OR($A223="",$B223=""),"",SUM(L223:O223))</f>
        <v/>
      </c>
      <c r="Q223" s="20" t="n"/>
      <c r="R223" s="20" t="n"/>
      <c r="S223" s="20" t="n"/>
      <c r="T223" s="20" t="n"/>
      <c r="U223" s="20" t="n"/>
      <c r="V223" s="20" t="n"/>
      <c r="W223" s="15">
        <f>IF(OR($A223="",$B223=""),"",SUM(Q223:V223))</f>
        <v/>
      </c>
      <c r="X223" s="15">
        <f>IF(OR($A223="",$B223=""),"",N(P223)-N(W223))</f>
        <v/>
      </c>
    </row>
    <row r="224">
      <c r="A224" s="43" t="n"/>
      <c r="B224" s="18" t="n"/>
      <c r="C224" s="25">
        <f>IFERROR(IF($B224="","",IF(INDEX(직원명부!$B$5:$B$24,MATCH($B224,직원명부!$A$5:$A$24,0))=0,"",INDEX(직원명부!$B$5:$B$24,MATCH($B224,직원명부!$A$5:$A$24,0)))),"사번 확인")</f>
        <v/>
      </c>
      <c r="D224" s="26">
        <f>IFERROR(IF($B224="","",IF(INDEX(근로자명부!$D$5:$D$24,MATCH($B224,근로자명부!$A$5:$A$24,0))=0,"",INDEX(근로자명부!$D$5:$D$24,MATCH($B224,근로자명부!$A$5:$A$24,0)))),"")</f>
        <v/>
      </c>
      <c r="E224" s="26">
        <f>IFERROR(IF($B224="","",IF(INDEX(직원명부!$C$5:$C$24,MATCH($B224,직원명부!$A$5:$A$24,0))=0,"",INDEX(직원명부!$C$5:$C$24,MATCH($B224,직원명부!$A$5:$A$24,0)))),"")</f>
        <v/>
      </c>
      <c r="F224" s="44">
        <f>IFERROR(IF($B224="","",IF(INDEX(근로자명부!$G$5:$G$24,MATCH($B224,근로자명부!$A$5:$A$24,0))=0,"",INDEX(근로자명부!$G$5:$G$24,MATCH($B224,근로자명부!$A$5:$A$24,0)))),"")</f>
        <v/>
      </c>
      <c r="G224" s="30">
        <f>IF(OR($A224="",$B224=""),"",COUNTIFS(근태기록!$C$5:$C$2004,$B224,근태기록!$A$5:$A$2004,"&gt;="&amp;$A224,근태기록!$A$5:$A$2004,"&lt;="&amp;EOMONTH($A224,0),근태기록!$H$5:$H$2004,"&gt;0"))</f>
        <v/>
      </c>
      <c r="H224" s="33">
        <f>IF(OR($A224="",$B224=""),"",SUMIFS(근태기록!$H$5:$H$2004,근태기록!$C$5:$C$2004,$B224,근태기록!$A$5:$A$2004,"&gt;="&amp;$A224,근태기록!$A$5:$A$2004,"&lt;="&amp;EOMONTH($A224,0)))</f>
        <v/>
      </c>
      <c r="I224" s="33">
        <f>IF(OR($A224="",$B224=""),"",SUMIFS(근태기록!$I$5:$I$2004,근태기록!$C$5:$C$2004,$B224,근태기록!$A$5:$A$2004,"&gt;="&amp;$A224,근태기록!$A$5:$A$2004,"&lt;="&amp;EOMONTH($A224,0)))</f>
        <v/>
      </c>
      <c r="J224" s="33">
        <f>IF(OR($A224="",$B224=""),"",SUMIFS(근태기록!$J$5:$J$2004,근태기록!$C$5:$C$2004,$B224,근태기록!$A$5:$A$2004,"&gt;="&amp;$A224,근태기록!$A$5:$A$2004,"&lt;="&amp;EOMONTH($A224,0)))</f>
        <v/>
      </c>
      <c r="K224" s="33">
        <f>IF(OR($A224="",$B224=""),"",SUMIFS(근태기록!$H$5:$H$2004,근태기록!$C$5:$C$2004,$B224,근태기록!$A$5:$A$2004,"&gt;="&amp;$A224,근태기록!$A$5:$A$2004,"&lt;="&amp;EOMONTH($A224,0),근태기록!$L$5:$L$2004,"휴일근로"))</f>
        <v/>
      </c>
      <c r="L224" s="20" t="n"/>
      <c r="M224" s="20" t="n"/>
      <c r="N224" s="20" t="n"/>
      <c r="O224" s="20" t="n"/>
      <c r="P224" s="15">
        <f>IF(OR($A224="",$B224=""),"",SUM(L224:O224))</f>
        <v/>
      </c>
      <c r="Q224" s="20" t="n"/>
      <c r="R224" s="20" t="n"/>
      <c r="S224" s="20" t="n"/>
      <c r="T224" s="20" t="n"/>
      <c r="U224" s="20" t="n"/>
      <c r="V224" s="20" t="n"/>
      <c r="W224" s="15">
        <f>IF(OR($A224="",$B224=""),"",SUM(Q224:V224))</f>
        <v/>
      </c>
      <c r="X224" s="15">
        <f>IF(OR($A224="",$B224=""),"",N(P224)-N(W224))</f>
        <v/>
      </c>
    </row>
    <row r="225">
      <c r="A225" s="43" t="n"/>
      <c r="B225" s="18" t="n"/>
      <c r="C225" s="25">
        <f>IFERROR(IF($B225="","",IF(INDEX(직원명부!$B$5:$B$24,MATCH($B225,직원명부!$A$5:$A$24,0))=0,"",INDEX(직원명부!$B$5:$B$24,MATCH($B225,직원명부!$A$5:$A$24,0)))),"사번 확인")</f>
        <v/>
      </c>
      <c r="D225" s="26">
        <f>IFERROR(IF($B225="","",IF(INDEX(근로자명부!$D$5:$D$24,MATCH($B225,근로자명부!$A$5:$A$24,0))=0,"",INDEX(근로자명부!$D$5:$D$24,MATCH($B225,근로자명부!$A$5:$A$24,0)))),"")</f>
        <v/>
      </c>
      <c r="E225" s="26">
        <f>IFERROR(IF($B225="","",IF(INDEX(직원명부!$C$5:$C$24,MATCH($B225,직원명부!$A$5:$A$24,0))=0,"",INDEX(직원명부!$C$5:$C$24,MATCH($B225,직원명부!$A$5:$A$24,0)))),"")</f>
        <v/>
      </c>
      <c r="F225" s="44">
        <f>IFERROR(IF($B225="","",IF(INDEX(근로자명부!$G$5:$G$24,MATCH($B225,근로자명부!$A$5:$A$24,0))=0,"",INDEX(근로자명부!$G$5:$G$24,MATCH($B225,근로자명부!$A$5:$A$24,0)))),"")</f>
        <v/>
      </c>
      <c r="G225" s="30">
        <f>IF(OR($A225="",$B225=""),"",COUNTIFS(근태기록!$C$5:$C$2004,$B225,근태기록!$A$5:$A$2004,"&gt;="&amp;$A225,근태기록!$A$5:$A$2004,"&lt;="&amp;EOMONTH($A225,0),근태기록!$H$5:$H$2004,"&gt;0"))</f>
        <v/>
      </c>
      <c r="H225" s="33">
        <f>IF(OR($A225="",$B225=""),"",SUMIFS(근태기록!$H$5:$H$2004,근태기록!$C$5:$C$2004,$B225,근태기록!$A$5:$A$2004,"&gt;="&amp;$A225,근태기록!$A$5:$A$2004,"&lt;="&amp;EOMONTH($A225,0)))</f>
        <v/>
      </c>
      <c r="I225" s="33">
        <f>IF(OR($A225="",$B225=""),"",SUMIFS(근태기록!$I$5:$I$2004,근태기록!$C$5:$C$2004,$B225,근태기록!$A$5:$A$2004,"&gt;="&amp;$A225,근태기록!$A$5:$A$2004,"&lt;="&amp;EOMONTH($A225,0)))</f>
        <v/>
      </c>
      <c r="J225" s="33">
        <f>IF(OR($A225="",$B225=""),"",SUMIFS(근태기록!$J$5:$J$2004,근태기록!$C$5:$C$2004,$B225,근태기록!$A$5:$A$2004,"&gt;="&amp;$A225,근태기록!$A$5:$A$2004,"&lt;="&amp;EOMONTH($A225,0)))</f>
        <v/>
      </c>
      <c r="K225" s="33">
        <f>IF(OR($A225="",$B225=""),"",SUMIFS(근태기록!$H$5:$H$2004,근태기록!$C$5:$C$2004,$B225,근태기록!$A$5:$A$2004,"&gt;="&amp;$A225,근태기록!$A$5:$A$2004,"&lt;="&amp;EOMONTH($A225,0),근태기록!$L$5:$L$2004,"휴일근로"))</f>
        <v/>
      </c>
      <c r="L225" s="20" t="n"/>
      <c r="M225" s="20" t="n"/>
      <c r="N225" s="20" t="n"/>
      <c r="O225" s="20" t="n"/>
      <c r="P225" s="15">
        <f>IF(OR($A225="",$B225=""),"",SUM(L225:O225))</f>
        <v/>
      </c>
      <c r="Q225" s="20" t="n"/>
      <c r="R225" s="20" t="n"/>
      <c r="S225" s="20" t="n"/>
      <c r="T225" s="20" t="n"/>
      <c r="U225" s="20" t="n"/>
      <c r="V225" s="20" t="n"/>
      <c r="W225" s="15">
        <f>IF(OR($A225="",$B225=""),"",SUM(Q225:V225))</f>
        <v/>
      </c>
      <c r="X225" s="15">
        <f>IF(OR($A225="",$B225=""),"",N(P225)-N(W225))</f>
        <v/>
      </c>
    </row>
    <row r="226">
      <c r="A226" s="43" t="n"/>
      <c r="B226" s="18" t="n"/>
      <c r="C226" s="25">
        <f>IFERROR(IF($B226="","",IF(INDEX(직원명부!$B$5:$B$24,MATCH($B226,직원명부!$A$5:$A$24,0))=0,"",INDEX(직원명부!$B$5:$B$24,MATCH($B226,직원명부!$A$5:$A$24,0)))),"사번 확인")</f>
        <v/>
      </c>
      <c r="D226" s="26">
        <f>IFERROR(IF($B226="","",IF(INDEX(근로자명부!$D$5:$D$24,MATCH($B226,근로자명부!$A$5:$A$24,0))=0,"",INDEX(근로자명부!$D$5:$D$24,MATCH($B226,근로자명부!$A$5:$A$24,0)))),"")</f>
        <v/>
      </c>
      <c r="E226" s="26">
        <f>IFERROR(IF($B226="","",IF(INDEX(직원명부!$C$5:$C$24,MATCH($B226,직원명부!$A$5:$A$24,0))=0,"",INDEX(직원명부!$C$5:$C$24,MATCH($B226,직원명부!$A$5:$A$24,0)))),"")</f>
        <v/>
      </c>
      <c r="F226" s="44">
        <f>IFERROR(IF($B226="","",IF(INDEX(근로자명부!$G$5:$G$24,MATCH($B226,근로자명부!$A$5:$A$24,0))=0,"",INDEX(근로자명부!$G$5:$G$24,MATCH($B226,근로자명부!$A$5:$A$24,0)))),"")</f>
        <v/>
      </c>
      <c r="G226" s="30">
        <f>IF(OR($A226="",$B226=""),"",COUNTIFS(근태기록!$C$5:$C$2004,$B226,근태기록!$A$5:$A$2004,"&gt;="&amp;$A226,근태기록!$A$5:$A$2004,"&lt;="&amp;EOMONTH($A226,0),근태기록!$H$5:$H$2004,"&gt;0"))</f>
        <v/>
      </c>
      <c r="H226" s="33">
        <f>IF(OR($A226="",$B226=""),"",SUMIFS(근태기록!$H$5:$H$2004,근태기록!$C$5:$C$2004,$B226,근태기록!$A$5:$A$2004,"&gt;="&amp;$A226,근태기록!$A$5:$A$2004,"&lt;="&amp;EOMONTH($A226,0)))</f>
        <v/>
      </c>
      <c r="I226" s="33">
        <f>IF(OR($A226="",$B226=""),"",SUMIFS(근태기록!$I$5:$I$2004,근태기록!$C$5:$C$2004,$B226,근태기록!$A$5:$A$2004,"&gt;="&amp;$A226,근태기록!$A$5:$A$2004,"&lt;="&amp;EOMONTH($A226,0)))</f>
        <v/>
      </c>
      <c r="J226" s="33">
        <f>IF(OR($A226="",$B226=""),"",SUMIFS(근태기록!$J$5:$J$2004,근태기록!$C$5:$C$2004,$B226,근태기록!$A$5:$A$2004,"&gt;="&amp;$A226,근태기록!$A$5:$A$2004,"&lt;="&amp;EOMONTH($A226,0)))</f>
        <v/>
      </c>
      <c r="K226" s="33">
        <f>IF(OR($A226="",$B226=""),"",SUMIFS(근태기록!$H$5:$H$2004,근태기록!$C$5:$C$2004,$B226,근태기록!$A$5:$A$2004,"&gt;="&amp;$A226,근태기록!$A$5:$A$2004,"&lt;="&amp;EOMONTH($A226,0),근태기록!$L$5:$L$2004,"휴일근로"))</f>
        <v/>
      </c>
      <c r="L226" s="20" t="n"/>
      <c r="M226" s="20" t="n"/>
      <c r="N226" s="20" t="n"/>
      <c r="O226" s="20" t="n"/>
      <c r="P226" s="15">
        <f>IF(OR($A226="",$B226=""),"",SUM(L226:O226))</f>
        <v/>
      </c>
      <c r="Q226" s="20" t="n"/>
      <c r="R226" s="20" t="n"/>
      <c r="S226" s="20" t="n"/>
      <c r="T226" s="20" t="n"/>
      <c r="U226" s="20" t="n"/>
      <c r="V226" s="20" t="n"/>
      <c r="W226" s="15">
        <f>IF(OR($A226="",$B226=""),"",SUM(Q226:V226))</f>
        <v/>
      </c>
      <c r="X226" s="15">
        <f>IF(OR($A226="",$B226=""),"",N(P226)-N(W226))</f>
        <v/>
      </c>
    </row>
    <row r="227">
      <c r="A227" s="43" t="n"/>
      <c r="B227" s="18" t="n"/>
      <c r="C227" s="25">
        <f>IFERROR(IF($B227="","",IF(INDEX(직원명부!$B$5:$B$24,MATCH($B227,직원명부!$A$5:$A$24,0))=0,"",INDEX(직원명부!$B$5:$B$24,MATCH($B227,직원명부!$A$5:$A$24,0)))),"사번 확인")</f>
        <v/>
      </c>
      <c r="D227" s="26">
        <f>IFERROR(IF($B227="","",IF(INDEX(근로자명부!$D$5:$D$24,MATCH($B227,근로자명부!$A$5:$A$24,0))=0,"",INDEX(근로자명부!$D$5:$D$24,MATCH($B227,근로자명부!$A$5:$A$24,0)))),"")</f>
        <v/>
      </c>
      <c r="E227" s="26">
        <f>IFERROR(IF($B227="","",IF(INDEX(직원명부!$C$5:$C$24,MATCH($B227,직원명부!$A$5:$A$24,0))=0,"",INDEX(직원명부!$C$5:$C$24,MATCH($B227,직원명부!$A$5:$A$24,0)))),"")</f>
        <v/>
      </c>
      <c r="F227" s="44">
        <f>IFERROR(IF($B227="","",IF(INDEX(근로자명부!$G$5:$G$24,MATCH($B227,근로자명부!$A$5:$A$24,0))=0,"",INDEX(근로자명부!$G$5:$G$24,MATCH($B227,근로자명부!$A$5:$A$24,0)))),"")</f>
        <v/>
      </c>
      <c r="G227" s="30">
        <f>IF(OR($A227="",$B227=""),"",COUNTIFS(근태기록!$C$5:$C$2004,$B227,근태기록!$A$5:$A$2004,"&gt;="&amp;$A227,근태기록!$A$5:$A$2004,"&lt;="&amp;EOMONTH($A227,0),근태기록!$H$5:$H$2004,"&gt;0"))</f>
        <v/>
      </c>
      <c r="H227" s="33">
        <f>IF(OR($A227="",$B227=""),"",SUMIFS(근태기록!$H$5:$H$2004,근태기록!$C$5:$C$2004,$B227,근태기록!$A$5:$A$2004,"&gt;="&amp;$A227,근태기록!$A$5:$A$2004,"&lt;="&amp;EOMONTH($A227,0)))</f>
        <v/>
      </c>
      <c r="I227" s="33">
        <f>IF(OR($A227="",$B227=""),"",SUMIFS(근태기록!$I$5:$I$2004,근태기록!$C$5:$C$2004,$B227,근태기록!$A$5:$A$2004,"&gt;="&amp;$A227,근태기록!$A$5:$A$2004,"&lt;="&amp;EOMONTH($A227,0)))</f>
        <v/>
      </c>
      <c r="J227" s="33">
        <f>IF(OR($A227="",$B227=""),"",SUMIFS(근태기록!$J$5:$J$2004,근태기록!$C$5:$C$2004,$B227,근태기록!$A$5:$A$2004,"&gt;="&amp;$A227,근태기록!$A$5:$A$2004,"&lt;="&amp;EOMONTH($A227,0)))</f>
        <v/>
      </c>
      <c r="K227" s="33">
        <f>IF(OR($A227="",$B227=""),"",SUMIFS(근태기록!$H$5:$H$2004,근태기록!$C$5:$C$2004,$B227,근태기록!$A$5:$A$2004,"&gt;="&amp;$A227,근태기록!$A$5:$A$2004,"&lt;="&amp;EOMONTH($A227,0),근태기록!$L$5:$L$2004,"휴일근로"))</f>
        <v/>
      </c>
      <c r="L227" s="20" t="n"/>
      <c r="M227" s="20" t="n"/>
      <c r="N227" s="20" t="n"/>
      <c r="O227" s="20" t="n"/>
      <c r="P227" s="15">
        <f>IF(OR($A227="",$B227=""),"",SUM(L227:O227))</f>
        <v/>
      </c>
      <c r="Q227" s="20" t="n"/>
      <c r="R227" s="20" t="n"/>
      <c r="S227" s="20" t="n"/>
      <c r="T227" s="20" t="n"/>
      <c r="U227" s="20" t="n"/>
      <c r="V227" s="20" t="n"/>
      <c r="W227" s="15">
        <f>IF(OR($A227="",$B227=""),"",SUM(Q227:V227))</f>
        <v/>
      </c>
      <c r="X227" s="15">
        <f>IF(OR($A227="",$B227=""),"",N(P227)-N(W227))</f>
        <v/>
      </c>
    </row>
    <row r="228">
      <c r="A228" s="43" t="n"/>
      <c r="B228" s="18" t="n"/>
      <c r="C228" s="25">
        <f>IFERROR(IF($B228="","",IF(INDEX(직원명부!$B$5:$B$24,MATCH($B228,직원명부!$A$5:$A$24,0))=0,"",INDEX(직원명부!$B$5:$B$24,MATCH($B228,직원명부!$A$5:$A$24,0)))),"사번 확인")</f>
        <v/>
      </c>
      <c r="D228" s="26">
        <f>IFERROR(IF($B228="","",IF(INDEX(근로자명부!$D$5:$D$24,MATCH($B228,근로자명부!$A$5:$A$24,0))=0,"",INDEX(근로자명부!$D$5:$D$24,MATCH($B228,근로자명부!$A$5:$A$24,0)))),"")</f>
        <v/>
      </c>
      <c r="E228" s="26">
        <f>IFERROR(IF($B228="","",IF(INDEX(직원명부!$C$5:$C$24,MATCH($B228,직원명부!$A$5:$A$24,0))=0,"",INDEX(직원명부!$C$5:$C$24,MATCH($B228,직원명부!$A$5:$A$24,0)))),"")</f>
        <v/>
      </c>
      <c r="F228" s="44">
        <f>IFERROR(IF($B228="","",IF(INDEX(근로자명부!$G$5:$G$24,MATCH($B228,근로자명부!$A$5:$A$24,0))=0,"",INDEX(근로자명부!$G$5:$G$24,MATCH($B228,근로자명부!$A$5:$A$24,0)))),"")</f>
        <v/>
      </c>
      <c r="G228" s="30">
        <f>IF(OR($A228="",$B228=""),"",COUNTIFS(근태기록!$C$5:$C$2004,$B228,근태기록!$A$5:$A$2004,"&gt;="&amp;$A228,근태기록!$A$5:$A$2004,"&lt;="&amp;EOMONTH($A228,0),근태기록!$H$5:$H$2004,"&gt;0"))</f>
        <v/>
      </c>
      <c r="H228" s="33">
        <f>IF(OR($A228="",$B228=""),"",SUMIFS(근태기록!$H$5:$H$2004,근태기록!$C$5:$C$2004,$B228,근태기록!$A$5:$A$2004,"&gt;="&amp;$A228,근태기록!$A$5:$A$2004,"&lt;="&amp;EOMONTH($A228,0)))</f>
        <v/>
      </c>
      <c r="I228" s="33">
        <f>IF(OR($A228="",$B228=""),"",SUMIFS(근태기록!$I$5:$I$2004,근태기록!$C$5:$C$2004,$B228,근태기록!$A$5:$A$2004,"&gt;="&amp;$A228,근태기록!$A$5:$A$2004,"&lt;="&amp;EOMONTH($A228,0)))</f>
        <v/>
      </c>
      <c r="J228" s="33">
        <f>IF(OR($A228="",$B228=""),"",SUMIFS(근태기록!$J$5:$J$2004,근태기록!$C$5:$C$2004,$B228,근태기록!$A$5:$A$2004,"&gt;="&amp;$A228,근태기록!$A$5:$A$2004,"&lt;="&amp;EOMONTH($A228,0)))</f>
        <v/>
      </c>
      <c r="K228" s="33">
        <f>IF(OR($A228="",$B228=""),"",SUMIFS(근태기록!$H$5:$H$2004,근태기록!$C$5:$C$2004,$B228,근태기록!$A$5:$A$2004,"&gt;="&amp;$A228,근태기록!$A$5:$A$2004,"&lt;="&amp;EOMONTH($A228,0),근태기록!$L$5:$L$2004,"휴일근로"))</f>
        <v/>
      </c>
      <c r="L228" s="20" t="n"/>
      <c r="M228" s="20" t="n"/>
      <c r="N228" s="20" t="n"/>
      <c r="O228" s="20" t="n"/>
      <c r="P228" s="15">
        <f>IF(OR($A228="",$B228=""),"",SUM(L228:O228))</f>
        <v/>
      </c>
      <c r="Q228" s="20" t="n"/>
      <c r="R228" s="20" t="n"/>
      <c r="S228" s="20" t="n"/>
      <c r="T228" s="20" t="n"/>
      <c r="U228" s="20" t="n"/>
      <c r="V228" s="20" t="n"/>
      <c r="W228" s="15">
        <f>IF(OR($A228="",$B228=""),"",SUM(Q228:V228))</f>
        <v/>
      </c>
      <c r="X228" s="15">
        <f>IF(OR($A228="",$B228=""),"",N(P228)-N(W228))</f>
        <v/>
      </c>
    </row>
    <row r="229">
      <c r="A229" s="43" t="n"/>
      <c r="B229" s="18" t="n"/>
      <c r="C229" s="25">
        <f>IFERROR(IF($B229="","",IF(INDEX(직원명부!$B$5:$B$24,MATCH($B229,직원명부!$A$5:$A$24,0))=0,"",INDEX(직원명부!$B$5:$B$24,MATCH($B229,직원명부!$A$5:$A$24,0)))),"사번 확인")</f>
        <v/>
      </c>
      <c r="D229" s="26">
        <f>IFERROR(IF($B229="","",IF(INDEX(근로자명부!$D$5:$D$24,MATCH($B229,근로자명부!$A$5:$A$24,0))=0,"",INDEX(근로자명부!$D$5:$D$24,MATCH($B229,근로자명부!$A$5:$A$24,0)))),"")</f>
        <v/>
      </c>
      <c r="E229" s="26">
        <f>IFERROR(IF($B229="","",IF(INDEX(직원명부!$C$5:$C$24,MATCH($B229,직원명부!$A$5:$A$24,0))=0,"",INDEX(직원명부!$C$5:$C$24,MATCH($B229,직원명부!$A$5:$A$24,0)))),"")</f>
        <v/>
      </c>
      <c r="F229" s="44">
        <f>IFERROR(IF($B229="","",IF(INDEX(근로자명부!$G$5:$G$24,MATCH($B229,근로자명부!$A$5:$A$24,0))=0,"",INDEX(근로자명부!$G$5:$G$24,MATCH($B229,근로자명부!$A$5:$A$24,0)))),"")</f>
        <v/>
      </c>
      <c r="G229" s="30">
        <f>IF(OR($A229="",$B229=""),"",COUNTIFS(근태기록!$C$5:$C$2004,$B229,근태기록!$A$5:$A$2004,"&gt;="&amp;$A229,근태기록!$A$5:$A$2004,"&lt;="&amp;EOMONTH($A229,0),근태기록!$H$5:$H$2004,"&gt;0"))</f>
        <v/>
      </c>
      <c r="H229" s="33">
        <f>IF(OR($A229="",$B229=""),"",SUMIFS(근태기록!$H$5:$H$2004,근태기록!$C$5:$C$2004,$B229,근태기록!$A$5:$A$2004,"&gt;="&amp;$A229,근태기록!$A$5:$A$2004,"&lt;="&amp;EOMONTH($A229,0)))</f>
        <v/>
      </c>
      <c r="I229" s="33">
        <f>IF(OR($A229="",$B229=""),"",SUMIFS(근태기록!$I$5:$I$2004,근태기록!$C$5:$C$2004,$B229,근태기록!$A$5:$A$2004,"&gt;="&amp;$A229,근태기록!$A$5:$A$2004,"&lt;="&amp;EOMONTH($A229,0)))</f>
        <v/>
      </c>
      <c r="J229" s="33">
        <f>IF(OR($A229="",$B229=""),"",SUMIFS(근태기록!$J$5:$J$2004,근태기록!$C$5:$C$2004,$B229,근태기록!$A$5:$A$2004,"&gt;="&amp;$A229,근태기록!$A$5:$A$2004,"&lt;="&amp;EOMONTH($A229,0)))</f>
        <v/>
      </c>
      <c r="K229" s="33">
        <f>IF(OR($A229="",$B229=""),"",SUMIFS(근태기록!$H$5:$H$2004,근태기록!$C$5:$C$2004,$B229,근태기록!$A$5:$A$2004,"&gt;="&amp;$A229,근태기록!$A$5:$A$2004,"&lt;="&amp;EOMONTH($A229,0),근태기록!$L$5:$L$2004,"휴일근로"))</f>
        <v/>
      </c>
      <c r="L229" s="20" t="n"/>
      <c r="M229" s="20" t="n"/>
      <c r="N229" s="20" t="n"/>
      <c r="O229" s="20" t="n"/>
      <c r="P229" s="15">
        <f>IF(OR($A229="",$B229=""),"",SUM(L229:O229))</f>
        <v/>
      </c>
      <c r="Q229" s="20" t="n"/>
      <c r="R229" s="20" t="n"/>
      <c r="S229" s="20" t="n"/>
      <c r="T229" s="20" t="n"/>
      <c r="U229" s="20" t="n"/>
      <c r="V229" s="20" t="n"/>
      <c r="W229" s="15">
        <f>IF(OR($A229="",$B229=""),"",SUM(Q229:V229))</f>
        <v/>
      </c>
      <c r="X229" s="15">
        <f>IF(OR($A229="",$B229=""),"",N(P229)-N(W229))</f>
        <v/>
      </c>
    </row>
    <row r="230">
      <c r="A230" s="43" t="n"/>
      <c r="B230" s="18" t="n"/>
      <c r="C230" s="25">
        <f>IFERROR(IF($B230="","",IF(INDEX(직원명부!$B$5:$B$24,MATCH($B230,직원명부!$A$5:$A$24,0))=0,"",INDEX(직원명부!$B$5:$B$24,MATCH($B230,직원명부!$A$5:$A$24,0)))),"사번 확인")</f>
        <v/>
      </c>
      <c r="D230" s="26">
        <f>IFERROR(IF($B230="","",IF(INDEX(근로자명부!$D$5:$D$24,MATCH($B230,근로자명부!$A$5:$A$24,0))=0,"",INDEX(근로자명부!$D$5:$D$24,MATCH($B230,근로자명부!$A$5:$A$24,0)))),"")</f>
        <v/>
      </c>
      <c r="E230" s="26">
        <f>IFERROR(IF($B230="","",IF(INDEX(직원명부!$C$5:$C$24,MATCH($B230,직원명부!$A$5:$A$24,0))=0,"",INDEX(직원명부!$C$5:$C$24,MATCH($B230,직원명부!$A$5:$A$24,0)))),"")</f>
        <v/>
      </c>
      <c r="F230" s="44">
        <f>IFERROR(IF($B230="","",IF(INDEX(근로자명부!$G$5:$G$24,MATCH($B230,근로자명부!$A$5:$A$24,0))=0,"",INDEX(근로자명부!$G$5:$G$24,MATCH($B230,근로자명부!$A$5:$A$24,0)))),"")</f>
        <v/>
      </c>
      <c r="G230" s="30">
        <f>IF(OR($A230="",$B230=""),"",COUNTIFS(근태기록!$C$5:$C$2004,$B230,근태기록!$A$5:$A$2004,"&gt;="&amp;$A230,근태기록!$A$5:$A$2004,"&lt;="&amp;EOMONTH($A230,0),근태기록!$H$5:$H$2004,"&gt;0"))</f>
        <v/>
      </c>
      <c r="H230" s="33">
        <f>IF(OR($A230="",$B230=""),"",SUMIFS(근태기록!$H$5:$H$2004,근태기록!$C$5:$C$2004,$B230,근태기록!$A$5:$A$2004,"&gt;="&amp;$A230,근태기록!$A$5:$A$2004,"&lt;="&amp;EOMONTH($A230,0)))</f>
        <v/>
      </c>
      <c r="I230" s="33">
        <f>IF(OR($A230="",$B230=""),"",SUMIFS(근태기록!$I$5:$I$2004,근태기록!$C$5:$C$2004,$B230,근태기록!$A$5:$A$2004,"&gt;="&amp;$A230,근태기록!$A$5:$A$2004,"&lt;="&amp;EOMONTH($A230,0)))</f>
        <v/>
      </c>
      <c r="J230" s="33">
        <f>IF(OR($A230="",$B230=""),"",SUMIFS(근태기록!$J$5:$J$2004,근태기록!$C$5:$C$2004,$B230,근태기록!$A$5:$A$2004,"&gt;="&amp;$A230,근태기록!$A$5:$A$2004,"&lt;="&amp;EOMONTH($A230,0)))</f>
        <v/>
      </c>
      <c r="K230" s="33">
        <f>IF(OR($A230="",$B230=""),"",SUMIFS(근태기록!$H$5:$H$2004,근태기록!$C$5:$C$2004,$B230,근태기록!$A$5:$A$2004,"&gt;="&amp;$A230,근태기록!$A$5:$A$2004,"&lt;="&amp;EOMONTH($A230,0),근태기록!$L$5:$L$2004,"휴일근로"))</f>
        <v/>
      </c>
      <c r="L230" s="20" t="n"/>
      <c r="M230" s="20" t="n"/>
      <c r="N230" s="20" t="n"/>
      <c r="O230" s="20" t="n"/>
      <c r="P230" s="15">
        <f>IF(OR($A230="",$B230=""),"",SUM(L230:O230))</f>
        <v/>
      </c>
      <c r="Q230" s="20" t="n"/>
      <c r="R230" s="20" t="n"/>
      <c r="S230" s="20" t="n"/>
      <c r="T230" s="20" t="n"/>
      <c r="U230" s="20" t="n"/>
      <c r="V230" s="20" t="n"/>
      <c r="W230" s="15">
        <f>IF(OR($A230="",$B230=""),"",SUM(Q230:V230))</f>
        <v/>
      </c>
      <c r="X230" s="15">
        <f>IF(OR($A230="",$B230=""),"",N(P230)-N(W230))</f>
        <v/>
      </c>
    </row>
    <row r="231">
      <c r="A231" s="43" t="n"/>
      <c r="B231" s="18" t="n"/>
      <c r="C231" s="25">
        <f>IFERROR(IF($B231="","",IF(INDEX(직원명부!$B$5:$B$24,MATCH($B231,직원명부!$A$5:$A$24,0))=0,"",INDEX(직원명부!$B$5:$B$24,MATCH($B231,직원명부!$A$5:$A$24,0)))),"사번 확인")</f>
        <v/>
      </c>
      <c r="D231" s="26">
        <f>IFERROR(IF($B231="","",IF(INDEX(근로자명부!$D$5:$D$24,MATCH($B231,근로자명부!$A$5:$A$24,0))=0,"",INDEX(근로자명부!$D$5:$D$24,MATCH($B231,근로자명부!$A$5:$A$24,0)))),"")</f>
        <v/>
      </c>
      <c r="E231" s="26">
        <f>IFERROR(IF($B231="","",IF(INDEX(직원명부!$C$5:$C$24,MATCH($B231,직원명부!$A$5:$A$24,0))=0,"",INDEX(직원명부!$C$5:$C$24,MATCH($B231,직원명부!$A$5:$A$24,0)))),"")</f>
        <v/>
      </c>
      <c r="F231" s="44">
        <f>IFERROR(IF($B231="","",IF(INDEX(근로자명부!$G$5:$G$24,MATCH($B231,근로자명부!$A$5:$A$24,0))=0,"",INDEX(근로자명부!$G$5:$G$24,MATCH($B231,근로자명부!$A$5:$A$24,0)))),"")</f>
        <v/>
      </c>
      <c r="G231" s="30">
        <f>IF(OR($A231="",$B231=""),"",COUNTIFS(근태기록!$C$5:$C$2004,$B231,근태기록!$A$5:$A$2004,"&gt;="&amp;$A231,근태기록!$A$5:$A$2004,"&lt;="&amp;EOMONTH($A231,0),근태기록!$H$5:$H$2004,"&gt;0"))</f>
        <v/>
      </c>
      <c r="H231" s="33">
        <f>IF(OR($A231="",$B231=""),"",SUMIFS(근태기록!$H$5:$H$2004,근태기록!$C$5:$C$2004,$B231,근태기록!$A$5:$A$2004,"&gt;="&amp;$A231,근태기록!$A$5:$A$2004,"&lt;="&amp;EOMONTH($A231,0)))</f>
        <v/>
      </c>
      <c r="I231" s="33">
        <f>IF(OR($A231="",$B231=""),"",SUMIFS(근태기록!$I$5:$I$2004,근태기록!$C$5:$C$2004,$B231,근태기록!$A$5:$A$2004,"&gt;="&amp;$A231,근태기록!$A$5:$A$2004,"&lt;="&amp;EOMONTH($A231,0)))</f>
        <v/>
      </c>
      <c r="J231" s="33">
        <f>IF(OR($A231="",$B231=""),"",SUMIFS(근태기록!$J$5:$J$2004,근태기록!$C$5:$C$2004,$B231,근태기록!$A$5:$A$2004,"&gt;="&amp;$A231,근태기록!$A$5:$A$2004,"&lt;="&amp;EOMONTH($A231,0)))</f>
        <v/>
      </c>
      <c r="K231" s="33">
        <f>IF(OR($A231="",$B231=""),"",SUMIFS(근태기록!$H$5:$H$2004,근태기록!$C$5:$C$2004,$B231,근태기록!$A$5:$A$2004,"&gt;="&amp;$A231,근태기록!$A$5:$A$2004,"&lt;="&amp;EOMONTH($A231,0),근태기록!$L$5:$L$2004,"휴일근로"))</f>
        <v/>
      </c>
      <c r="L231" s="20" t="n"/>
      <c r="M231" s="20" t="n"/>
      <c r="N231" s="20" t="n"/>
      <c r="O231" s="20" t="n"/>
      <c r="P231" s="15">
        <f>IF(OR($A231="",$B231=""),"",SUM(L231:O231))</f>
        <v/>
      </c>
      <c r="Q231" s="20" t="n"/>
      <c r="R231" s="20" t="n"/>
      <c r="S231" s="20" t="n"/>
      <c r="T231" s="20" t="n"/>
      <c r="U231" s="20" t="n"/>
      <c r="V231" s="20" t="n"/>
      <c r="W231" s="15">
        <f>IF(OR($A231="",$B231=""),"",SUM(Q231:V231))</f>
        <v/>
      </c>
      <c r="X231" s="15">
        <f>IF(OR($A231="",$B231=""),"",N(P231)-N(W231))</f>
        <v/>
      </c>
    </row>
    <row r="232">
      <c r="A232" s="43" t="n"/>
      <c r="B232" s="18" t="n"/>
      <c r="C232" s="25">
        <f>IFERROR(IF($B232="","",IF(INDEX(직원명부!$B$5:$B$24,MATCH($B232,직원명부!$A$5:$A$24,0))=0,"",INDEX(직원명부!$B$5:$B$24,MATCH($B232,직원명부!$A$5:$A$24,0)))),"사번 확인")</f>
        <v/>
      </c>
      <c r="D232" s="26">
        <f>IFERROR(IF($B232="","",IF(INDEX(근로자명부!$D$5:$D$24,MATCH($B232,근로자명부!$A$5:$A$24,0))=0,"",INDEX(근로자명부!$D$5:$D$24,MATCH($B232,근로자명부!$A$5:$A$24,0)))),"")</f>
        <v/>
      </c>
      <c r="E232" s="26">
        <f>IFERROR(IF($B232="","",IF(INDEX(직원명부!$C$5:$C$24,MATCH($B232,직원명부!$A$5:$A$24,0))=0,"",INDEX(직원명부!$C$5:$C$24,MATCH($B232,직원명부!$A$5:$A$24,0)))),"")</f>
        <v/>
      </c>
      <c r="F232" s="44">
        <f>IFERROR(IF($B232="","",IF(INDEX(근로자명부!$G$5:$G$24,MATCH($B232,근로자명부!$A$5:$A$24,0))=0,"",INDEX(근로자명부!$G$5:$G$24,MATCH($B232,근로자명부!$A$5:$A$24,0)))),"")</f>
        <v/>
      </c>
      <c r="G232" s="30">
        <f>IF(OR($A232="",$B232=""),"",COUNTIFS(근태기록!$C$5:$C$2004,$B232,근태기록!$A$5:$A$2004,"&gt;="&amp;$A232,근태기록!$A$5:$A$2004,"&lt;="&amp;EOMONTH($A232,0),근태기록!$H$5:$H$2004,"&gt;0"))</f>
        <v/>
      </c>
      <c r="H232" s="33">
        <f>IF(OR($A232="",$B232=""),"",SUMIFS(근태기록!$H$5:$H$2004,근태기록!$C$5:$C$2004,$B232,근태기록!$A$5:$A$2004,"&gt;="&amp;$A232,근태기록!$A$5:$A$2004,"&lt;="&amp;EOMONTH($A232,0)))</f>
        <v/>
      </c>
      <c r="I232" s="33">
        <f>IF(OR($A232="",$B232=""),"",SUMIFS(근태기록!$I$5:$I$2004,근태기록!$C$5:$C$2004,$B232,근태기록!$A$5:$A$2004,"&gt;="&amp;$A232,근태기록!$A$5:$A$2004,"&lt;="&amp;EOMONTH($A232,0)))</f>
        <v/>
      </c>
      <c r="J232" s="33">
        <f>IF(OR($A232="",$B232=""),"",SUMIFS(근태기록!$J$5:$J$2004,근태기록!$C$5:$C$2004,$B232,근태기록!$A$5:$A$2004,"&gt;="&amp;$A232,근태기록!$A$5:$A$2004,"&lt;="&amp;EOMONTH($A232,0)))</f>
        <v/>
      </c>
      <c r="K232" s="33">
        <f>IF(OR($A232="",$B232=""),"",SUMIFS(근태기록!$H$5:$H$2004,근태기록!$C$5:$C$2004,$B232,근태기록!$A$5:$A$2004,"&gt;="&amp;$A232,근태기록!$A$5:$A$2004,"&lt;="&amp;EOMONTH($A232,0),근태기록!$L$5:$L$2004,"휴일근로"))</f>
        <v/>
      </c>
      <c r="L232" s="20" t="n"/>
      <c r="M232" s="20" t="n"/>
      <c r="N232" s="20" t="n"/>
      <c r="O232" s="20" t="n"/>
      <c r="P232" s="15">
        <f>IF(OR($A232="",$B232=""),"",SUM(L232:O232))</f>
        <v/>
      </c>
      <c r="Q232" s="20" t="n"/>
      <c r="R232" s="20" t="n"/>
      <c r="S232" s="20" t="n"/>
      <c r="T232" s="20" t="n"/>
      <c r="U232" s="20" t="n"/>
      <c r="V232" s="20" t="n"/>
      <c r="W232" s="15">
        <f>IF(OR($A232="",$B232=""),"",SUM(Q232:V232))</f>
        <v/>
      </c>
      <c r="X232" s="15">
        <f>IF(OR($A232="",$B232=""),"",N(P232)-N(W232))</f>
        <v/>
      </c>
    </row>
    <row r="233">
      <c r="A233" s="43" t="n"/>
      <c r="B233" s="18" t="n"/>
      <c r="C233" s="25">
        <f>IFERROR(IF($B233="","",IF(INDEX(직원명부!$B$5:$B$24,MATCH($B233,직원명부!$A$5:$A$24,0))=0,"",INDEX(직원명부!$B$5:$B$24,MATCH($B233,직원명부!$A$5:$A$24,0)))),"사번 확인")</f>
        <v/>
      </c>
      <c r="D233" s="26">
        <f>IFERROR(IF($B233="","",IF(INDEX(근로자명부!$D$5:$D$24,MATCH($B233,근로자명부!$A$5:$A$24,0))=0,"",INDEX(근로자명부!$D$5:$D$24,MATCH($B233,근로자명부!$A$5:$A$24,0)))),"")</f>
        <v/>
      </c>
      <c r="E233" s="26">
        <f>IFERROR(IF($B233="","",IF(INDEX(직원명부!$C$5:$C$24,MATCH($B233,직원명부!$A$5:$A$24,0))=0,"",INDEX(직원명부!$C$5:$C$24,MATCH($B233,직원명부!$A$5:$A$24,0)))),"")</f>
        <v/>
      </c>
      <c r="F233" s="44">
        <f>IFERROR(IF($B233="","",IF(INDEX(근로자명부!$G$5:$G$24,MATCH($B233,근로자명부!$A$5:$A$24,0))=0,"",INDEX(근로자명부!$G$5:$G$24,MATCH($B233,근로자명부!$A$5:$A$24,0)))),"")</f>
        <v/>
      </c>
      <c r="G233" s="30">
        <f>IF(OR($A233="",$B233=""),"",COUNTIFS(근태기록!$C$5:$C$2004,$B233,근태기록!$A$5:$A$2004,"&gt;="&amp;$A233,근태기록!$A$5:$A$2004,"&lt;="&amp;EOMONTH($A233,0),근태기록!$H$5:$H$2004,"&gt;0"))</f>
        <v/>
      </c>
      <c r="H233" s="33">
        <f>IF(OR($A233="",$B233=""),"",SUMIFS(근태기록!$H$5:$H$2004,근태기록!$C$5:$C$2004,$B233,근태기록!$A$5:$A$2004,"&gt;="&amp;$A233,근태기록!$A$5:$A$2004,"&lt;="&amp;EOMONTH($A233,0)))</f>
        <v/>
      </c>
      <c r="I233" s="33">
        <f>IF(OR($A233="",$B233=""),"",SUMIFS(근태기록!$I$5:$I$2004,근태기록!$C$5:$C$2004,$B233,근태기록!$A$5:$A$2004,"&gt;="&amp;$A233,근태기록!$A$5:$A$2004,"&lt;="&amp;EOMONTH($A233,0)))</f>
        <v/>
      </c>
      <c r="J233" s="33">
        <f>IF(OR($A233="",$B233=""),"",SUMIFS(근태기록!$J$5:$J$2004,근태기록!$C$5:$C$2004,$B233,근태기록!$A$5:$A$2004,"&gt;="&amp;$A233,근태기록!$A$5:$A$2004,"&lt;="&amp;EOMONTH($A233,0)))</f>
        <v/>
      </c>
      <c r="K233" s="33">
        <f>IF(OR($A233="",$B233=""),"",SUMIFS(근태기록!$H$5:$H$2004,근태기록!$C$5:$C$2004,$B233,근태기록!$A$5:$A$2004,"&gt;="&amp;$A233,근태기록!$A$5:$A$2004,"&lt;="&amp;EOMONTH($A233,0),근태기록!$L$5:$L$2004,"휴일근로"))</f>
        <v/>
      </c>
      <c r="L233" s="20" t="n"/>
      <c r="M233" s="20" t="n"/>
      <c r="N233" s="20" t="n"/>
      <c r="O233" s="20" t="n"/>
      <c r="P233" s="15">
        <f>IF(OR($A233="",$B233=""),"",SUM(L233:O233))</f>
        <v/>
      </c>
      <c r="Q233" s="20" t="n"/>
      <c r="R233" s="20" t="n"/>
      <c r="S233" s="20" t="n"/>
      <c r="T233" s="20" t="n"/>
      <c r="U233" s="20" t="n"/>
      <c r="V233" s="20" t="n"/>
      <c r="W233" s="15">
        <f>IF(OR($A233="",$B233=""),"",SUM(Q233:V233))</f>
        <v/>
      </c>
      <c r="X233" s="15">
        <f>IF(OR($A233="",$B233=""),"",N(P233)-N(W233))</f>
        <v/>
      </c>
    </row>
    <row r="234">
      <c r="A234" s="43" t="n"/>
      <c r="B234" s="18" t="n"/>
      <c r="C234" s="25">
        <f>IFERROR(IF($B234="","",IF(INDEX(직원명부!$B$5:$B$24,MATCH($B234,직원명부!$A$5:$A$24,0))=0,"",INDEX(직원명부!$B$5:$B$24,MATCH($B234,직원명부!$A$5:$A$24,0)))),"사번 확인")</f>
        <v/>
      </c>
      <c r="D234" s="26">
        <f>IFERROR(IF($B234="","",IF(INDEX(근로자명부!$D$5:$D$24,MATCH($B234,근로자명부!$A$5:$A$24,0))=0,"",INDEX(근로자명부!$D$5:$D$24,MATCH($B234,근로자명부!$A$5:$A$24,0)))),"")</f>
        <v/>
      </c>
      <c r="E234" s="26">
        <f>IFERROR(IF($B234="","",IF(INDEX(직원명부!$C$5:$C$24,MATCH($B234,직원명부!$A$5:$A$24,0))=0,"",INDEX(직원명부!$C$5:$C$24,MATCH($B234,직원명부!$A$5:$A$24,0)))),"")</f>
        <v/>
      </c>
      <c r="F234" s="44">
        <f>IFERROR(IF($B234="","",IF(INDEX(근로자명부!$G$5:$G$24,MATCH($B234,근로자명부!$A$5:$A$24,0))=0,"",INDEX(근로자명부!$G$5:$G$24,MATCH($B234,근로자명부!$A$5:$A$24,0)))),"")</f>
        <v/>
      </c>
      <c r="G234" s="30">
        <f>IF(OR($A234="",$B234=""),"",COUNTIFS(근태기록!$C$5:$C$2004,$B234,근태기록!$A$5:$A$2004,"&gt;="&amp;$A234,근태기록!$A$5:$A$2004,"&lt;="&amp;EOMONTH($A234,0),근태기록!$H$5:$H$2004,"&gt;0"))</f>
        <v/>
      </c>
      <c r="H234" s="33">
        <f>IF(OR($A234="",$B234=""),"",SUMIFS(근태기록!$H$5:$H$2004,근태기록!$C$5:$C$2004,$B234,근태기록!$A$5:$A$2004,"&gt;="&amp;$A234,근태기록!$A$5:$A$2004,"&lt;="&amp;EOMONTH($A234,0)))</f>
        <v/>
      </c>
      <c r="I234" s="33">
        <f>IF(OR($A234="",$B234=""),"",SUMIFS(근태기록!$I$5:$I$2004,근태기록!$C$5:$C$2004,$B234,근태기록!$A$5:$A$2004,"&gt;="&amp;$A234,근태기록!$A$5:$A$2004,"&lt;="&amp;EOMONTH($A234,0)))</f>
        <v/>
      </c>
      <c r="J234" s="33">
        <f>IF(OR($A234="",$B234=""),"",SUMIFS(근태기록!$J$5:$J$2004,근태기록!$C$5:$C$2004,$B234,근태기록!$A$5:$A$2004,"&gt;="&amp;$A234,근태기록!$A$5:$A$2004,"&lt;="&amp;EOMONTH($A234,0)))</f>
        <v/>
      </c>
      <c r="K234" s="33">
        <f>IF(OR($A234="",$B234=""),"",SUMIFS(근태기록!$H$5:$H$2004,근태기록!$C$5:$C$2004,$B234,근태기록!$A$5:$A$2004,"&gt;="&amp;$A234,근태기록!$A$5:$A$2004,"&lt;="&amp;EOMONTH($A234,0),근태기록!$L$5:$L$2004,"휴일근로"))</f>
        <v/>
      </c>
      <c r="L234" s="20" t="n"/>
      <c r="M234" s="20" t="n"/>
      <c r="N234" s="20" t="n"/>
      <c r="O234" s="20" t="n"/>
      <c r="P234" s="15">
        <f>IF(OR($A234="",$B234=""),"",SUM(L234:O234))</f>
        <v/>
      </c>
      <c r="Q234" s="20" t="n"/>
      <c r="R234" s="20" t="n"/>
      <c r="S234" s="20" t="n"/>
      <c r="T234" s="20" t="n"/>
      <c r="U234" s="20" t="n"/>
      <c r="V234" s="20" t="n"/>
      <c r="W234" s="15">
        <f>IF(OR($A234="",$B234=""),"",SUM(Q234:V234))</f>
        <v/>
      </c>
      <c r="X234" s="15">
        <f>IF(OR($A234="",$B234=""),"",N(P234)-N(W234))</f>
        <v/>
      </c>
    </row>
    <row r="235">
      <c r="A235" s="43" t="n"/>
      <c r="B235" s="18" t="n"/>
      <c r="C235" s="25">
        <f>IFERROR(IF($B235="","",IF(INDEX(직원명부!$B$5:$B$24,MATCH($B235,직원명부!$A$5:$A$24,0))=0,"",INDEX(직원명부!$B$5:$B$24,MATCH($B235,직원명부!$A$5:$A$24,0)))),"사번 확인")</f>
        <v/>
      </c>
      <c r="D235" s="26">
        <f>IFERROR(IF($B235="","",IF(INDEX(근로자명부!$D$5:$D$24,MATCH($B235,근로자명부!$A$5:$A$24,0))=0,"",INDEX(근로자명부!$D$5:$D$24,MATCH($B235,근로자명부!$A$5:$A$24,0)))),"")</f>
        <v/>
      </c>
      <c r="E235" s="26">
        <f>IFERROR(IF($B235="","",IF(INDEX(직원명부!$C$5:$C$24,MATCH($B235,직원명부!$A$5:$A$24,0))=0,"",INDEX(직원명부!$C$5:$C$24,MATCH($B235,직원명부!$A$5:$A$24,0)))),"")</f>
        <v/>
      </c>
      <c r="F235" s="44">
        <f>IFERROR(IF($B235="","",IF(INDEX(근로자명부!$G$5:$G$24,MATCH($B235,근로자명부!$A$5:$A$24,0))=0,"",INDEX(근로자명부!$G$5:$G$24,MATCH($B235,근로자명부!$A$5:$A$24,0)))),"")</f>
        <v/>
      </c>
      <c r="G235" s="30">
        <f>IF(OR($A235="",$B235=""),"",COUNTIFS(근태기록!$C$5:$C$2004,$B235,근태기록!$A$5:$A$2004,"&gt;="&amp;$A235,근태기록!$A$5:$A$2004,"&lt;="&amp;EOMONTH($A235,0),근태기록!$H$5:$H$2004,"&gt;0"))</f>
        <v/>
      </c>
      <c r="H235" s="33">
        <f>IF(OR($A235="",$B235=""),"",SUMIFS(근태기록!$H$5:$H$2004,근태기록!$C$5:$C$2004,$B235,근태기록!$A$5:$A$2004,"&gt;="&amp;$A235,근태기록!$A$5:$A$2004,"&lt;="&amp;EOMONTH($A235,0)))</f>
        <v/>
      </c>
      <c r="I235" s="33">
        <f>IF(OR($A235="",$B235=""),"",SUMIFS(근태기록!$I$5:$I$2004,근태기록!$C$5:$C$2004,$B235,근태기록!$A$5:$A$2004,"&gt;="&amp;$A235,근태기록!$A$5:$A$2004,"&lt;="&amp;EOMONTH($A235,0)))</f>
        <v/>
      </c>
      <c r="J235" s="33">
        <f>IF(OR($A235="",$B235=""),"",SUMIFS(근태기록!$J$5:$J$2004,근태기록!$C$5:$C$2004,$B235,근태기록!$A$5:$A$2004,"&gt;="&amp;$A235,근태기록!$A$5:$A$2004,"&lt;="&amp;EOMONTH($A235,0)))</f>
        <v/>
      </c>
      <c r="K235" s="33">
        <f>IF(OR($A235="",$B235=""),"",SUMIFS(근태기록!$H$5:$H$2004,근태기록!$C$5:$C$2004,$B235,근태기록!$A$5:$A$2004,"&gt;="&amp;$A235,근태기록!$A$5:$A$2004,"&lt;="&amp;EOMONTH($A235,0),근태기록!$L$5:$L$2004,"휴일근로"))</f>
        <v/>
      </c>
      <c r="L235" s="20" t="n"/>
      <c r="M235" s="20" t="n"/>
      <c r="N235" s="20" t="n"/>
      <c r="O235" s="20" t="n"/>
      <c r="P235" s="15">
        <f>IF(OR($A235="",$B235=""),"",SUM(L235:O235))</f>
        <v/>
      </c>
      <c r="Q235" s="20" t="n"/>
      <c r="R235" s="20" t="n"/>
      <c r="S235" s="20" t="n"/>
      <c r="T235" s="20" t="n"/>
      <c r="U235" s="20" t="n"/>
      <c r="V235" s="20" t="n"/>
      <c r="W235" s="15">
        <f>IF(OR($A235="",$B235=""),"",SUM(Q235:V235))</f>
        <v/>
      </c>
      <c r="X235" s="15">
        <f>IF(OR($A235="",$B235=""),"",N(P235)-N(W235))</f>
        <v/>
      </c>
    </row>
    <row r="236">
      <c r="A236" s="43" t="n"/>
      <c r="B236" s="18" t="n"/>
      <c r="C236" s="25">
        <f>IFERROR(IF($B236="","",IF(INDEX(직원명부!$B$5:$B$24,MATCH($B236,직원명부!$A$5:$A$24,0))=0,"",INDEX(직원명부!$B$5:$B$24,MATCH($B236,직원명부!$A$5:$A$24,0)))),"사번 확인")</f>
        <v/>
      </c>
      <c r="D236" s="26">
        <f>IFERROR(IF($B236="","",IF(INDEX(근로자명부!$D$5:$D$24,MATCH($B236,근로자명부!$A$5:$A$24,0))=0,"",INDEX(근로자명부!$D$5:$D$24,MATCH($B236,근로자명부!$A$5:$A$24,0)))),"")</f>
        <v/>
      </c>
      <c r="E236" s="26">
        <f>IFERROR(IF($B236="","",IF(INDEX(직원명부!$C$5:$C$24,MATCH($B236,직원명부!$A$5:$A$24,0))=0,"",INDEX(직원명부!$C$5:$C$24,MATCH($B236,직원명부!$A$5:$A$24,0)))),"")</f>
        <v/>
      </c>
      <c r="F236" s="44">
        <f>IFERROR(IF($B236="","",IF(INDEX(근로자명부!$G$5:$G$24,MATCH($B236,근로자명부!$A$5:$A$24,0))=0,"",INDEX(근로자명부!$G$5:$G$24,MATCH($B236,근로자명부!$A$5:$A$24,0)))),"")</f>
        <v/>
      </c>
      <c r="G236" s="30">
        <f>IF(OR($A236="",$B236=""),"",COUNTIFS(근태기록!$C$5:$C$2004,$B236,근태기록!$A$5:$A$2004,"&gt;="&amp;$A236,근태기록!$A$5:$A$2004,"&lt;="&amp;EOMONTH($A236,0),근태기록!$H$5:$H$2004,"&gt;0"))</f>
        <v/>
      </c>
      <c r="H236" s="33">
        <f>IF(OR($A236="",$B236=""),"",SUMIFS(근태기록!$H$5:$H$2004,근태기록!$C$5:$C$2004,$B236,근태기록!$A$5:$A$2004,"&gt;="&amp;$A236,근태기록!$A$5:$A$2004,"&lt;="&amp;EOMONTH($A236,0)))</f>
        <v/>
      </c>
      <c r="I236" s="33">
        <f>IF(OR($A236="",$B236=""),"",SUMIFS(근태기록!$I$5:$I$2004,근태기록!$C$5:$C$2004,$B236,근태기록!$A$5:$A$2004,"&gt;="&amp;$A236,근태기록!$A$5:$A$2004,"&lt;="&amp;EOMONTH($A236,0)))</f>
        <v/>
      </c>
      <c r="J236" s="33">
        <f>IF(OR($A236="",$B236=""),"",SUMIFS(근태기록!$J$5:$J$2004,근태기록!$C$5:$C$2004,$B236,근태기록!$A$5:$A$2004,"&gt;="&amp;$A236,근태기록!$A$5:$A$2004,"&lt;="&amp;EOMONTH($A236,0)))</f>
        <v/>
      </c>
      <c r="K236" s="33">
        <f>IF(OR($A236="",$B236=""),"",SUMIFS(근태기록!$H$5:$H$2004,근태기록!$C$5:$C$2004,$B236,근태기록!$A$5:$A$2004,"&gt;="&amp;$A236,근태기록!$A$5:$A$2004,"&lt;="&amp;EOMONTH($A236,0),근태기록!$L$5:$L$2004,"휴일근로"))</f>
        <v/>
      </c>
      <c r="L236" s="20" t="n"/>
      <c r="M236" s="20" t="n"/>
      <c r="N236" s="20" t="n"/>
      <c r="O236" s="20" t="n"/>
      <c r="P236" s="15">
        <f>IF(OR($A236="",$B236=""),"",SUM(L236:O236))</f>
        <v/>
      </c>
      <c r="Q236" s="20" t="n"/>
      <c r="R236" s="20" t="n"/>
      <c r="S236" s="20" t="n"/>
      <c r="T236" s="20" t="n"/>
      <c r="U236" s="20" t="n"/>
      <c r="V236" s="20" t="n"/>
      <c r="W236" s="15">
        <f>IF(OR($A236="",$B236=""),"",SUM(Q236:V236))</f>
        <v/>
      </c>
      <c r="X236" s="15">
        <f>IF(OR($A236="",$B236=""),"",N(P236)-N(W236))</f>
        <v/>
      </c>
    </row>
    <row r="237">
      <c r="A237" s="43" t="n"/>
      <c r="B237" s="18" t="n"/>
      <c r="C237" s="25">
        <f>IFERROR(IF($B237="","",IF(INDEX(직원명부!$B$5:$B$24,MATCH($B237,직원명부!$A$5:$A$24,0))=0,"",INDEX(직원명부!$B$5:$B$24,MATCH($B237,직원명부!$A$5:$A$24,0)))),"사번 확인")</f>
        <v/>
      </c>
      <c r="D237" s="26">
        <f>IFERROR(IF($B237="","",IF(INDEX(근로자명부!$D$5:$D$24,MATCH($B237,근로자명부!$A$5:$A$24,0))=0,"",INDEX(근로자명부!$D$5:$D$24,MATCH($B237,근로자명부!$A$5:$A$24,0)))),"")</f>
        <v/>
      </c>
      <c r="E237" s="26">
        <f>IFERROR(IF($B237="","",IF(INDEX(직원명부!$C$5:$C$24,MATCH($B237,직원명부!$A$5:$A$24,0))=0,"",INDEX(직원명부!$C$5:$C$24,MATCH($B237,직원명부!$A$5:$A$24,0)))),"")</f>
        <v/>
      </c>
      <c r="F237" s="44">
        <f>IFERROR(IF($B237="","",IF(INDEX(근로자명부!$G$5:$G$24,MATCH($B237,근로자명부!$A$5:$A$24,0))=0,"",INDEX(근로자명부!$G$5:$G$24,MATCH($B237,근로자명부!$A$5:$A$24,0)))),"")</f>
        <v/>
      </c>
      <c r="G237" s="30">
        <f>IF(OR($A237="",$B237=""),"",COUNTIFS(근태기록!$C$5:$C$2004,$B237,근태기록!$A$5:$A$2004,"&gt;="&amp;$A237,근태기록!$A$5:$A$2004,"&lt;="&amp;EOMONTH($A237,0),근태기록!$H$5:$H$2004,"&gt;0"))</f>
        <v/>
      </c>
      <c r="H237" s="33">
        <f>IF(OR($A237="",$B237=""),"",SUMIFS(근태기록!$H$5:$H$2004,근태기록!$C$5:$C$2004,$B237,근태기록!$A$5:$A$2004,"&gt;="&amp;$A237,근태기록!$A$5:$A$2004,"&lt;="&amp;EOMONTH($A237,0)))</f>
        <v/>
      </c>
      <c r="I237" s="33">
        <f>IF(OR($A237="",$B237=""),"",SUMIFS(근태기록!$I$5:$I$2004,근태기록!$C$5:$C$2004,$B237,근태기록!$A$5:$A$2004,"&gt;="&amp;$A237,근태기록!$A$5:$A$2004,"&lt;="&amp;EOMONTH($A237,0)))</f>
        <v/>
      </c>
      <c r="J237" s="33">
        <f>IF(OR($A237="",$B237=""),"",SUMIFS(근태기록!$J$5:$J$2004,근태기록!$C$5:$C$2004,$B237,근태기록!$A$5:$A$2004,"&gt;="&amp;$A237,근태기록!$A$5:$A$2004,"&lt;="&amp;EOMONTH($A237,0)))</f>
        <v/>
      </c>
      <c r="K237" s="33">
        <f>IF(OR($A237="",$B237=""),"",SUMIFS(근태기록!$H$5:$H$2004,근태기록!$C$5:$C$2004,$B237,근태기록!$A$5:$A$2004,"&gt;="&amp;$A237,근태기록!$A$5:$A$2004,"&lt;="&amp;EOMONTH($A237,0),근태기록!$L$5:$L$2004,"휴일근로"))</f>
        <v/>
      </c>
      <c r="L237" s="20" t="n"/>
      <c r="M237" s="20" t="n"/>
      <c r="N237" s="20" t="n"/>
      <c r="O237" s="20" t="n"/>
      <c r="P237" s="15">
        <f>IF(OR($A237="",$B237=""),"",SUM(L237:O237))</f>
        <v/>
      </c>
      <c r="Q237" s="20" t="n"/>
      <c r="R237" s="20" t="n"/>
      <c r="S237" s="20" t="n"/>
      <c r="T237" s="20" t="n"/>
      <c r="U237" s="20" t="n"/>
      <c r="V237" s="20" t="n"/>
      <c r="W237" s="15">
        <f>IF(OR($A237="",$B237=""),"",SUM(Q237:V237))</f>
        <v/>
      </c>
      <c r="X237" s="15">
        <f>IF(OR($A237="",$B237=""),"",N(P237)-N(W237))</f>
        <v/>
      </c>
    </row>
    <row r="238">
      <c r="A238" s="43" t="n"/>
      <c r="B238" s="18" t="n"/>
      <c r="C238" s="25">
        <f>IFERROR(IF($B238="","",IF(INDEX(직원명부!$B$5:$B$24,MATCH($B238,직원명부!$A$5:$A$24,0))=0,"",INDEX(직원명부!$B$5:$B$24,MATCH($B238,직원명부!$A$5:$A$24,0)))),"사번 확인")</f>
        <v/>
      </c>
      <c r="D238" s="26">
        <f>IFERROR(IF($B238="","",IF(INDEX(근로자명부!$D$5:$D$24,MATCH($B238,근로자명부!$A$5:$A$24,0))=0,"",INDEX(근로자명부!$D$5:$D$24,MATCH($B238,근로자명부!$A$5:$A$24,0)))),"")</f>
        <v/>
      </c>
      <c r="E238" s="26">
        <f>IFERROR(IF($B238="","",IF(INDEX(직원명부!$C$5:$C$24,MATCH($B238,직원명부!$A$5:$A$24,0))=0,"",INDEX(직원명부!$C$5:$C$24,MATCH($B238,직원명부!$A$5:$A$24,0)))),"")</f>
        <v/>
      </c>
      <c r="F238" s="44">
        <f>IFERROR(IF($B238="","",IF(INDEX(근로자명부!$G$5:$G$24,MATCH($B238,근로자명부!$A$5:$A$24,0))=0,"",INDEX(근로자명부!$G$5:$G$24,MATCH($B238,근로자명부!$A$5:$A$24,0)))),"")</f>
        <v/>
      </c>
      <c r="G238" s="30">
        <f>IF(OR($A238="",$B238=""),"",COUNTIFS(근태기록!$C$5:$C$2004,$B238,근태기록!$A$5:$A$2004,"&gt;="&amp;$A238,근태기록!$A$5:$A$2004,"&lt;="&amp;EOMONTH($A238,0),근태기록!$H$5:$H$2004,"&gt;0"))</f>
        <v/>
      </c>
      <c r="H238" s="33">
        <f>IF(OR($A238="",$B238=""),"",SUMIFS(근태기록!$H$5:$H$2004,근태기록!$C$5:$C$2004,$B238,근태기록!$A$5:$A$2004,"&gt;="&amp;$A238,근태기록!$A$5:$A$2004,"&lt;="&amp;EOMONTH($A238,0)))</f>
        <v/>
      </c>
      <c r="I238" s="33">
        <f>IF(OR($A238="",$B238=""),"",SUMIFS(근태기록!$I$5:$I$2004,근태기록!$C$5:$C$2004,$B238,근태기록!$A$5:$A$2004,"&gt;="&amp;$A238,근태기록!$A$5:$A$2004,"&lt;="&amp;EOMONTH($A238,0)))</f>
        <v/>
      </c>
      <c r="J238" s="33">
        <f>IF(OR($A238="",$B238=""),"",SUMIFS(근태기록!$J$5:$J$2004,근태기록!$C$5:$C$2004,$B238,근태기록!$A$5:$A$2004,"&gt;="&amp;$A238,근태기록!$A$5:$A$2004,"&lt;="&amp;EOMONTH($A238,0)))</f>
        <v/>
      </c>
      <c r="K238" s="33">
        <f>IF(OR($A238="",$B238=""),"",SUMIFS(근태기록!$H$5:$H$2004,근태기록!$C$5:$C$2004,$B238,근태기록!$A$5:$A$2004,"&gt;="&amp;$A238,근태기록!$A$5:$A$2004,"&lt;="&amp;EOMONTH($A238,0),근태기록!$L$5:$L$2004,"휴일근로"))</f>
        <v/>
      </c>
      <c r="L238" s="20" t="n"/>
      <c r="M238" s="20" t="n"/>
      <c r="N238" s="20" t="n"/>
      <c r="O238" s="20" t="n"/>
      <c r="P238" s="15">
        <f>IF(OR($A238="",$B238=""),"",SUM(L238:O238))</f>
        <v/>
      </c>
      <c r="Q238" s="20" t="n"/>
      <c r="R238" s="20" t="n"/>
      <c r="S238" s="20" t="n"/>
      <c r="T238" s="20" t="n"/>
      <c r="U238" s="20" t="n"/>
      <c r="V238" s="20" t="n"/>
      <c r="W238" s="15">
        <f>IF(OR($A238="",$B238=""),"",SUM(Q238:V238))</f>
        <v/>
      </c>
      <c r="X238" s="15">
        <f>IF(OR($A238="",$B238=""),"",N(P238)-N(W238))</f>
        <v/>
      </c>
    </row>
    <row r="239">
      <c r="A239" s="43" t="n"/>
      <c r="B239" s="18" t="n"/>
      <c r="C239" s="25">
        <f>IFERROR(IF($B239="","",IF(INDEX(직원명부!$B$5:$B$24,MATCH($B239,직원명부!$A$5:$A$24,0))=0,"",INDEX(직원명부!$B$5:$B$24,MATCH($B239,직원명부!$A$5:$A$24,0)))),"사번 확인")</f>
        <v/>
      </c>
      <c r="D239" s="26">
        <f>IFERROR(IF($B239="","",IF(INDEX(근로자명부!$D$5:$D$24,MATCH($B239,근로자명부!$A$5:$A$24,0))=0,"",INDEX(근로자명부!$D$5:$D$24,MATCH($B239,근로자명부!$A$5:$A$24,0)))),"")</f>
        <v/>
      </c>
      <c r="E239" s="26">
        <f>IFERROR(IF($B239="","",IF(INDEX(직원명부!$C$5:$C$24,MATCH($B239,직원명부!$A$5:$A$24,0))=0,"",INDEX(직원명부!$C$5:$C$24,MATCH($B239,직원명부!$A$5:$A$24,0)))),"")</f>
        <v/>
      </c>
      <c r="F239" s="44">
        <f>IFERROR(IF($B239="","",IF(INDEX(근로자명부!$G$5:$G$24,MATCH($B239,근로자명부!$A$5:$A$24,0))=0,"",INDEX(근로자명부!$G$5:$G$24,MATCH($B239,근로자명부!$A$5:$A$24,0)))),"")</f>
        <v/>
      </c>
      <c r="G239" s="30">
        <f>IF(OR($A239="",$B239=""),"",COUNTIFS(근태기록!$C$5:$C$2004,$B239,근태기록!$A$5:$A$2004,"&gt;="&amp;$A239,근태기록!$A$5:$A$2004,"&lt;="&amp;EOMONTH($A239,0),근태기록!$H$5:$H$2004,"&gt;0"))</f>
        <v/>
      </c>
      <c r="H239" s="33">
        <f>IF(OR($A239="",$B239=""),"",SUMIFS(근태기록!$H$5:$H$2004,근태기록!$C$5:$C$2004,$B239,근태기록!$A$5:$A$2004,"&gt;="&amp;$A239,근태기록!$A$5:$A$2004,"&lt;="&amp;EOMONTH($A239,0)))</f>
        <v/>
      </c>
      <c r="I239" s="33">
        <f>IF(OR($A239="",$B239=""),"",SUMIFS(근태기록!$I$5:$I$2004,근태기록!$C$5:$C$2004,$B239,근태기록!$A$5:$A$2004,"&gt;="&amp;$A239,근태기록!$A$5:$A$2004,"&lt;="&amp;EOMONTH($A239,0)))</f>
        <v/>
      </c>
      <c r="J239" s="33">
        <f>IF(OR($A239="",$B239=""),"",SUMIFS(근태기록!$J$5:$J$2004,근태기록!$C$5:$C$2004,$B239,근태기록!$A$5:$A$2004,"&gt;="&amp;$A239,근태기록!$A$5:$A$2004,"&lt;="&amp;EOMONTH($A239,0)))</f>
        <v/>
      </c>
      <c r="K239" s="33">
        <f>IF(OR($A239="",$B239=""),"",SUMIFS(근태기록!$H$5:$H$2004,근태기록!$C$5:$C$2004,$B239,근태기록!$A$5:$A$2004,"&gt;="&amp;$A239,근태기록!$A$5:$A$2004,"&lt;="&amp;EOMONTH($A239,0),근태기록!$L$5:$L$2004,"휴일근로"))</f>
        <v/>
      </c>
      <c r="L239" s="20" t="n"/>
      <c r="M239" s="20" t="n"/>
      <c r="N239" s="20" t="n"/>
      <c r="O239" s="20" t="n"/>
      <c r="P239" s="15">
        <f>IF(OR($A239="",$B239=""),"",SUM(L239:O239))</f>
        <v/>
      </c>
      <c r="Q239" s="20" t="n"/>
      <c r="R239" s="20" t="n"/>
      <c r="S239" s="20" t="n"/>
      <c r="T239" s="20" t="n"/>
      <c r="U239" s="20" t="n"/>
      <c r="V239" s="20" t="n"/>
      <c r="W239" s="15">
        <f>IF(OR($A239="",$B239=""),"",SUM(Q239:V239))</f>
        <v/>
      </c>
      <c r="X239" s="15">
        <f>IF(OR($A239="",$B239=""),"",N(P239)-N(W239))</f>
        <v/>
      </c>
    </row>
    <row r="240">
      <c r="A240" s="43" t="n"/>
      <c r="B240" s="18" t="n"/>
      <c r="C240" s="25">
        <f>IFERROR(IF($B240="","",IF(INDEX(직원명부!$B$5:$B$24,MATCH($B240,직원명부!$A$5:$A$24,0))=0,"",INDEX(직원명부!$B$5:$B$24,MATCH($B240,직원명부!$A$5:$A$24,0)))),"사번 확인")</f>
        <v/>
      </c>
      <c r="D240" s="26">
        <f>IFERROR(IF($B240="","",IF(INDEX(근로자명부!$D$5:$D$24,MATCH($B240,근로자명부!$A$5:$A$24,0))=0,"",INDEX(근로자명부!$D$5:$D$24,MATCH($B240,근로자명부!$A$5:$A$24,0)))),"")</f>
        <v/>
      </c>
      <c r="E240" s="26">
        <f>IFERROR(IF($B240="","",IF(INDEX(직원명부!$C$5:$C$24,MATCH($B240,직원명부!$A$5:$A$24,0))=0,"",INDEX(직원명부!$C$5:$C$24,MATCH($B240,직원명부!$A$5:$A$24,0)))),"")</f>
        <v/>
      </c>
      <c r="F240" s="44">
        <f>IFERROR(IF($B240="","",IF(INDEX(근로자명부!$G$5:$G$24,MATCH($B240,근로자명부!$A$5:$A$24,0))=0,"",INDEX(근로자명부!$G$5:$G$24,MATCH($B240,근로자명부!$A$5:$A$24,0)))),"")</f>
        <v/>
      </c>
      <c r="G240" s="30">
        <f>IF(OR($A240="",$B240=""),"",COUNTIFS(근태기록!$C$5:$C$2004,$B240,근태기록!$A$5:$A$2004,"&gt;="&amp;$A240,근태기록!$A$5:$A$2004,"&lt;="&amp;EOMONTH($A240,0),근태기록!$H$5:$H$2004,"&gt;0"))</f>
        <v/>
      </c>
      <c r="H240" s="33">
        <f>IF(OR($A240="",$B240=""),"",SUMIFS(근태기록!$H$5:$H$2004,근태기록!$C$5:$C$2004,$B240,근태기록!$A$5:$A$2004,"&gt;="&amp;$A240,근태기록!$A$5:$A$2004,"&lt;="&amp;EOMONTH($A240,0)))</f>
        <v/>
      </c>
      <c r="I240" s="33">
        <f>IF(OR($A240="",$B240=""),"",SUMIFS(근태기록!$I$5:$I$2004,근태기록!$C$5:$C$2004,$B240,근태기록!$A$5:$A$2004,"&gt;="&amp;$A240,근태기록!$A$5:$A$2004,"&lt;="&amp;EOMONTH($A240,0)))</f>
        <v/>
      </c>
      <c r="J240" s="33">
        <f>IF(OR($A240="",$B240=""),"",SUMIFS(근태기록!$J$5:$J$2004,근태기록!$C$5:$C$2004,$B240,근태기록!$A$5:$A$2004,"&gt;="&amp;$A240,근태기록!$A$5:$A$2004,"&lt;="&amp;EOMONTH($A240,0)))</f>
        <v/>
      </c>
      <c r="K240" s="33">
        <f>IF(OR($A240="",$B240=""),"",SUMIFS(근태기록!$H$5:$H$2004,근태기록!$C$5:$C$2004,$B240,근태기록!$A$5:$A$2004,"&gt;="&amp;$A240,근태기록!$A$5:$A$2004,"&lt;="&amp;EOMONTH($A240,0),근태기록!$L$5:$L$2004,"휴일근로"))</f>
        <v/>
      </c>
      <c r="L240" s="20" t="n"/>
      <c r="M240" s="20" t="n"/>
      <c r="N240" s="20" t="n"/>
      <c r="O240" s="20" t="n"/>
      <c r="P240" s="15">
        <f>IF(OR($A240="",$B240=""),"",SUM(L240:O240))</f>
        <v/>
      </c>
      <c r="Q240" s="20" t="n"/>
      <c r="R240" s="20" t="n"/>
      <c r="S240" s="20" t="n"/>
      <c r="T240" s="20" t="n"/>
      <c r="U240" s="20" t="n"/>
      <c r="V240" s="20" t="n"/>
      <c r="W240" s="15">
        <f>IF(OR($A240="",$B240=""),"",SUM(Q240:V240))</f>
        <v/>
      </c>
      <c r="X240" s="15">
        <f>IF(OR($A240="",$B240=""),"",N(P240)-N(W240))</f>
        <v/>
      </c>
    </row>
    <row r="241">
      <c r="A241" s="43" t="n"/>
      <c r="B241" s="18" t="n"/>
      <c r="C241" s="25">
        <f>IFERROR(IF($B241="","",IF(INDEX(직원명부!$B$5:$B$24,MATCH($B241,직원명부!$A$5:$A$24,0))=0,"",INDEX(직원명부!$B$5:$B$24,MATCH($B241,직원명부!$A$5:$A$24,0)))),"사번 확인")</f>
        <v/>
      </c>
      <c r="D241" s="26">
        <f>IFERROR(IF($B241="","",IF(INDEX(근로자명부!$D$5:$D$24,MATCH($B241,근로자명부!$A$5:$A$24,0))=0,"",INDEX(근로자명부!$D$5:$D$24,MATCH($B241,근로자명부!$A$5:$A$24,0)))),"")</f>
        <v/>
      </c>
      <c r="E241" s="26">
        <f>IFERROR(IF($B241="","",IF(INDEX(직원명부!$C$5:$C$24,MATCH($B241,직원명부!$A$5:$A$24,0))=0,"",INDEX(직원명부!$C$5:$C$24,MATCH($B241,직원명부!$A$5:$A$24,0)))),"")</f>
        <v/>
      </c>
      <c r="F241" s="44">
        <f>IFERROR(IF($B241="","",IF(INDEX(근로자명부!$G$5:$G$24,MATCH($B241,근로자명부!$A$5:$A$24,0))=0,"",INDEX(근로자명부!$G$5:$G$24,MATCH($B241,근로자명부!$A$5:$A$24,0)))),"")</f>
        <v/>
      </c>
      <c r="G241" s="30">
        <f>IF(OR($A241="",$B241=""),"",COUNTIFS(근태기록!$C$5:$C$2004,$B241,근태기록!$A$5:$A$2004,"&gt;="&amp;$A241,근태기록!$A$5:$A$2004,"&lt;="&amp;EOMONTH($A241,0),근태기록!$H$5:$H$2004,"&gt;0"))</f>
        <v/>
      </c>
      <c r="H241" s="33">
        <f>IF(OR($A241="",$B241=""),"",SUMIFS(근태기록!$H$5:$H$2004,근태기록!$C$5:$C$2004,$B241,근태기록!$A$5:$A$2004,"&gt;="&amp;$A241,근태기록!$A$5:$A$2004,"&lt;="&amp;EOMONTH($A241,0)))</f>
        <v/>
      </c>
      <c r="I241" s="33">
        <f>IF(OR($A241="",$B241=""),"",SUMIFS(근태기록!$I$5:$I$2004,근태기록!$C$5:$C$2004,$B241,근태기록!$A$5:$A$2004,"&gt;="&amp;$A241,근태기록!$A$5:$A$2004,"&lt;="&amp;EOMONTH($A241,0)))</f>
        <v/>
      </c>
      <c r="J241" s="33">
        <f>IF(OR($A241="",$B241=""),"",SUMIFS(근태기록!$J$5:$J$2004,근태기록!$C$5:$C$2004,$B241,근태기록!$A$5:$A$2004,"&gt;="&amp;$A241,근태기록!$A$5:$A$2004,"&lt;="&amp;EOMONTH($A241,0)))</f>
        <v/>
      </c>
      <c r="K241" s="33">
        <f>IF(OR($A241="",$B241=""),"",SUMIFS(근태기록!$H$5:$H$2004,근태기록!$C$5:$C$2004,$B241,근태기록!$A$5:$A$2004,"&gt;="&amp;$A241,근태기록!$A$5:$A$2004,"&lt;="&amp;EOMONTH($A241,0),근태기록!$L$5:$L$2004,"휴일근로"))</f>
        <v/>
      </c>
      <c r="L241" s="20" t="n"/>
      <c r="M241" s="20" t="n"/>
      <c r="N241" s="20" t="n"/>
      <c r="O241" s="20" t="n"/>
      <c r="P241" s="15">
        <f>IF(OR($A241="",$B241=""),"",SUM(L241:O241))</f>
        <v/>
      </c>
      <c r="Q241" s="20" t="n"/>
      <c r="R241" s="20" t="n"/>
      <c r="S241" s="20" t="n"/>
      <c r="T241" s="20" t="n"/>
      <c r="U241" s="20" t="n"/>
      <c r="V241" s="20" t="n"/>
      <c r="W241" s="15">
        <f>IF(OR($A241="",$B241=""),"",SUM(Q241:V241))</f>
        <v/>
      </c>
      <c r="X241" s="15">
        <f>IF(OR($A241="",$B241=""),"",N(P241)-N(W241))</f>
        <v/>
      </c>
    </row>
    <row r="242">
      <c r="A242" s="43" t="n"/>
      <c r="B242" s="18" t="n"/>
      <c r="C242" s="25">
        <f>IFERROR(IF($B242="","",IF(INDEX(직원명부!$B$5:$B$24,MATCH($B242,직원명부!$A$5:$A$24,0))=0,"",INDEX(직원명부!$B$5:$B$24,MATCH($B242,직원명부!$A$5:$A$24,0)))),"사번 확인")</f>
        <v/>
      </c>
      <c r="D242" s="26">
        <f>IFERROR(IF($B242="","",IF(INDEX(근로자명부!$D$5:$D$24,MATCH($B242,근로자명부!$A$5:$A$24,0))=0,"",INDEX(근로자명부!$D$5:$D$24,MATCH($B242,근로자명부!$A$5:$A$24,0)))),"")</f>
        <v/>
      </c>
      <c r="E242" s="26">
        <f>IFERROR(IF($B242="","",IF(INDEX(직원명부!$C$5:$C$24,MATCH($B242,직원명부!$A$5:$A$24,0))=0,"",INDEX(직원명부!$C$5:$C$24,MATCH($B242,직원명부!$A$5:$A$24,0)))),"")</f>
        <v/>
      </c>
      <c r="F242" s="44">
        <f>IFERROR(IF($B242="","",IF(INDEX(근로자명부!$G$5:$G$24,MATCH($B242,근로자명부!$A$5:$A$24,0))=0,"",INDEX(근로자명부!$G$5:$G$24,MATCH($B242,근로자명부!$A$5:$A$24,0)))),"")</f>
        <v/>
      </c>
      <c r="G242" s="30">
        <f>IF(OR($A242="",$B242=""),"",COUNTIFS(근태기록!$C$5:$C$2004,$B242,근태기록!$A$5:$A$2004,"&gt;="&amp;$A242,근태기록!$A$5:$A$2004,"&lt;="&amp;EOMONTH($A242,0),근태기록!$H$5:$H$2004,"&gt;0"))</f>
        <v/>
      </c>
      <c r="H242" s="33">
        <f>IF(OR($A242="",$B242=""),"",SUMIFS(근태기록!$H$5:$H$2004,근태기록!$C$5:$C$2004,$B242,근태기록!$A$5:$A$2004,"&gt;="&amp;$A242,근태기록!$A$5:$A$2004,"&lt;="&amp;EOMONTH($A242,0)))</f>
        <v/>
      </c>
      <c r="I242" s="33">
        <f>IF(OR($A242="",$B242=""),"",SUMIFS(근태기록!$I$5:$I$2004,근태기록!$C$5:$C$2004,$B242,근태기록!$A$5:$A$2004,"&gt;="&amp;$A242,근태기록!$A$5:$A$2004,"&lt;="&amp;EOMONTH($A242,0)))</f>
        <v/>
      </c>
      <c r="J242" s="33">
        <f>IF(OR($A242="",$B242=""),"",SUMIFS(근태기록!$J$5:$J$2004,근태기록!$C$5:$C$2004,$B242,근태기록!$A$5:$A$2004,"&gt;="&amp;$A242,근태기록!$A$5:$A$2004,"&lt;="&amp;EOMONTH($A242,0)))</f>
        <v/>
      </c>
      <c r="K242" s="33">
        <f>IF(OR($A242="",$B242=""),"",SUMIFS(근태기록!$H$5:$H$2004,근태기록!$C$5:$C$2004,$B242,근태기록!$A$5:$A$2004,"&gt;="&amp;$A242,근태기록!$A$5:$A$2004,"&lt;="&amp;EOMONTH($A242,0),근태기록!$L$5:$L$2004,"휴일근로"))</f>
        <v/>
      </c>
      <c r="L242" s="20" t="n"/>
      <c r="M242" s="20" t="n"/>
      <c r="N242" s="20" t="n"/>
      <c r="O242" s="20" t="n"/>
      <c r="P242" s="15">
        <f>IF(OR($A242="",$B242=""),"",SUM(L242:O242))</f>
        <v/>
      </c>
      <c r="Q242" s="20" t="n"/>
      <c r="R242" s="20" t="n"/>
      <c r="S242" s="20" t="n"/>
      <c r="T242" s="20" t="n"/>
      <c r="U242" s="20" t="n"/>
      <c r="V242" s="20" t="n"/>
      <c r="W242" s="15">
        <f>IF(OR($A242="",$B242=""),"",SUM(Q242:V242))</f>
        <v/>
      </c>
      <c r="X242" s="15">
        <f>IF(OR($A242="",$B242=""),"",N(P242)-N(W242))</f>
        <v/>
      </c>
    </row>
    <row r="243">
      <c r="A243" s="43" t="n"/>
      <c r="B243" s="18" t="n"/>
      <c r="C243" s="25">
        <f>IFERROR(IF($B243="","",IF(INDEX(직원명부!$B$5:$B$24,MATCH($B243,직원명부!$A$5:$A$24,0))=0,"",INDEX(직원명부!$B$5:$B$24,MATCH($B243,직원명부!$A$5:$A$24,0)))),"사번 확인")</f>
        <v/>
      </c>
      <c r="D243" s="26">
        <f>IFERROR(IF($B243="","",IF(INDEX(근로자명부!$D$5:$D$24,MATCH($B243,근로자명부!$A$5:$A$24,0))=0,"",INDEX(근로자명부!$D$5:$D$24,MATCH($B243,근로자명부!$A$5:$A$24,0)))),"")</f>
        <v/>
      </c>
      <c r="E243" s="26">
        <f>IFERROR(IF($B243="","",IF(INDEX(직원명부!$C$5:$C$24,MATCH($B243,직원명부!$A$5:$A$24,0))=0,"",INDEX(직원명부!$C$5:$C$24,MATCH($B243,직원명부!$A$5:$A$24,0)))),"")</f>
        <v/>
      </c>
      <c r="F243" s="44">
        <f>IFERROR(IF($B243="","",IF(INDEX(근로자명부!$G$5:$G$24,MATCH($B243,근로자명부!$A$5:$A$24,0))=0,"",INDEX(근로자명부!$G$5:$G$24,MATCH($B243,근로자명부!$A$5:$A$24,0)))),"")</f>
        <v/>
      </c>
      <c r="G243" s="30">
        <f>IF(OR($A243="",$B243=""),"",COUNTIFS(근태기록!$C$5:$C$2004,$B243,근태기록!$A$5:$A$2004,"&gt;="&amp;$A243,근태기록!$A$5:$A$2004,"&lt;="&amp;EOMONTH($A243,0),근태기록!$H$5:$H$2004,"&gt;0"))</f>
        <v/>
      </c>
      <c r="H243" s="33">
        <f>IF(OR($A243="",$B243=""),"",SUMIFS(근태기록!$H$5:$H$2004,근태기록!$C$5:$C$2004,$B243,근태기록!$A$5:$A$2004,"&gt;="&amp;$A243,근태기록!$A$5:$A$2004,"&lt;="&amp;EOMONTH($A243,0)))</f>
        <v/>
      </c>
      <c r="I243" s="33">
        <f>IF(OR($A243="",$B243=""),"",SUMIFS(근태기록!$I$5:$I$2004,근태기록!$C$5:$C$2004,$B243,근태기록!$A$5:$A$2004,"&gt;="&amp;$A243,근태기록!$A$5:$A$2004,"&lt;="&amp;EOMONTH($A243,0)))</f>
        <v/>
      </c>
      <c r="J243" s="33">
        <f>IF(OR($A243="",$B243=""),"",SUMIFS(근태기록!$J$5:$J$2004,근태기록!$C$5:$C$2004,$B243,근태기록!$A$5:$A$2004,"&gt;="&amp;$A243,근태기록!$A$5:$A$2004,"&lt;="&amp;EOMONTH($A243,0)))</f>
        <v/>
      </c>
      <c r="K243" s="33">
        <f>IF(OR($A243="",$B243=""),"",SUMIFS(근태기록!$H$5:$H$2004,근태기록!$C$5:$C$2004,$B243,근태기록!$A$5:$A$2004,"&gt;="&amp;$A243,근태기록!$A$5:$A$2004,"&lt;="&amp;EOMONTH($A243,0),근태기록!$L$5:$L$2004,"휴일근로"))</f>
        <v/>
      </c>
      <c r="L243" s="20" t="n"/>
      <c r="M243" s="20" t="n"/>
      <c r="N243" s="20" t="n"/>
      <c r="O243" s="20" t="n"/>
      <c r="P243" s="15">
        <f>IF(OR($A243="",$B243=""),"",SUM(L243:O243))</f>
        <v/>
      </c>
      <c r="Q243" s="20" t="n"/>
      <c r="R243" s="20" t="n"/>
      <c r="S243" s="20" t="n"/>
      <c r="T243" s="20" t="n"/>
      <c r="U243" s="20" t="n"/>
      <c r="V243" s="20" t="n"/>
      <c r="W243" s="15">
        <f>IF(OR($A243="",$B243=""),"",SUM(Q243:V243))</f>
        <v/>
      </c>
      <c r="X243" s="15">
        <f>IF(OR($A243="",$B243=""),"",N(P243)-N(W243))</f>
        <v/>
      </c>
    </row>
    <row r="244">
      <c r="A244" s="43" t="n"/>
      <c r="B244" s="18" t="n"/>
      <c r="C244" s="25">
        <f>IFERROR(IF($B244="","",IF(INDEX(직원명부!$B$5:$B$24,MATCH($B244,직원명부!$A$5:$A$24,0))=0,"",INDEX(직원명부!$B$5:$B$24,MATCH($B244,직원명부!$A$5:$A$24,0)))),"사번 확인")</f>
        <v/>
      </c>
      <c r="D244" s="26">
        <f>IFERROR(IF($B244="","",IF(INDEX(근로자명부!$D$5:$D$24,MATCH($B244,근로자명부!$A$5:$A$24,0))=0,"",INDEX(근로자명부!$D$5:$D$24,MATCH($B244,근로자명부!$A$5:$A$24,0)))),"")</f>
        <v/>
      </c>
      <c r="E244" s="26">
        <f>IFERROR(IF($B244="","",IF(INDEX(직원명부!$C$5:$C$24,MATCH($B244,직원명부!$A$5:$A$24,0))=0,"",INDEX(직원명부!$C$5:$C$24,MATCH($B244,직원명부!$A$5:$A$24,0)))),"")</f>
        <v/>
      </c>
      <c r="F244" s="44">
        <f>IFERROR(IF($B244="","",IF(INDEX(근로자명부!$G$5:$G$24,MATCH($B244,근로자명부!$A$5:$A$24,0))=0,"",INDEX(근로자명부!$G$5:$G$24,MATCH($B244,근로자명부!$A$5:$A$24,0)))),"")</f>
        <v/>
      </c>
      <c r="G244" s="30">
        <f>IF(OR($A244="",$B244=""),"",COUNTIFS(근태기록!$C$5:$C$2004,$B244,근태기록!$A$5:$A$2004,"&gt;="&amp;$A244,근태기록!$A$5:$A$2004,"&lt;="&amp;EOMONTH($A244,0),근태기록!$H$5:$H$2004,"&gt;0"))</f>
        <v/>
      </c>
      <c r="H244" s="33">
        <f>IF(OR($A244="",$B244=""),"",SUMIFS(근태기록!$H$5:$H$2004,근태기록!$C$5:$C$2004,$B244,근태기록!$A$5:$A$2004,"&gt;="&amp;$A244,근태기록!$A$5:$A$2004,"&lt;="&amp;EOMONTH($A244,0)))</f>
        <v/>
      </c>
      <c r="I244" s="33">
        <f>IF(OR($A244="",$B244=""),"",SUMIFS(근태기록!$I$5:$I$2004,근태기록!$C$5:$C$2004,$B244,근태기록!$A$5:$A$2004,"&gt;="&amp;$A244,근태기록!$A$5:$A$2004,"&lt;="&amp;EOMONTH($A244,0)))</f>
        <v/>
      </c>
      <c r="J244" s="33">
        <f>IF(OR($A244="",$B244=""),"",SUMIFS(근태기록!$J$5:$J$2004,근태기록!$C$5:$C$2004,$B244,근태기록!$A$5:$A$2004,"&gt;="&amp;$A244,근태기록!$A$5:$A$2004,"&lt;="&amp;EOMONTH($A244,0)))</f>
        <v/>
      </c>
      <c r="K244" s="33">
        <f>IF(OR($A244="",$B244=""),"",SUMIFS(근태기록!$H$5:$H$2004,근태기록!$C$5:$C$2004,$B244,근태기록!$A$5:$A$2004,"&gt;="&amp;$A244,근태기록!$A$5:$A$2004,"&lt;="&amp;EOMONTH($A244,0),근태기록!$L$5:$L$2004,"휴일근로"))</f>
        <v/>
      </c>
      <c r="L244" s="20" t="n"/>
      <c r="M244" s="20" t="n"/>
      <c r="N244" s="20" t="n"/>
      <c r="O244" s="20" t="n"/>
      <c r="P244" s="15">
        <f>IF(OR($A244="",$B244=""),"",SUM(L244:O244))</f>
        <v/>
      </c>
      <c r="Q244" s="20" t="n"/>
      <c r="R244" s="20" t="n"/>
      <c r="S244" s="20" t="n"/>
      <c r="T244" s="20" t="n"/>
      <c r="U244" s="20" t="n"/>
      <c r="V244" s="20" t="n"/>
      <c r="W244" s="15">
        <f>IF(OR($A244="",$B244=""),"",SUM(Q244:V244))</f>
        <v/>
      </c>
      <c r="X244" s="15">
        <f>IF(OR($A244="",$B244=""),"",N(P244)-N(W244))</f>
        <v/>
      </c>
    </row>
    <row r="245"/>
    <row r="246">
      <c r="A246" s="2" t="inlineStr">
        <is>
          <t>· 임금을 지급할 때마다 한 줄씩 적습니다. 지급년월은 반드시 그 달 1일 날짜로 넣어야 집계가 맞습니다.</t>
        </is>
      </c>
    </row>
    <row r="247">
      <c r="A247" s="2" t="inlineStr">
        <is>
          <t>· 「기본급」부터 「고용보험」까지는 급여를 계산한 값을 그대로 옮겨 적습니다. 세무 대리인이 보내 준 급여대장의 값과 같아야 합니다.</t>
        </is>
      </c>
    </row>
    <row r="248">
      <c r="A248" s="2" t="inlineStr">
        <is>
          <t>· 「식대 (비과세)」는 소득세법이 정한 한도(월 20만원)까지 비과세로 처리되는 금액입니다. (연봉계약서 제4조제2항)</t>
        </is>
      </c>
    </row>
    <row r="249">
      <c r="A249" s="2" t="inlineStr">
        <is>
          <t>· 「근로일수」부터 「휴일시간」까지는 근태기록에서 자동으로 모입니다. 상시 4명 이하 사업장은 시행령 제27조제3항에 따라 근로시간수와 연장·야간·휴일 시간수를 적지 않아도 되지만, 기록이 있으므로 함께 남겨 둡니다.</t>
        </is>
      </c>
    </row>
    <row r="250">
      <c r="A250" s="2" t="inlineStr">
        <is>
          <t>· 이 대장과 임금명세서는 별개입니다. 명세서는 매월 사원에게 교부해야 합니다. (제48조제2항 · 취업규칙 제32조)</t>
        </is>
      </c>
    </row>
    <row r="251">
      <c r="A251" s="2" t="inlineStr">
        <is>
          <t>· 임금 관련 서류는 3년간 보존합니다. (제42조)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  <c r="E4" s="40" t="inlineStr">
        <is>
          <t>성별</t>
        </is>
      </c>
      <c r="F4" s="40" t="inlineStr">
        <is>
          <t>퇴직사유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  <c r="E5" s="41" t="inlineStr">
        <is>
          <t>남</t>
        </is>
      </c>
      <c r="F5" s="41" t="inlineStr">
        <is>
          <t>자진퇴사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  <c r="E6" s="41" t="inlineStr">
        <is>
          <t>여</t>
        </is>
      </c>
      <c r="F6" s="41" t="inlineStr">
        <is>
          <t>계약만료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  <c r="F7" s="41" t="inlineStr">
        <is>
          <t>권고사직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  <c r="F8" s="41" t="inlineStr">
        <is>
          <t>해고</t>
        </is>
      </c>
    </row>
    <row r="9">
      <c r="C9" s="41" t="inlineStr">
        <is>
          <t>결근</t>
        </is>
      </c>
      <c r="D9" s="41" t="inlineStr">
        <is>
          <t>출산전후휴가</t>
        </is>
      </c>
      <c r="F9" s="41" t="inlineStr">
        <is>
          <t>정년</t>
        </is>
      </c>
    </row>
    <row r="10">
      <c r="C10" s="41" t="inlineStr">
        <is>
          <t>휴가</t>
        </is>
      </c>
      <c r="D10" s="41" t="inlineStr">
        <is>
          <t>배우자출산휴가</t>
        </is>
      </c>
      <c r="F10" s="41" t="inlineStr">
        <is>
          <t>사망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  <row r="14">
      <c r="C14" s="41" t="inlineStr">
        <is>
          <t>단축근무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2026-08-29T13:56:30Z</dcterms:created>
  <dcterms:modified xsi:type="dcterms:W3CDTF">2026-10-02T10:12:18Z</dcterms:modified>
</cp:coreProperties>
</file>