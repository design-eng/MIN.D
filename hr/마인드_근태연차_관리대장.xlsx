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코드표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2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코드표</t>
        </is>
      </c>
      <c r="B11" s="4" t="inlineStr">
        <is>
          <t>드롭다운 목록의 원본입니다. 항목을 늘리려면 여기에 추가합니다.</t>
        </is>
      </c>
    </row>
    <row r="12">
      <c r="A12" s="3" t="inlineStr"/>
      <c r="B12" s="4" t="inlineStr"/>
    </row>
    <row r="13" ht="24" customHeight="1">
      <c r="A13" s="5" t="inlineStr">
        <is>
          <t>연차 계산 기준</t>
        </is>
      </c>
      <c r="B13" s="6" t="inlineStr"/>
    </row>
    <row r="14">
      <c r="A14" s="3" t="inlineStr">
        <is>
          <t>산정 기준일</t>
        </is>
      </c>
      <c r="B14" s="4" t="inlineStr">
        <is>
          <t>입사일 기준입니다. 사람마다 연차 발생일이 다릅니다. (취업규칙 제22조제3항)</t>
        </is>
      </c>
    </row>
    <row r="15">
      <c r="A15" s="3" t="inlineStr">
        <is>
          <t>1년 미만</t>
        </is>
      </c>
      <c r="B15" s="4" t="inlineStr">
        <is>
          <t>1개월 개근할 때마다 1일씩, 최대 11일. 입사 1주년 전날까지 써야 하고 남으면 소멸합니다.</t>
        </is>
      </c>
    </row>
    <row r="16">
      <c r="A16" s="3" t="inlineStr">
        <is>
          <t>1년 이상</t>
        </is>
      </c>
      <c r="B16" s="4" t="inlineStr">
        <is>
          <t>15일. 3년 이상 근속부터 2년마다 1일씩 늘어나며 최대 25일입니다.</t>
        </is>
      </c>
    </row>
    <row r="17">
      <c r="A17" s="3" t="inlineStr">
        <is>
          <t>반차</t>
        </is>
      </c>
      <c r="B17" s="4" t="inlineStr">
        <is>
          <t>휴가대장의 「일수」 칸에 0.5를 넣으면 반차로 집계됩니다.</t>
        </is>
      </c>
    </row>
    <row r="18">
      <c r="A18" s="3" t="inlineStr">
        <is>
          <t>미사용분</t>
        </is>
      </c>
      <c r="B18" s="4" t="inlineStr">
        <is>
          <t>산정기간이 끝나면 소멸하며, 소멸한 일수만큼 미사용 수당을 지급합니다. (취업규칙 제23조제4항)</t>
        </is>
      </c>
    </row>
    <row r="19">
      <c r="A19" s="3" t="inlineStr"/>
      <c r="B19" s="4" t="inlineStr"/>
    </row>
    <row r="20" ht="24" customHeight="1">
      <c r="A20" s="5" t="inlineStr">
        <is>
          <t>꼭 알아두실 점</t>
        </is>
      </c>
      <c r="B20" s="6" t="inlineStr"/>
    </row>
    <row r="21" ht="30" customHeight="1">
      <c r="A21" s="3" t="inlineStr">
        <is>
          <t>월차는 없습니다</t>
        </is>
      </c>
      <c r="B21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2" ht="30" customHeight="1">
      <c r="A22" s="3" t="inlineStr">
        <is>
          <t>5인 미만</t>
        </is>
      </c>
      <c r="B22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3">
      <c r="A23" s="3" t="inlineStr">
        <is>
          <t>보존 의무</t>
        </is>
      </c>
      <c r="B23" s="4" t="inlineStr">
        <is>
          <t>근태기록과 임금 관련 서류는 3년간 보존해야 합니다. (근로기준법 제42조)</t>
        </is>
      </c>
    </row>
    <row r="24" ht="30" customHeight="1">
      <c r="A24" s="3" t="inlineStr">
        <is>
          <t>5인이 되면</t>
        </is>
      </c>
      <c r="B24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6" ht="30" customHeight="1">
      <c r="A26" s="7" t="inlineStr">
        <is>
          <t>※</t>
        </is>
      </c>
      <c r="B26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7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2" customWidth="1" min="10" max="10"/>
    <col width="28" customWidth="1" min="11" max="11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0" t="inlineStr">
        <is>
          <t>근태구분</t>
        </is>
      </c>
      <c r="K4" s="10" t="inlineStr">
        <is>
          <t>비고</t>
        </is>
      </c>
    </row>
    <row r="5">
      <c r="A5" s="13" t="n"/>
      <c r="B5" s="25">
        <f>IF(A5="","",CHOOSE(WEEKDAY(A5,2),"월","화","수","목","금","토","일"))</f>
        <v/>
      </c>
      <c r="C5" s="12" t="n"/>
      <c r="D5" s="25">
        <f>IFERROR(IF(C5="","",INDEX(직원명부!$B$5:$B$24,MATCH(C5,직원명부!$A$5:$A$24,0))),"사번 확인")</f>
        <v/>
      </c>
      <c r="E5" s="32" t="n"/>
      <c r="F5" s="32" t="n"/>
      <c r="G5" s="31" t="n"/>
      <c r="H5" s="33">
        <f>IF(OR(E5="",F5=""),"",ROUND(MOD(F5-E5,1)*24-N(G5),2))</f>
        <v/>
      </c>
      <c r="I5" s="33">
        <f>IF(H5="","",ROUND(MAX(0,H5-8),2))</f>
        <v/>
      </c>
      <c r="J5" s="12" t="n"/>
      <c r="K5" s="17" t="n"/>
    </row>
    <row r="6">
      <c r="A6" s="19" t="n"/>
      <c r="B6" s="25">
        <f>IF(A6="","",CHOOSE(WEEKDAY(A6,2),"월","화","수","목","금","토","일"))</f>
        <v/>
      </c>
      <c r="C6" s="18" t="n"/>
      <c r="D6" s="25">
        <f>IFERROR(IF(C6="","",INDEX(직원명부!$B$5:$B$24,MATCH(C6,직원명부!$A$5:$A$24,0))),"사번 확인")</f>
        <v/>
      </c>
      <c r="E6" s="34" t="n"/>
      <c r="F6" s="34" t="n"/>
      <c r="G6" s="28" t="n"/>
      <c r="H6" s="33">
        <f>IF(OR(E6="",F6=""),"",ROUND(MOD(F6-E6,1)*24-N(G6),2))</f>
        <v/>
      </c>
      <c r="I6" s="33">
        <f>IF(H6="","",ROUND(MAX(0,H6-8),2))</f>
        <v/>
      </c>
      <c r="J6" s="18" t="n"/>
      <c r="K6" s="22" t="n"/>
    </row>
    <row r="7">
      <c r="A7" s="19" t="n"/>
      <c r="B7" s="25">
        <f>IF(A7="","",CHOOSE(WEEKDAY(A7,2),"월","화","수","목","금","토","일"))</f>
        <v/>
      </c>
      <c r="C7" s="18" t="n"/>
      <c r="D7" s="25">
        <f>IFERROR(IF(C7="","",INDEX(직원명부!$B$5:$B$24,MATCH(C7,직원명부!$A$5:$A$24,0))),"사번 확인")</f>
        <v/>
      </c>
      <c r="E7" s="34" t="n"/>
      <c r="F7" s="34" t="n"/>
      <c r="G7" s="28" t="n"/>
      <c r="H7" s="33">
        <f>IF(OR(E7="",F7=""),"",ROUND(MOD(F7-E7,1)*24-N(G7),2))</f>
        <v/>
      </c>
      <c r="I7" s="33">
        <f>IF(H7="","",ROUND(MAX(0,H7-8),2))</f>
        <v/>
      </c>
      <c r="J7" s="18" t="n"/>
      <c r="K7" s="22" t="n"/>
    </row>
    <row r="8">
      <c r="A8" s="19" t="n"/>
      <c r="B8" s="25">
        <f>IF(A8="","",CHOOSE(WEEKDAY(A8,2),"월","화","수","목","금","토","일"))</f>
        <v/>
      </c>
      <c r="C8" s="18" t="n"/>
      <c r="D8" s="25">
        <f>IFERROR(IF(C8="","",INDEX(직원명부!$B$5:$B$24,MATCH(C8,직원명부!$A$5:$A$24,0))),"사번 확인")</f>
        <v/>
      </c>
      <c r="E8" s="34" t="n"/>
      <c r="F8" s="34" t="n"/>
      <c r="G8" s="28" t="n"/>
      <c r="H8" s="33">
        <f>IF(OR(E8="",F8=""),"",ROUND(MOD(F8-E8,1)*24-N(G8),2))</f>
        <v/>
      </c>
      <c r="I8" s="33">
        <f>IF(H8="","",ROUND(MAX(0,H8-8),2))</f>
        <v/>
      </c>
      <c r="J8" s="18" t="n"/>
      <c r="K8" s="22" t="n"/>
    </row>
    <row r="9">
      <c r="A9" s="19" t="n"/>
      <c r="B9" s="25">
        <f>IF(A9="","",CHOOSE(WEEKDAY(A9,2),"월","화","수","목","금","토","일"))</f>
        <v/>
      </c>
      <c r="C9" s="18" t="n"/>
      <c r="D9" s="25">
        <f>IFERROR(IF(C9="","",INDEX(직원명부!$B$5:$B$24,MATCH(C9,직원명부!$A$5:$A$24,0))),"사번 확인")</f>
        <v/>
      </c>
      <c r="E9" s="34" t="n"/>
      <c r="F9" s="34" t="n"/>
      <c r="G9" s="28" t="n"/>
      <c r="H9" s="33">
        <f>IF(OR(E9="",F9=""),"",ROUND(MOD(F9-E9,1)*24-N(G9),2))</f>
        <v/>
      </c>
      <c r="I9" s="33">
        <f>IF(H9="","",ROUND(MAX(0,H9-8),2))</f>
        <v/>
      </c>
      <c r="J9" s="18" t="n"/>
      <c r="K9" s="22" t="n"/>
    </row>
    <row r="10">
      <c r="A10" s="19" t="n"/>
      <c r="B10" s="25">
        <f>IF(A10="","",CHOOSE(WEEKDAY(A10,2),"월","화","수","목","금","토","일"))</f>
        <v/>
      </c>
      <c r="C10" s="18" t="n"/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18" t="n"/>
      <c r="K10" s="22" t="n"/>
    </row>
    <row r="11">
      <c r="A11" s="19" t="n"/>
      <c r="B11" s="25">
        <f>IF(A11="","",CHOOSE(WEEKDAY(A11,2),"월","화","수","목","금","토","일"))</f>
        <v/>
      </c>
      <c r="C11" s="18" t="n"/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18" t="n"/>
      <c r="K11" s="22" t="n"/>
    </row>
    <row r="12">
      <c r="A12" s="19" t="n"/>
      <c r="B12" s="25">
        <f>IF(A12="","",CHOOSE(WEEKDAY(A12,2),"월","화","수","목","금","토","일"))</f>
        <v/>
      </c>
      <c r="C12" s="18" t="n"/>
      <c r="D12" s="25">
        <f>IFERROR(IF(C12="","",INDEX(직원명부!$B$5:$B$24,MATCH(C12,직원명부!$A$5:$A$24,0))),"사번 확인")</f>
        <v/>
      </c>
      <c r="E12" s="34" t="n"/>
      <c r="F12" s="34" t="n"/>
      <c r="G12" s="28" t="n"/>
      <c r="H12" s="33">
        <f>IF(OR(E12="",F12=""),"",ROUND(MOD(F12-E12,1)*24-N(G12),2))</f>
        <v/>
      </c>
      <c r="I12" s="33">
        <f>IF(H12="","",ROUND(MAX(0,H12-8),2))</f>
        <v/>
      </c>
      <c r="J12" s="18" t="n"/>
      <c r="K12" s="22" t="n"/>
    </row>
    <row r="13">
      <c r="A13" s="19" t="n"/>
      <c r="B13" s="25">
        <f>IF(A13="","",CHOOSE(WEEKDAY(A13,2),"월","화","수","목","금","토","일"))</f>
        <v/>
      </c>
      <c r="C13" s="18" t="n"/>
      <c r="D13" s="25">
        <f>IFERROR(IF(C13="","",INDEX(직원명부!$B$5:$B$24,MATCH(C13,직원명부!$A$5:$A$24,0))),"사번 확인")</f>
        <v/>
      </c>
      <c r="E13" s="34" t="n"/>
      <c r="F13" s="34" t="n"/>
      <c r="G13" s="28" t="n"/>
      <c r="H13" s="33">
        <f>IF(OR(E13="",F13=""),"",ROUND(MOD(F13-E13,1)*24-N(G13),2))</f>
        <v/>
      </c>
      <c r="I13" s="33">
        <f>IF(H13="","",ROUND(MAX(0,H13-8),2))</f>
        <v/>
      </c>
      <c r="J13" s="18" t="n"/>
      <c r="K13" s="22" t="n"/>
    </row>
    <row r="14">
      <c r="A14" s="19" t="n"/>
      <c r="B14" s="25">
        <f>IF(A14="","",CHOOSE(WEEKDAY(A14,2),"월","화","수","목","금","토","일"))</f>
        <v/>
      </c>
      <c r="C14" s="18" t="n"/>
      <c r="D14" s="25">
        <f>IFERROR(IF(C14="","",INDEX(직원명부!$B$5:$B$24,MATCH(C14,직원명부!$A$5:$A$24,0))),"사번 확인")</f>
        <v/>
      </c>
      <c r="E14" s="34" t="n"/>
      <c r="F14" s="34" t="n"/>
      <c r="G14" s="28" t="n"/>
      <c r="H14" s="33">
        <f>IF(OR(E14="",F14=""),"",ROUND(MOD(F14-E14,1)*24-N(G14),2))</f>
        <v/>
      </c>
      <c r="I14" s="33">
        <f>IF(H14="","",ROUND(MAX(0,H14-8),2))</f>
        <v/>
      </c>
      <c r="J14" s="18" t="n"/>
      <c r="K14" s="22" t="n"/>
    </row>
    <row r="15">
      <c r="A15" s="19" t="n"/>
      <c r="B15" s="25">
        <f>IF(A15="","",CHOOSE(WEEKDAY(A15,2),"월","화","수","목","금","토","일"))</f>
        <v/>
      </c>
      <c r="C15" s="18" t="n"/>
      <c r="D15" s="25">
        <f>IFERROR(IF(C15="","",INDEX(직원명부!$B$5:$B$24,MATCH(C15,직원명부!$A$5:$A$24,0))),"사번 확인")</f>
        <v/>
      </c>
      <c r="E15" s="34" t="n"/>
      <c r="F15" s="34" t="n"/>
      <c r="G15" s="28" t="n"/>
      <c r="H15" s="33">
        <f>IF(OR(E15="",F15=""),"",ROUND(MOD(F15-E15,1)*24-N(G15),2))</f>
        <v/>
      </c>
      <c r="I15" s="33">
        <f>IF(H15="","",ROUND(MAX(0,H15-8),2))</f>
        <v/>
      </c>
      <c r="J15" s="18" t="n"/>
      <c r="K15" s="22" t="n"/>
    </row>
    <row r="16">
      <c r="A16" s="19" t="n"/>
      <c r="B16" s="25">
        <f>IF(A16="","",CHOOSE(WEEKDAY(A16,2),"월","화","수","목","금","토","일"))</f>
        <v/>
      </c>
      <c r="C16" s="18" t="n"/>
      <c r="D16" s="25">
        <f>IFERROR(IF(C16="","",INDEX(직원명부!$B$5:$B$24,MATCH(C16,직원명부!$A$5:$A$24,0))),"사번 확인")</f>
        <v/>
      </c>
      <c r="E16" s="34" t="n"/>
      <c r="F16" s="34" t="n"/>
      <c r="G16" s="28" t="n"/>
      <c r="H16" s="33">
        <f>IF(OR(E16="",F16=""),"",ROUND(MOD(F16-E16,1)*24-N(G16),2))</f>
        <v/>
      </c>
      <c r="I16" s="33">
        <f>IF(H16="","",ROUND(MAX(0,H16-8),2))</f>
        <v/>
      </c>
      <c r="J16" s="18" t="n"/>
      <c r="K16" s="22" t="n"/>
    </row>
    <row r="17">
      <c r="A17" s="19" t="n"/>
      <c r="B17" s="25">
        <f>IF(A17="","",CHOOSE(WEEKDAY(A17,2),"월","화","수","목","금","토","일"))</f>
        <v/>
      </c>
      <c r="C17" s="18" t="n"/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18" t="n"/>
      <c r="K17" s="22" t="n"/>
    </row>
    <row r="18">
      <c r="A18" s="19" t="n"/>
      <c r="B18" s="25">
        <f>IF(A18="","",CHOOSE(WEEKDAY(A18,2),"월","화","수","목","금","토","일"))</f>
        <v/>
      </c>
      <c r="C18" s="18" t="n"/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18" t="n"/>
      <c r="K18" s="22" t="n"/>
    </row>
    <row r="19">
      <c r="A19" s="19" t="n"/>
      <c r="B19" s="25">
        <f>IF(A19="","",CHOOSE(WEEKDAY(A19,2),"월","화","수","목","금","토","일"))</f>
        <v/>
      </c>
      <c r="C19" s="18" t="n"/>
      <c r="D19" s="25">
        <f>IFERROR(IF(C19="","",INDEX(직원명부!$B$5:$B$24,MATCH(C19,직원명부!$A$5:$A$24,0))),"사번 확인")</f>
        <v/>
      </c>
      <c r="E19" s="34" t="n"/>
      <c r="F19" s="34" t="n"/>
      <c r="G19" s="28" t="n"/>
      <c r="H19" s="33">
        <f>IF(OR(E19="",F19=""),"",ROUND(MOD(F19-E19,1)*24-N(G19),2))</f>
        <v/>
      </c>
      <c r="I19" s="33">
        <f>IF(H19="","",ROUND(MAX(0,H19-8),2))</f>
        <v/>
      </c>
      <c r="J19" s="18" t="n"/>
      <c r="K19" s="22" t="n"/>
    </row>
    <row r="20">
      <c r="A20" s="19" t="n"/>
      <c r="B20" s="25">
        <f>IF(A20="","",CHOOSE(WEEKDAY(A20,2),"월","화","수","목","금","토","일"))</f>
        <v/>
      </c>
      <c r="C20" s="18" t="n"/>
      <c r="D20" s="25">
        <f>IFERROR(IF(C20="","",INDEX(직원명부!$B$5:$B$24,MATCH(C20,직원명부!$A$5:$A$24,0))),"사번 확인")</f>
        <v/>
      </c>
      <c r="E20" s="34" t="n"/>
      <c r="F20" s="34" t="n"/>
      <c r="G20" s="28" t="n"/>
      <c r="H20" s="33">
        <f>IF(OR(E20="",F20=""),"",ROUND(MOD(F20-E20,1)*24-N(G20),2))</f>
        <v/>
      </c>
      <c r="I20" s="33">
        <f>IF(H20="","",ROUND(MAX(0,H20-8),2))</f>
        <v/>
      </c>
      <c r="J20" s="18" t="n"/>
      <c r="K20" s="22" t="n"/>
    </row>
    <row r="21">
      <c r="A21" s="19" t="n"/>
      <c r="B21" s="25">
        <f>IF(A21="","",CHOOSE(WEEKDAY(A21,2),"월","화","수","목","금","토","일"))</f>
        <v/>
      </c>
      <c r="C21" s="18" t="n"/>
      <c r="D21" s="25">
        <f>IFERROR(IF(C21="","",INDEX(직원명부!$B$5:$B$24,MATCH(C21,직원명부!$A$5:$A$24,0))),"사번 확인")</f>
        <v/>
      </c>
      <c r="E21" s="34" t="n"/>
      <c r="F21" s="34" t="n"/>
      <c r="G21" s="28" t="n"/>
      <c r="H21" s="33">
        <f>IF(OR(E21="",F21=""),"",ROUND(MOD(F21-E21,1)*24-N(G21),2))</f>
        <v/>
      </c>
      <c r="I21" s="33">
        <f>IF(H21="","",ROUND(MAX(0,H21-8),2))</f>
        <v/>
      </c>
      <c r="J21" s="18" t="n"/>
      <c r="K21" s="22" t="n"/>
    </row>
    <row r="22">
      <c r="A22" s="19" t="n"/>
      <c r="B22" s="25">
        <f>IF(A22="","",CHOOSE(WEEKDAY(A22,2),"월","화","수","목","금","토","일"))</f>
        <v/>
      </c>
      <c r="C22" s="18" t="n"/>
      <c r="D22" s="25">
        <f>IFERROR(IF(C22="","",INDEX(직원명부!$B$5:$B$24,MATCH(C22,직원명부!$A$5:$A$24,0))),"사번 확인")</f>
        <v/>
      </c>
      <c r="E22" s="34" t="n"/>
      <c r="F22" s="34" t="n"/>
      <c r="G22" s="28" t="n"/>
      <c r="H22" s="33">
        <f>IF(OR(E22="",F22=""),"",ROUND(MOD(F22-E22,1)*24-N(G22),2))</f>
        <v/>
      </c>
      <c r="I22" s="33">
        <f>IF(H22="","",ROUND(MAX(0,H22-8),2))</f>
        <v/>
      </c>
      <c r="J22" s="18" t="n"/>
      <c r="K22" s="22" t="n"/>
    </row>
    <row r="23">
      <c r="A23" s="19" t="n"/>
      <c r="B23" s="25">
        <f>IF(A23="","",CHOOSE(WEEKDAY(A23,2),"월","화","수","목","금","토","일"))</f>
        <v/>
      </c>
      <c r="C23" s="18" t="n"/>
      <c r="D23" s="25">
        <f>IFERROR(IF(C23="","",INDEX(직원명부!$B$5:$B$24,MATCH(C23,직원명부!$A$5:$A$24,0))),"사번 확인")</f>
        <v/>
      </c>
      <c r="E23" s="34" t="n"/>
      <c r="F23" s="34" t="n"/>
      <c r="G23" s="28" t="n"/>
      <c r="H23" s="33">
        <f>IF(OR(E23="",F23=""),"",ROUND(MOD(F23-E23,1)*24-N(G23),2))</f>
        <v/>
      </c>
      <c r="I23" s="33">
        <f>IF(H23="","",ROUND(MAX(0,H23-8),2))</f>
        <v/>
      </c>
      <c r="J23" s="18" t="n"/>
      <c r="K23" s="22" t="n"/>
    </row>
    <row r="24">
      <c r="A24" s="19" t="n"/>
      <c r="B24" s="25">
        <f>IF(A24="","",CHOOSE(WEEKDAY(A24,2),"월","화","수","목","금","토","일"))</f>
        <v/>
      </c>
      <c r="C24" s="18" t="n"/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18" t="n"/>
      <c r="K24" s="22" t="n"/>
    </row>
    <row r="25">
      <c r="A25" s="19" t="n"/>
      <c r="B25" s="25">
        <f>IF(A25="","",CHOOSE(WEEKDAY(A25,2),"월","화","수","목","금","토","일"))</f>
        <v/>
      </c>
      <c r="C25" s="18" t="n"/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18" t="n"/>
      <c r="K25" s="22" t="n"/>
    </row>
    <row r="26">
      <c r="A26" s="19" t="n"/>
      <c r="B26" s="25">
        <f>IF(A26="","",CHOOSE(WEEKDAY(A26,2),"월","화","수","목","금","토","일"))</f>
        <v/>
      </c>
      <c r="C26" s="18" t="n"/>
      <c r="D26" s="25">
        <f>IFERROR(IF(C26="","",INDEX(직원명부!$B$5:$B$24,MATCH(C26,직원명부!$A$5:$A$24,0))),"사번 확인")</f>
        <v/>
      </c>
      <c r="E26" s="34" t="n"/>
      <c r="F26" s="34" t="n"/>
      <c r="G26" s="28" t="n"/>
      <c r="H26" s="33">
        <f>IF(OR(E26="",F26=""),"",ROUND(MOD(F26-E26,1)*24-N(G26),2))</f>
        <v/>
      </c>
      <c r="I26" s="33">
        <f>IF(H26="","",ROUND(MAX(0,H26-8),2))</f>
        <v/>
      </c>
      <c r="J26" s="18" t="n"/>
      <c r="K26" s="22" t="n"/>
    </row>
    <row r="27">
      <c r="A27" s="19" t="n"/>
      <c r="B27" s="25">
        <f>IF(A27="","",CHOOSE(WEEKDAY(A27,2),"월","화","수","목","금","토","일"))</f>
        <v/>
      </c>
      <c r="C27" s="18" t="n"/>
      <c r="D27" s="25">
        <f>IFERROR(IF(C27="","",INDEX(직원명부!$B$5:$B$24,MATCH(C27,직원명부!$A$5:$A$24,0))),"사번 확인")</f>
        <v/>
      </c>
      <c r="E27" s="34" t="n"/>
      <c r="F27" s="34" t="n"/>
      <c r="G27" s="28" t="n"/>
      <c r="H27" s="33">
        <f>IF(OR(E27="",F27=""),"",ROUND(MOD(F27-E27,1)*24-N(G27),2))</f>
        <v/>
      </c>
      <c r="I27" s="33">
        <f>IF(H27="","",ROUND(MAX(0,H27-8),2))</f>
        <v/>
      </c>
      <c r="J27" s="18" t="n"/>
      <c r="K27" s="22" t="n"/>
    </row>
    <row r="28">
      <c r="A28" s="19" t="n"/>
      <c r="B28" s="25">
        <f>IF(A28="","",CHOOSE(WEEKDAY(A28,2),"월","화","수","목","금","토","일"))</f>
        <v/>
      </c>
      <c r="C28" s="18" t="n"/>
      <c r="D28" s="25">
        <f>IFERROR(IF(C28="","",INDEX(직원명부!$B$5:$B$24,MATCH(C28,직원명부!$A$5:$A$24,0))),"사번 확인")</f>
        <v/>
      </c>
      <c r="E28" s="34" t="n"/>
      <c r="F28" s="34" t="n"/>
      <c r="G28" s="28" t="n"/>
      <c r="H28" s="33">
        <f>IF(OR(E28="",F28=""),"",ROUND(MOD(F28-E28,1)*24-N(G28),2))</f>
        <v/>
      </c>
      <c r="I28" s="33">
        <f>IF(H28="","",ROUND(MAX(0,H28-8),2))</f>
        <v/>
      </c>
      <c r="J28" s="18" t="n"/>
      <c r="K28" s="22" t="n"/>
    </row>
    <row r="29">
      <c r="A29" s="19" t="n"/>
      <c r="B29" s="25">
        <f>IF(A29="","",CHOOSE(WEEKDAY(A29,2),"월","화","수","목","금","토","일"))</f>
        <v/>
      </c>
      <c r="C29" s="18" t="n"/>
      <c r="D29" s="25">
        <f>IFERROR(IF(C29="","",INDEX(직원명부!$B$5:$B$24,MATCH(C29,직원명부!$A$5:$A$24,0))),"사번 확인")</f>
        <v/>
      </c>
      <c r="E29" s="34" t="n"/>
      <c r="F29" s="34" t="n"/>
      <c r="G29" s="28" t="n"/>
      <c r="H29" s="33">
        <f>IF(OR(E29="",F29=""),"",ROUND(MOD(F29-E29,1)*24-N(G29),2))</f>
        <v/>
      </c>
      <c r="I29" s="33">
        <f>IF(H29="","",ROUND(MAX(0,H29-8),2))</f>
        <v/>
      </c>
      <c r="J29" s="18" t="n"/>
      <c r="K29" s="22" t="n"/>
    </row>
    <row r="30">
      <c r="A30" s="19" t="n"/>
      <c r="B30" s="25">
        <f>IF(A30="","",CHOOSE(WEEKDAY(A30,2),"월","화","수","목","금","토","일"))</f>
        <v/>
      </c>
      <c r="C30" s="18" t="n"/>
      <c r="D30" s="25">
        <f>IFERROR(IF(C30="","",INDEX(직원명부!$B$5:$B$24,MATCH(C30,직원명부!$A$5:$A$24,0))),"사번 확인")</f>
        <v/>
      </c>
      <c r="E30" s="34" t="n"/>
      <c r="F30" s="34" t="n"/>
      <c r="G30" s="28" t="n"/>
      <c r="H30" s="33">
        <f>IF(OR(E30="",F30=""),"",ROUND(MOD(F30-E30,1)*24-N(G30),2))</f>
        <v/>
      </c>
      <c r="I30" s="33">
        <f>IF(H30="","",ROUND(MAX(0,H30-8),2))</f>
        <v/>
      </c>
      <c r="J30" s="18" t="n"/>
      <c r="K30" s="22" t="n"/>
    </row>
    <row r="31">
      <c r="A31" s="19" t="n"/>
      <c r="B31" s="25">
        <f>IF(A31="","",CHOOSE(WEEKDAY(A31,2),"월","화","수","목","금","토","일"))</f>
        <v/>
      </c>
      <c r="C31" s="18" t="n"/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18" t="n"/>
      <c r="K31" s="22" t="n"/>
    </row>
    <row r="32">
      <c r="A32" s="19" t="n"/>
      <c r="B32" s="25">
        <f>IF(A32="","",CHOOSE(WEEKDAY(A32,2),"월","화","수","목","금","토","일"))</f>
        <v/>
      </c>
      <c r="C32" s="18" t="n"/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18" t="n"/>
      <c r="K32" s="22" t="n"/>
    </row>
    <row r="33">
      <c r="A33" s="19" t="n"/>
      <c r="B33" s="25">
        <f>IF(A33="","",CHOOSE(WEEKDAY(A33,2),"월","화","수","목","금","토","일"))</f>
        <v/>
      </c>
      <c r="C33" s="18" t="n"/>
      <c r="D33" s="25">
        <f>IFERROR(IF(C33="","",INDEX(직원명부!$B$5:$B$24,MATCH(C33,직원명부!$A$5:$A$24,0))),"사번 확인")</f>
        <v/>
      </c>
      <c r="E33" s="34" t="n"/>
      <c r="F33" s="34" t="n"/>
      <c r="G33" s="28" t="n"/>
      <c r="H33" s="33">
        <f>IF(OR(E33="",F33=""),"",ROUND(MOD(F33-E33,1)*24-N(G33),2))</f>
        <v/>
      </c>
      <c r="I33" s="33">
        <f>IF(H33="","",ROUND(MAX(0,H33-8),2))</f>
        <v/>
      </c>
      <c r="J33" s="18" t="n"/>
      <c r="K33" s="22" t="n"/>
    </row>
    <row r="34">
      <c r="A34" s="19" t="n"/>
      <c r="B34" s="25">
        <f>IF(A34="","",CHOOSE(WEEKDAY(A34,2),"월","화","수","목","금","토","일"))</f>
        <v/>
      </c>
      <c r="C34" s="18" t="n"/>
      <c r="D34" s="25">
        <f>IFERROR(IF(C34="","",INDEX(직원명부!$B$5:$B$24,MATCH(C34,직원명부!$A$5:$A$24,0))),"사번 확인")</f>
        <v/>
      </c>
      <c r="E34" s="34" t="n"/>
      <c r="F34" s="34" t="n"/>
      <c r="G34" s="28" t="n"/>
      <c r="H34" s="33">
        <f>IF(OR(E34="",F34=""),"",ROUND(MOD(F34-E34,1)*24-N(G34),2))</f>
        <v/>
      </c>
      <c r="I34" s="33">
        <f>IF(H34="","",ROUND(MAX(0,H34-8),2))</f>
        <v/>
      </c>
      <c r="J34" s="18" t="n"/>
      <c r="K34" s="22" t="n"/>
    </row>
    <row r="35">
      <c r="A35" s="19" t="n"/>
      <c r="B35" s="25">
        <f>IF(A35="","",CHOOSE(WEEKDAY(A35,2),"월","화","수","목","금","토","일"))</f>
        <v/>
      </c>
      <c r="C35" s="18" t="n"/>
      <c r="D35" s="25">
        <f>IFERROR(IF(C35="","",INDEX(직원명부!$B$5:$B$24,MATCH(C35,직원명부!$A$5:$A$24,0))),"사번 확인")</f>
        <v/>
      </c>
      <c r="E35" s="34" t="n"/>
      <c r="F35" s="34" t="n"/>
      <c r="G35" s="28" t="n"/>
      <c r="H35" s="33">
        <f>IF(OR(E35="",F35=""),"",ROUND(MOD(F35-E35,1)*24-N(G35),2))</f>
        <v/>
      </c>
      <c r="I35" s="33">
        <f>IF(H35="","",ROUND(MAX(0,H35-8),2))</f>
        <v/>
      </c>
      <c r="J35" s="18" t="n"/>
      <c r="K35" s="22" t="n"/>
    </row>
    <row r="36">
      <c r="A36" s="19" t="n"/>
      <c r="B36" s="25">
        <f>IF(A36="","",CHOOSE(WEEKDAY(A36,2),"월","화","수","목","금","토","일"))</f>
        <v/>
      </c>
      <c r="C36" s="18" t="n"/>
      <c r="D36" s="25">
        <f>IFERROR(IF(C36="","",INDEX(직원명부!$B$5:$B$24,MATCH(C36,직원명부!$A$5:$A$24,0))),"사번 확인")</f>
        <v/>
      </c>
      <c r="E36" s="34" t="n"/>
      <c r="F36" s="34" t="n"/>
      <c r="G36" s="28" t="n"/>
      <c r="H36" s="33">
        <f>IF(OR(E36="",F36=""),"",ROUND(MOD(F36-E36,1)*24-N(G36),2))</f>
        <v/>
      </c>
      <c r="I36" s="33">
        <f>IF(H36="","",ROUND(MAX(0,H36-8),2))</f>
        <v/>
      </c>
      <c r="J36" s="18" t="n"/>
      <c r="K36" s="22" t="n"/>
    </row>
    <row r="37">
      <c r="A37" s="19" t="n"/>
      <c r="B37" s="25">
        <f>IF(A37="","",CHOOSE(WEEKDAY(A37,2),"월","화","수","목","금","토","일"))</f>
        <v/>
      </c>
      <c r="C37" s="18" t="n"/>
      <c r="D37" s="25">
        <f>IFERROR(IF(C37="","",INDEX(직원명부!$B$5:$B$24,MATCH(C37,직원명부!$A$5:$A$24,0))),"사번 확인")</f>
        <v/>
      </c>
      <c r="E37" s="34" t="n"/>
      <c r="F37" s="34" t="n"/>
      <c r="G37" s="28" t="n"/>
      <c r="H37" s="33">
        <f>IF(OR(E37="",F37=""),"",ROUND(MOD(F37-E37,1)*24-N(G37),2))</f>
        <v/>
      </c>
      <c r="I37" s="33">
        <f>IF(H37="","",ROUND(MAX(0,H37-8),2))</f>
        <v/>
      </c>
      <c r="J37" s="18" t="n"/>
      <c r="K37" s="22" t="n"/>
    </row>
    <row r="38">
      <c r="A38" s="19" t="n"/>
      <c r="B38" s="25">
        <f>IF(A38="","",CHOOSE(WEEKDAY(A38,2),"월","화","수","목","금","토","일"))</f>
        <v/>
      </c>
      <c r="C38" s="18" t="n"/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18" t="n"/>
      <c r="K38" s="22" t="n"/>
    </row>
    <row r="39">
      <c r="A39" s="19" t="n"/>
      <c r="B39" s="25">
        <f>IF(A39="","",CHOOSE(WEEKDAY(A39,2),"월","화","수","목","금","토","일"))</f>
        <v/>
      </c>
      <c r="C39" s="18" t="n"/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18" t="n"/>
      <c r="K39" s="22" t="n"/>
    </row>
    <row r="40">
      <c r="A40" s="19" t="n"/>
      <c r="B40" s="25">
        <f>IF(A40="","",CHOOSE(WEEKDAY(A40,2),"월","화","수","목","금","토","일"))</f>
        <v/>
      </c>
      <c r="C40" s="18" t="n"/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18" t="n"/>
      <c r="K40" s="22" t="n"/>
    </row>
    <row r="41">
      <c r="A41" s="19" t="n"/>
      <c r="B41" s="25">
        <f>IF(A41="","",CHOOSE(WEEKDAY(A41,2),"월","화","수","목","금","토","일"))</f>
        <v/>
      </c>
      <c r="C41" s="18" t="n"/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18" t="n"/>
      <c r="K41" s="22" t="n"/>
    </row>
    <row r="42">
      <c r="A42" s="19" t="n"/>
      <c r="B42" s="25">
        <f>IF(A42="","",CHOOSE(WEEKDAY(A42,2),"월","화","수","목","금","토","일"))</f>
        <v/>
      </c>
      <c r="C42" s="18" t="n"/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18" t="n"/>
      <c r="K42" s="22" t="n"/>
    </row>
    <row r="43">
      <c r="A43" s="19" t="n"/>
      <c r="B43" s="25">
        <f>IF(A43="","",CHOOSE(WEEKDAY(A43,2),"월","화","수","목","금","토","일"))</f>
        <v/>
      </c>
      <c r="C43" s="18" t="n"/>
      <c r="D43" s="25">
        <f>IFERROR(IF(C43="","",INDEX(직원명부!$B$5:$B$24,MATCH(C43,직원명부!$A$5:$A$24,0))),"사번 확인")</f>
        <v/>
      </c>
      <c r="E43" s="34" t="n"/>
      <c r="F43" s="34" t="n"/>
      <c r="G43" s="28" t="n"/>
      <c r="H43" s="33">
        <f>IF(OR(E43="",F43=""),"",ROUND(MOD(F43-E43,1)*24-N(G43),2))</f>
        <v/>
      </c>
      <c r="I43" s="33">
        <f>IF(H43="","",ROUND(MAX(0,H43-8),2))</f>
        <v/>
      </c>
      <c r="J43" s="18" t="n"/>
      <c r="K43" s="22" t="n"/>
    </row>
    <row r="44">
      <c r="A44" s="19" t="n"/>
      <c r="B44" s="25">
        <f>IF(A44="","",CHOOSE(WEEKDAY(A44,2),"월","화","수","목","금","토","일"))</f>
        <v/>
      </c>
      <c r="C44" s="18" t="n"/>
      <c r="D44" s="25">
        <f>IFERROR(IF(C44="","",INDEX(직원명부!$B$5:$B$24,MATCH(C44,직원명부!$A$5:$A$24,0))),"사번 확인")</f>
        <v/>
      </c>
      <c r="E44" s="34" t="n"/>
      <c r="F44" s="34" t="n"/>
      <c r="G44" s="28" t="n"/>
      <c r="H44" s="33">
        <f>IF(OR(E44="",F44=""),"",ROUND(MOD(F44-E44,1)*24-N(G44),2))</f>
        <v/>
      </c>
      <c r="I44" s="33">
        <f>IF(H44="","",ROUND(MAX(0,H44-8),2))</f>
        <v/>
      </c>
      <c r="J44" s="18" t="n"/>
      <c r="K44" s="22" t="n"/>
    </row>
    <row r="45">
      <c r="A45" s="19" t="n"/>
      <c r="B45" s="25">
        <f>IF(A45="","",CHOOSE(WEEKDAY(A45,2),"월","화","수","목","금","토","일"))</f>
        <v/>
      </c>
      <c r="C45" s="18" t="n"/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18" t="n"/>
      <c r="K45" s="22" t="n"/>
    </row>
    <row r="46">
      <c r="A46" s="19" t="n"/>
      <c r="B46" s="25">
        <f>IF(A46="","",CHOOSE(WEEKDAY(A46,2),"월","화","수","목","금","토","일"))</f>
        <v/>
      </c>
      <c r="C46" s="18" t="n"/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18" t="n"/>
      <c r="K46" s="22" t="n"/>
    </row>
    <row r="47">
      <c r="A47" s="19" t="n"/>
      <c r="B47" s="25">
        <f>IF(A47="","",CHOOSE(WEEKDAY(A47,2),"월","화","수","목","금","토","일"))</f>
        <v/>
      </c>
      <c r="C47" s="18" t="n"/>
      <c r="D47" s="25">
        <f>IFERROR(IF(C47="","",INDEX(직원명부!$B$5:$B$24,MATCH(C47,직원명부!$A$5:$A$24,0))),"사번 확인")</f>
        <v/>
      </c>
      <c r="E47" s="34" t="n"/>
      <c r="F47" s="34" t="n"/>
      <c r="G47" s="28" t="n"/>
      <c r="H47" s="33">
        <f>IF(OR(E47="",F47=""),"",ROUND(MOD(F47-E47,1)*24-N(G47),2))</f>
        <v/>
      </c>
      <c r="I47" s="33">
        <f>IF(H47="","",ROUND(MAX(0,H47-8),2))</f>
        <v/>
      </c>
      <c r="J47" s="18" t="n"/>
      <c r="K47" s="22" t="n"/>
    </row>
    <row r="48">
      <c r="A48" s="19" t="n"/>
      <c r="B48" s="25">
        <f>IF(A48="","",CHOOSE(WEEKDAY(A48,2),"월","화","수","목","금","토","일"))</f>
        <v/>
      </c>
      <c r="C48" s="18" t="n"/>
      <c r="D48" s="25">
        <f>IFERROR(IF(C48="","",INDEX(직원명부!$B$5:$B$24,MATCH(C48,직원명부!$A$5:$A$24,0))),"사번 확인")</f>
        <v/>
      </c>
      <c r="E48" s="34" t="n"/>
      <c r="F48" s="34" t="n"/>
      <c r="G48" s="28" t="n"/>
      <c r="H48" s="33">
        <f>IF(OR(E48="",F48=""),"",ROUND(MOD(F48-E48,1)*24-N(G48),2))</f>
        <v/>
      </c>
      <c r="I48" s="33">
        <f>IF(H48="","",ROUND(MAX(0,H48-8),2))</f>
        <v/>
      </c>
      <c r="J48" s="18" t="n"/>
      <c r="K48" s="22" t="n"/>
    </row>
    <row r="49">
      <c r="A49" s="19" t="n"/>
      <c r="B49" s="25">
        <f>IF(A49="","",CHOOSE(WEEKDAY(A49,2),"월","화","수","목","금","토","일"))</f>
        <v/>
      </c>
      <c r="C49" s="18" t="n"/>
      <c r="D49" s="25">
        <f>IFERROR(IF(C49="","",INDEX(직원명부!$B$5:$B$24,MATCH(C49,직원명부!$A$5:$A$24,0))),"사번 확인")</f>
        <v/>
      </c>
      <c r="E49" s="34" t="n"/>
      <c r="F49" s="34" t="n"/>
      <c r="G49" s="28" t="n"/>
      <c r="H49" s="33">
        <f>IF(OR(E49="",F49=""),"",ROUND(MOD(F49-E49,1)*24-N(G49),2))</f>
        <v/>
      </c>
      <c r="I49" s="33">
        <f>IF(H49="","",ROUND(MAX(0,H49-8),2))</f>
        <v/>
      </c>
      <c r="J49" s="18" t="n"/>
      <c r="K49" s="22" t="n"/>
    </row>
    <row r="50">
      <c r="A50" s="19" t="n"/>
      <c r="B50" s="25">
        <f>IF(A50="","",CHOOSE(WEEKDAY(A50,2),"월","화","수","목","금","토","일"))</f>
        <v/>
      </c>
      <c r="C50" s="18" t="n"/>
      <c r="D50" s="25">
        <f>IFERROR(IF(C50="","",INDEX(직원명부!$B$5:$B$24,MATCH(C50,직원명부!$A$5:$A$24,0))),"사번 확인")</f>
        <v/>
      </c>
      <c r="E50" s="34" t="n"/>
      <c r="F50" s="34" t="n"/>
      <c r="G50" s="28" t="n"/>
      <c r="H50" s="33">
        <f>IF(OR(E50="",F50=""),"",ROUND(MOD(F50-E50,1)*24-N(G50),2))</f>
        <v/>
      </c>
      <c r="I50" s="33">
        <f>IF(H50="","",ROUND(MAX(0,H50-8),2))</f>
        <v/>
      </c>
      <c r="J50" s="18" t="n"/>
      <c r="K50" s="22" t="n"/>
    </row>
    <row r="51">
      <c r="A51" s="19" t="n"/>
      <c r="B51" s="25">
        <f>IF(A51="","",CHOOSE(WEEKDAY(A51,2),"월","화","수","목","금","토","일"))</f>
        <v/>
      </c>
      <c r="C51" s="18" t="n"/>
      <c r="D51" s="25">
        <f>IFERROR(IF(C51="","",INDEX(직원명부!$B$5:$B$24,MATCH(C51,직원명부!$A$5:$A$24,0))),"사번 확인")</f>
        <v/>
      </c>
      <c r="E51" s="34" t="n"/>
      <c r="F51" s="34" t="n"/>
      <c r="G51" s="28" t="n"/>
      <c r="H51" s="33">
        <f>IF(OR(E51="",F51=""),"",ROUND(MOD(F51-E51,1)*24-N(G51),2))</f>
        <v/>
      </c>
      <c r="I51" s="33">
        <f>IF(H51="","",ROUND(MAX(0,H51-8),2))</f>
        <v/>
      </c>
      <c r="J51" s="18" t="n"/>
      <c r="K51" s="22" t="n"/>
    </row>
    <row r="52">
      <c r="A52" s="19" t="n"/>
      <c r="B52" s="25">
        <f>IF(A52="","",CHOOSE(WEEKDAY(A52,2),"월","화","수","목","금","토","일"))</f>
        <v/>
      </c>
      <c r="C52" s="18" t="n"/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18" t="n"/>
      <c r="K52" s="22" t="n"/>
    </row>
    <row r="53">
      <c r="A53" s="19" t="n"/>
      <c r="B53" s="25">
        <f>IF(A53="","",CHOOSE(WEEKDAY(A53,2),"월","화","수","목","금","토","일"))</f>
        <v/>
      </c>
      <c r="C53" s="18" t="n"/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18" t="n"/>
      <c r="K53" s="22" t="n"/>
    </row>
    <row r="54">
      <c r="A54" s="19" t="n"/>
      <c r="B54" s="25">
        <f>IF(A54="","",CHOOSE(WEEKDAY(A54,2),"월","화","수","목","금","토","일"))</f>
        <v/>
      </c>
      <c r="C54" s="18" t="n"/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18" t="n"/>
      <c r="K54" s="22" t="n"/>
    </row>
    <row r="55">
      <c r="A55" s="19" t="n"/>
      <c r="B55" s="25">
        <f>IF(A55="","",CHOOSE(WEEKDAY(A55,2),"월","화","수","목","금","토","일"))</f>
        <v/>
      </c>
      <c r="C55" s="18" t="n"/>
      <c r="D55" s="25">
        <f>IFERROR(IF(C55="","",INDEX(직원명부!$B$5:$B$24,MATCH(C55,직원명부!$A$5:$A$24,0))),"사번 확인")</f>
        <v/>
      </c>
      <c r="E55" s="34" t="n"/>
      <c r="F55" s="34" t="n"/>
      <c r="G55" s="28" t="n"/>
      <c r="H55" s="33">
        <f>IF(OR(E55="",F55=""),"",ROUND(MOD(F55-E55,1)*24-N(G55),2))</f>
        <v/>
      </c>
      <c r="I55" s="33">
        <f>IF(H55="","",ROUND(MAX(0,H55-8),2))</f>
        <v/>
      </c>
      <c r="J55" s="18" t="n"/>
      <c r="K55" s="22" t="n"/>
    </row>
    <row r="56">
      <c r="A56" s="19" t="n"/>
      <c r="B56" s="25">
        <f>IF(A56="","",CHOOSE(WEEKDAY(A56,2),"월","화","수","목","금","토","일"))</f>
        <v/>
      </c>
      <c r="C56" s="18" t="n"/>
      <c r="D56" s="25">
        <f>IFERROR(IF(C56="","",INDEX(직원명부!$B$5:$B$24,MATCH(C56,직원명부!$A$5:$A$24,0))),"사번 확인")</f>
        <v/>
      </c>
      <c r="E56" s="34" t="n"/>
      <c r="F56" s="34" t="n"/>
      <c r="G56" s="28" t="n"/>
      <c r="H56" s="33">
        <f>IF(OR(E56="",F56=""),"",ROUND(MOD(F56-E56,1)*24-N(G56),2))</f>
        <v/>
      </c>
      <c r="I56" s="33">
        <f>IF(H56="","",ROUND(MAX(0,H56-8),2))</f>
        <v/>
      </c>
      <c r="J56" s="18" t="n"/>
      <c r="K56" s="22" t="n"/>
    </row>
    <row r="57">
      <c r="A57" s="19" t="n"/>
      <c r="B57" s="25">
        <f>IF(A57="","",CHOOSE(WEEKDAY(A57,2),"월","화","수","목","금","토","일"))</f>
        <v/>
      </c>
      <c r="C57" s="18" t="n"/>
      <c r="D57" s="25">
        <f>IFERROR(IF(C57="","",INDEX(직원명부!$B$5:$B$24,MATCH(C57,직원명부!$A$5:$A$24,0))),"사번 확인")</f>
        <v/>
      </c>
      <c r="E57" s="34" t="n"/>
      <c r="F57" s="34" t="n"/>
      <c r="G57" s="28" t="n"/>
      <c r="H57" s="33">
        <f>IF(OR(E57="",F57=""),"",ROUND(MOD(F57-E57,1)*24-N(G57),2))</f>
        <v/>
      </c>
      <c r="I57" s="33">
        <f>IF(H57="","",ROUND(MAX(0,H57-8),2))</f>
        <v/>
      </c>
      <c r="J57" s="18" t="n"/>
      <c r="K57" s="22" t="n"/>
    </row>
    <row r="58">
      <c r="A58" s="19" t="n"/>
      <c r="B58" s="25">
        <f>IF(A58="","",CHOOSE(WEEKDAY(A58,2),"월","화","수","목","금","토","일"))</f>
        <v/>
      </c>
      <c r="C58" s="18" t="n"/>
      <c r="D58" s="25">
        <f>IFERROR(IF(C58="","",INDEX(직원명부!$B$5:$B$24,MATCH(C58,직원명부!$A$5:$A$24,0))),"사번 확인")</f>
        <v/>
      </c>
      <c r="E58" s="34" t="n"/>
      <c r="F58" s="34" t="n"/>
      <c r="G58" s="28" t="n"/>
      <c r="H58" s="33">
        <f>IF(OR(E58="",F58=""),"",ROUND(MOD(F58-E58,1)*24-N(G58),2))</f>
        <v/>
      </c>
      <c r="I58" s="33">
        <f>IF(H58="","",ROUND(MAX(0,H58-8),2))</f>
        <v/>
      </c>
      <c r="J58" s="18" t="n"/>
      <c r="K58" s="22" t="n"/>
    </row>
    <row r="59">
      <c r="A59" s="19" t="n"/>
      <c r="B59" s="25">
        <f>IF(A59="","",CHOOSE(WEEKDAY(A59,2),"월","화","수","목","금","토","일"))</f>
        <v/>
      </c>
      <c r="C59" s="18" t="n"/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18" t="n"/>
      <c r="K59" s="22" t="n"/>
    </row>
    <row r="60">
      <c r="A60" s="19" t="n"/>
      <c r="B60" s="25">
        <f>IF(A60="","",CHOOSE(WEEKDAY(A60,2),"월","화","수","목","금","토","일"))</f>
        <v/>
      </c>
      <c r="C60" s="18" t="n"/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18" t="n"/>
      <c r="K60" s="22" t="n"/>
    </row>
    <row r="61">
      <c r="A61" s="19" t="n"/>
      <c r="B61" s="25">
        <f>IF(A61="","",CHOOSE(WEEKDAY(A61,2),"월","화","수","목","금","토","일"))</f>
        <v/>
      </c>
      <c r="C61" s="18" t="n"/>
      <c r="D61" s="25">
        <f>IFERROR(IF(C61="","",INDEX(직원명부!$B$5:$B$24,MATCH(C61,직원명부!$A$5:$A$24,0))),"사번 확인")</f>
        <v/>
      </c>
      <c r="E61" s="34" t="n"/>
      <c r="F61" s="34" t="n"/>
      <c r="G61" s="28" t="n"/>
      <c r="H61" s="33">
        <f>IF(OR(E61="",F61=""),"",ROUND(MOD(F61-E61,1)*24-N(G61),2))</f>
        <v/>
      </c>
      <c r="I61" s="33">
        <f>IF(H61="","",ROUND(MAX(0,H61-8),2))</f>
        <v/>
      </c>
      <c r="J61" s="18" t="n"/>
      <c r="K61" s="22" t="n"/>
    </row>
    <row r="62">
      <c r="A62" s="19" t="n"/>
      <c r="B62" s="25">
        <f>IF(A62="","",CHOOSE(WEEKDAY(A62,2),"월","화","수","목","금","토","일"))</f>
        <v/>
      </c>
      <c r="C62" s="18" t="n"/>
      <c r="D62" s="25">
        <f>IFERROR(IF(C62="","",INDEX(직원명부!$B$5:$B$24,MATCH(C62,직원명부!$A$5:$A$24,0))),"사번 확인")</f>
        <v/>
      </c>
      <c r="E62" s="34" t="n"/>
      <c r="F62" s="34" t="n"/>
      <c r="G62" s="28" t="n"/>
      <c r="H62" s="33">
        <f>IF(OR(E62="",F62=""),"",ROUND(MOD(F62-E62,1)*24-N(G62),2))</f>
        <v/>
      </c>
      <c r="I62" s="33">
        <f>IF(H62="","",ROUND(MAX(0,H62-8),2))</f>
        <v/>
      </c>
      <c r="J62" s="18" t="n"/>
      <c r="K62" s="22" t="n"/>
    </row>
    <row r="63">
      <c r="A63" s="19" t="n"/>
      <c r="B63" s="25">
        <f>IF(A63="","",CHOOSE(WEEKDAY(A63,2),"월","화","수","목","금","토","일"))</f>
        <v/>
      </c>
      <c r="C63" s="18" t="n"/>
      <c r="D63" s="25">
        <f>IFERROR(IF(C63="","",INDEX(직원명부!$B$5:$B$24,MATCH(C63,직원명부!$A$5:$A$24,0))),"사번 확인")</f>
        <v/>
      </c>
      <c r="E63" s="34" t="n"/>
      <c r="F63" s="34" t="n"/>
      <c r="G63" s="28" t="n"/>
      <c r="H63" s="33">
        <f>IF(OR(E63="",F63=""),"",ROUND(MOD(F63-E63,1)*24-N(G63),2))</f>
        <v/>
      </c>
      <c r="I63" s="33">
        <f>IF(H63="","",ROUND(MAX(0,H63-8),2))</f>
        <v/>
      </c>
      <c r="J63" s="18" t="n"/>
      <c r="K63" s="22" t="n"/>
    </row>
    <row r="64">
      <c r="A64" s="19" t="n"/>
      <c r="B64" s="25">
        <f>IF(A64="","",CHOOSE(WEEKDAY(A64,2),"월","화","수","목","금","토","일"))</f>
        <v/>
      </c>
      <c r="C64" s="18" t="n"/>
      <c r="D64" s="25">
        <f>IFERROR(IF(C64="","",INDEX(직원명부!$B$5:$B$24,MATCH(C64,직원명부!$A$5:$A$24,0))),"사번 확인")</f>
        <v/>
      </c>
      <c r="E64" s="34" t="n"/>
      <c r="F64" s="34" t="n"/>
      <c r="G64" s="28" t="n"/>
      <c r="H64" s="33">
        <f>IF(OR(E64="",F64=""),"",ROUND(MOD(F64-E64,1)*24-N(G64),2))</f>
        <v/>
      </c>
      <c r="I64" s="33">
        <f>IF(H64="","",ROUND(MAX(0,H64-8),2))</f>
        <v/>
      </c>
      <c r="J64" s="18" t="n"/>
      <c r="K64" s="22" t="n"/>
    </row>
    <row r="65">
      <c r="A65" s="19" t="n"/>
      <c r="B65" s="25">
        <f>IF(A65="","",CHOOSE(WEEKDAY(A65,2),"월","화","수","목","금","토","일"))</f>
        <v/>
      </c>
      <c r="C65" s="18" t="n"/>
      <c r="D65" s="25">
        <f>IFERROR(IF(C65="","",INDEX(직원명부!$B$5:$B$24,MATCH(C65,직원명부!$A$5:$A$24,0))),"사번 확인")</f>
        <v/>
      </c>
      <c r="E65" s="34" t="n"/>
      <c r="F65" s="34" t="n"/>
      <c r="G65" s="28" t="n"/>
      <c r="H65" s="33">
        <f>IF(OR(E65="",F65=""),"",ROUND(MOD(F65-E65,1)*24-N(G65),2))</f>
        <v/>
      </c>
      <c r="I65" s="33">
        <f>IF(H65="","",ROUND(MAX(0,H65-8),2))</f>
        <v/>
      </c>
      <c r="J65" s="18" t="n"/>
      <c r="K65" s="22" t="n"/>
    </row>
    <row r="66">
      <c r="A66" s="19" t="n"/>
      <c r="B66" s="25">
        <f>IF(A66="","",CHOOSE(WEEKDAY(A66,2),"월","화","수","목","금","토","일"))</f>
        <v/>
      </c>
      <c r="C66" s="18" t="n"/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18" t="n"/>
      <c r="K66" s="22" t="n"/>
    </row>
    <row r="67">
      <c r="A67" s="19" t="n"/>
      <c r="B67" s="25">
        <f>IF(A67="","",CHOOSE(WEEKDAY(A67,2),"월","화","수","목","금","토","일"))</f>
        <v/>
      </c>
      <c r="C67" s="18" t="n"/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18" t="n"/>
      <c r="K67" s="22" t="n"/>
    </row>
    <row r="68">
      <c r="A68" s="19" t="n"/>
      <c r="B68" s="25">
        <f>IF(A68="","",CHOOSE(WEEKDAY(A68,2),"월","화","수","목","금","토","일"))</f>
        <v/>
      </c>
      <c r="C68" s="18" t="n"/>
      <c r="D68" s="25">
        <f>IFERROR(IF(C68="","",INDEX(직원명부!$B$5:$B$24,MATCH(C68,직원명부!$A$5:$A$24,0))),"사번 확인")</f>
        <v/>
      </c>
      <c r="E68" s="34" t="n"/>
      <c r="F68" s="34" t="n"/>
      <c r="G68" s="28" t="n"/>
      <c r="H68" s="33">
        <f>IF(OR(E68="",F68=""),"",ROUND(MOD(F68-E68,1)*24-N(G68),2))</f>
        <v/>
      </c>
      <c r="I68" s="33">
        <f>IF(H68="","",ROUND(MAX(0,H68-8),2))</f>
        <v/>
      </c>
      <c r="J68" s="18" t="n"/>
      <c r="K68" s="22" t="n"/>
    </row>
    <row r="69">
      <c r="A69" s="19" t="n"/>
      <c r="B69" s="25">
        <f>IF(A69="","",CHOOSE(WEEKDAY(A69,2),"월","화","수","목","금","토","일"))</f>
        <v/>
      </c>
      <c r="C69" s="18" t="n"/>
      <c r="D69" s="25">
        <f>IFERROR(IF(C69="","",INDEX(직원명부!$B$5:$B$24,MATCH(C69,직원명부!$A$5:$A$24,0))),"사번 확인")</f>
        <v/>
      </c>
      <c r="E69" s="34" t="n"/>
      <c r="F69" s="34" t="n"/>
      <c r="G69" s="28" t="n"/>
      <c r="H69" s="33">
        <f>IF(OR(E69="",F69=""),"",ROUND(MOD(F69-E69,1)*24-N(G69),2))</f>
        <v/>
      </c>
      <c r="I69" s="33">
        <f>IF(H69="","",ROUND(MAX(0,H69-8),2))</f>
        <v/>
      </c>
      <c r="J69" s="18" t="n"/>
      <c r="K69" s="22" t="n"/>
    </row>
    <row r="70">
      <c r="A70" s="19" t="n"/>
      <c r="B70" s="25">
        <f>IF(A70="","",CHOOSE(WEEKDAY(A70,2),"월","화","수","목","금","토","일"))</f>
        <v/>
      </c>
      <c r="C70" s="18" t="n"/>
      <c r="D70" s="25">
        <f>IFERROR(IF(C70="","",INDEX(직원명부!$B$5:$B$24,MATCH(C70,직원명부!$A$5:$A$24,0))),"사번 확인")</f>
        <v/>
      </c>
      <c r="E70" s="34" t="n"/>
      <c r="F70" s="34" t="n"/>
      <c r="G70" s="28" t="n"/>
      <c r="H70" s="33">
        <f>IF(OR(E70="",F70=""),"",ROUND(MOD(F70-E70,1)*24-N(G70),2))</f>
        <v/>
      </c>
      <c r="I70" s="33">
        <f>IF(H70="","",ROUND(MAX(0,H70-8),2))</f>
        <v/>
      </c>
      <c r="J70" s="18" t="n"/>
      <c r="K70" s="22" t="n"/>
    </row>
    <row r="71">
      <c r="A71" s="19" t="n"/>
      <c r="B71" s="25">
        <f>IF(A71="","",CHOOSE(WEEKDAY(A71,2),"월","화","수","목","금","토","일"))</f>
        <v/>
      </c>
      <c r="C71" s="18" t="n"/>
      <c r="D71" s="25">
        <f>IFERROR(IF(C71="","",INDEX(직원명부!$B$5:$B$24,MATCH(C71,직원명부!$A$5:$A$24,0))),"사번 확인")</f>
        <v/>
      </c>
      <c r="E71" s="34" t="n"/>
      <c r="F71" s="34" t="n"/>
      <c r="G71" s="28" t="n"/>
      <c r="H71" s="33">
        <f>IF(OR(E71="",F71=""),"",ROUND(MOD(F71-E71,1)*24-N(G71),2))</f>
        <v/>
      </c>
      <c r="I71" s="33">
        <f>IF(H71="","",ROUND(MAX(0,H71-8),2))</f>
        <v/>
      </c>
      <c r="J71" s="18" t="n"/>
      <c r="K71" s="22" t="n"/>
    </row>
    <row r="72">
      <c r="A72" s="19" t="n"/>
      <c r="B72" s="25">
        <f>IF(A72="","",CHOOSE(WEEKDAY(A72,2),"월","화","수","목","금","토","일"))</f>
        <v/>
      </c>
      <c r="C72" s="18" t="n"/>
      <c r="D72" s="25">
        <f>IFERROR(IF(C72="","",INDEX(직원명부!$B$5:$B$24,MATCH(C72,직원명부!$A$5:$A$24,0))),"사번 확인")</f>
        <v/>
      </c>
      <c r="E72" s="34" t="n"/>
      <c r="F72" s="34" t="n"/>
      <c r="G72" s="28" t="n"/>
      <c r="H72" s="33">
        <f>IF(OR(E72="",F72=""),"",ROUND(MOD(F72-E72,1)*24-N(G72),2))</f>
        <v/>
      </c>
      <c r="I72" s="33">
        <f>IF(H72="","",ROUND(MAX(0,H72-8),2))</f>
        <v/>
      </c>
      <c r="J72" s="18" t="n"/>
      <c r="K72" s="22" t="n"/>
    </row>
    <row r="73">
      <c r="A73" s="19" t="n"/>
      <c r="B73" s="25">
        <f>IF(A73="","",CHOOSE(WEEKDAY(A73,2),"월","화","수","목","금","토","일"))</f>
        <v/>
      </c>
      <c r="C73" s="18" t="n"/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18" t="n"/>
      <c r="K73" s="22" t="n"/>
    </row>
    <row r="74">
      <c r="A74" s="19" t="n"/>
      <c r="B74" s="25">
        <f>IF(A74="","",CHOOSE(WEEKDAY(A74,2),"월","화","수","목","금","토","일"))</f>
        <v/>
      </c>
      <c r="C74" s="18" t="n"/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18" t="n"/>
      <c r="K74" s="22" t="n"/>
    </row>
    <row r="75">
      <c r="A75" s="19" t="n"/>
      <c r="B75" s="25">
        <f>IF(A75="","",CHOOSE(WEEKDAY(A75,2),"월","화","수","목","금","토","일"))</f>
        <v/>
      </c>
      <c r="C75" s="18" t="n"/>
      <c r="D75" s="25">
        <f>IFERROR(IF(C75="","",INDEX(직원명부!$B$5:$B$24,MATCH(C75,직원명부!$A$5:$A$24,0))),"사번 확인")</f>
        <v/>
      </c>
      <c r="E75" s="34" t="n"/>
      <c r="F75" s="34" t="n"/>
      <c r="G75" s="28" t="n"/>
      <c r="H75" s="33">
        <f>IF(OR(E75="",F75=""),"",ROUND(MOD(F75-E75,1)*24-N(G75),2))</f>
        <v/>
      </c>
      <c r="I75" s="33">
        <f>IF(H75="","",ROUND(MAX(0,H75-8),2))</f>
        <v/>
      </c>
      <c r="J75" s="18" t="n"/>
      <c r="K75" s="22" t="n"/>
    </row>
    <row r="76">
      <c r="A76" s="19" t="n"/>
      <c r="B76" s="25">
        <f>IF(A76="","",CHOOSE(WEEKDAY(A76,2),"월","화","수","목","금","토","일"))</f>
        <v/>
      </c>
      <c r="C76" s="18" t="n"/>
      <c r="D76" s="25">
        <f>IFERROR(IF(C76="","",INDEX(직원명부!$B$5:$B$24,MATCH(C76,직원명부!$A$5:$A$24,0))),"사번 확인")</f>
        <v/>
      </c>
      <c r="E76" s="34" t="n"/>
      <c r="F76" s="34" t="n"/>
      <c r="G76" s="28" t="n"/>
      <c r="H76" s="33">
        <f>IF(OR(E76="",F76=""),"",ROUND(MOD(F76-E76,1)*24-N(G76),2))</f>
        <v/>
      </c>
      <c r="I76" s="33">
        <f>IF(H76="","",ROUND(MAX(0,H76-8),2))</f>
        <v/>
      </c>
      <c r="J76" s="18" t="n"/>
      <c r="K76" s="22" t="n"/>
    </row>
    <row r="77">
      <c r="A77" s="19" t="n"/>
      <c r="B77" s="25">
        <f>IF(A77="","",CHOOSE(WEEKDAY(A77,2),"월","화","수","목","금","토","일"))</f>
        <v/>
      </c>
      <c r="C77" s="18" t="n"/>
      <c r="D77" s="25">
        <f>IFERROR(IF(C77="","",INDEX(직원명부!$B$5:$B$24,MATCH(C77,직원명부!$A$5:$A$24,0))),"사번 확인")</f>
        <v/>
      </c>
      <c r="E77" s="34" t="n"/>
      <c r="F77" s="34" t="n"/>
      <c r="G77" s="28" t="n"/>
      <c r="H77" s="33">
        <f>IF(OR(E77="",F77=""),"",ROUND(MOD(F77-E77,1)*24-N(G77),2))</f>
        <v/>
      </c>
      <c r="I77" s="33">
        <f>IF(H77="","",ROUND(MAX(0,H77-8),2))</f>
        <v/>
      </c>
      <c r="J77" s="18" t="n"/>
      <c r="K77" s="22" t="n"/>
    </row>
    <row r="78">
      <c r="A78" s="19" t="n"/>
      <c r="B78" s="25">
        <f>IF(A78="","",CHOOSE(WEEKDAY(A78,2),"월","화","수","목","금","토","일"))</f>
        <v/>
      </c>
      <c r="C78" s="18" t="n"/>
      <c r="D78" s="25">
        <f>IFERROR(IF(C78="","",INDEX(직원명부!$B$5:$B$24,MATCH(C78,직원명부!$A$5:$A$24,0))),"사번 확인")</f>
        <v/>
      </c>
      <c r="E78" s="34" t="n"/>
      <c r="F78" s="34" t="n"/>
      <c r="G78" s="28" t="n"/>
      <c r="H78" s="33">
        <f>IF(OR(E78="",F78=""),"",ROUND(MOD(F78-E78,1)*24-N(G78),2))</f>
        <v/>
      </c>
      <c r="I78" s="33">
        <f>IF(H78="","",ROUND(MAX(0,H78-8),2))</f>
        <v/>
      </c>
      <c r="J78" s="18" t="n"/>
      <c r="K78" s="22" t="n"/>
    </row>
    <row r="79">
      <c r="A79" s="19" t="n"/>
      <c r="B79" s="25">
        <f>IF(A79="","",CHOOSE(WEEKDAY(A79,2),"월","화","수","목","금","토","일"))</f>
        <v/>
      </c>
      <c r="C79" s="18" t="n"/>
      <c r="D79" s="25">
        <f>IFERROR(IF(C79="","",INDEX(직원명부!$B$5:$B$24,MATCH(C79,직원명부!$A$5:$A$24,0))),"사번 확인")</f>
        <v/>
      </c>
      <c r="E79" s="34" t="n"/>
      <c r="F79" s="34" t="n"/>
      <c r="G79" s="28" t="n"/>
      <c r="H79" s="33">
        <f>IF(OR(E79="",F79=""),"",ROUND(MOD(F79-E79,1)*24-N(G79),2))</f>
        <v/>
      </c>
      <c r="I79" s="33">
        <f>IF(H79="","",ROUND(MAX(0,H79-8),2))</f>
        <v/>
      </c>
      <c r="J79" s="18" t="n"/>
      <c r="K79" s="22" t="n"/>
    </row>
    <row r="80">
      <c r="A80" s="19" t="n"/>
      <c r="B80" s="25">
        <f>IF(A80="","",CHOOSE(WEEKDAY(A80,2),"월","화","수","목","금","토","일"))</f>
        <v/>
      </c>
      <c r="C80" s="18" t="n"/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18" t="n"/>
      <c r="K80" s="22" t="n"/>
    </row>
    <row r="81">
      <c r="A81" s="19" t="n"/>
      <c r="B81" s="25">
        <f>IF(A81="","",CHOOSE(WEEKDAY(A81,2),"월","화","수","목","금","토","일"))</f>
        <v/>
      </c>
      <c r="C81" s="18" t="n"/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18" t="n"/>
      <c r="K81" s="22" t="n"/>
    </row>
    <row r="82">
      <c r="A82" s="19" t="n"/>
      <c r="B82" s="25">
        <f>IF(A82="","",CHOOSE(WEEKDAY(A82,2),"월","화","수","목","금","토","일"))</f>
        <v/>
      </c>
      <c r="C82" s="18" t="n"/>
      <c r="D82" s="25">
        <f>IFERROR(IF(C82="","",INDEX(직원명부!$B$5:$B$24,MATCH(C82,직원명부!$A$5:$A$24,0))),"사번 확인")</f>
        <v/>
      </c>
      <c r="E82" s="34" t="n"/>
      <c r="F82" s="34" t="n"/>
      <c r="G82" s="28" t="n"/>
      <c r="H82" s="33">
        <f>IF(OR(E82="",F82=""),"",ROUND(MOD(F82-E82,1)*24-N(G82),2))</f>
        <v/>
      </c>
      <c r="I82" s="33">
        <f>IF(H82="","",ROUND(MAX(0,H82-8),2))</f>
        <v/>
      </c>
      <c r="J82" s="18" t="n"/>
      <c r="K82" s="22" t="n"/>
    </row>
    <row r="83">
      <c r="A83" s="19" t="n"/>
      <c r="B83" s="25">
        <f>IF(A83="","",CHOOSE(WEEKDAY(A83,2),"월","화","수","목","금","토","일"))</f>
        <v/>
      </c>
      <c r="C83" s="18" t="n"/>
      <c r="D83" s="25">
        <f>IFERROR(IF(C83="","",INDEX(직원명부!$B$5:$B$24,MATCH(C83,직원명부!$A$5:$A$24,0))),"사번 확인")</f>
        <v/>
      </c>
      <c r="E83" s="34" t="n"/>
      <c r="F83" s="34" t="n"/>
      <c r="G83" s="28" t="n"/>
      <c r="H83" s="33">
        <f>IF(OR(E83="",F83=""),"",ROUND(MOD(F83-E83,1)*24-N(G83),2))</f>
        <v/>
      </c>
      <c r="I83" s="33">
        <f>IF(H83="","",ROUND(MAX(0,H83-8),2))</f>
        <v/>
      </c>
      <c r="J83" s="18" t="n"/>
      <c r="K83" s="22" t="n"/>
    </row>
    <row r="84">
      <c r="A84" s="19" t="n"/>
      <c r="B84" s="25">
        <f>IF(A84="","",CHOOSE(WEEKDAY(A84,2),"월","화","수","목","금","토","일"))</f>
        <v/>
      </c>
      <c r="C84" s="18" t="n"/>
      <c r="D84" s="25">
        <f>IFERROR(IF(C84="","",INDEX(직원명부!$B$5:$B$24,MATCH(C84,직원명부!$A$5:$A$24,0))),"사번 확인")</f>
        <v/>
      </c>
      <c r="E84" s="34" t="n"/>
      <c r="F84" s="34" t="n"/>
      <c r="G84" s="28" t="n"/>
      <c r="H84" s="33">
        <f>IF(OR(E84="",F84=""),"",ROUND(MOD(F84-E84,1)*24-N(G84),2))</f>
        <v/>
      </c>
      <c r="I84" s="33">
        <f>IF(H84="","",ROUND(MAX(0,H84-8),2))</f>
        <v/>
      </c>
      <c r="J84" s="18" t="n"/>
      <c r="K84" s="22" t="n"/>
    </row>
    <row r="85">
      <c r="A85" s="19" t="n"/>
      <c r="B85" s="25">
        <f>IF(A85="","",CHOOSE(WEEKDAY(A85,2),"월","화","수","목","금","토","일"))</f>
        <v/>
      </c>
      <c r="C85" s="18" t="n"/>
      <c r="D85" s="25">
        <f>IFERROR(IF(C85="","",INDEX(직원명부!$B$5:$B$24,MATCH(C85,직원명부!$A$5:$A$24,0))),"사번 확인")</f>
        <v/>
      </c>
      <c r="E85" s="34" t="n"/>
      <c r="F85" s="34" t="n"/>
      <c r="G85" s="28" t="n"/>
      <c r="H85" s="33">
        <f>IF(OR(E85="",F85=""),"",ROUND(MOD(F85-E85,1)*24-N(G85),2))</f>
        <v/>
      </c>
      <c r="I85" s="33">
        <f>IF(H85="","",ROUND(MAX(0,H85-8),2))</f>
        <v/>
      </c>
      <c r="J85" s="18" t="n"/>
      <c r="K85" s="22" t="n"/>
    </row>
    <row r="86">
      <c r="A86" s="19" t="n"/>
      <c r="B86" s="25">
        <f>IF(A86="","",CHOOSE(WEEKDAY(A86,2),"월","화","수","목","금","토","일"))</f>
        <v/>
      </c>
      <c r="C86" s="18" t="n"/>
      <c r="D86" s="25">
        <f>IFERROR(IF(C86="","",INDEX(직원명부!$B$5:$B$24,MATCH(C86,직원명부!$A$5:$A$24,0))),"사번 확인")</f>
        <v/>
      </c>
      <c r="E86" s="34" t="n"/>
      <c r="F86" s="34" t="n"/>
      <c r="G86" s="28" t="n"/>
      <c r="H86" s="33">
        <f>IF(OR(E86="",F86=""),"",ROUND(MOD(F86-E86,1)*24-N(G86),2))</f>
        <v/>
      </c>
      <c r="I86" s="33">
        <f>IF(H86="","",ROUND(MAX(0,H86-8),2))</f>
        <v/>
      </c>
      <c r="J86" s="18" t="n"/>
      <c r="K86" s="22" t="n"/>
    </row>
    <row r="87">
      <c r="A87" s="19" t="n"/>
      <c r="B87" s="25">
        <f>IF(A87="","",CHOOSE(WEEKDAY(A87,2),"월","화","수","목","금","토","일"))</f>
        <v/>
      </c>
      <c r="C87" s="18" t="n"/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18" t="n"/>
      <c r="K87" s="22" t="n"/>
    </row>
    <row r="88">
      <c r="A88" s="19" t="n"/>
      <c r="B88" s="25">
        <f>IF(A88="","",CHOOSE(WEEKDAY(A88,2),"월","화","수","목","금","토","일"))</f>
        <v/>
      </c>
      <c r="C88" s="18" t="n"/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18" t="n"/>
      <c r="K88" s="22" t="n"/>
    </row>
    <row r="89">
      <c r="A89" s="19" t="n"/>
      <c r="B89" s="25">
        <f>IF(A89="","",CHOOSE(WEEKDAY(A89,2),"월","화","수","목","금","토","일"))</f>
        <v/>
      </c>
      <c r="C89" s="18" t="n"/>
      <c r="D89" s="25">
        <f>IFERROR(IF(C89="","",INDEX(직원명부!$B$5:$B$24,MATCH(C89,직원명부!$A$5:$A$24,0))),"사번 확인")</f>
        <v/>
      </c>
      <c r="E89" s="34" t="n"/>
      <c r="F89" s="34" t="n"/>
      <c r="G89" s="28" t="n"/>
      <c r="H89" s="33">
        <f>IF(OR(E89="",F89=""),"",ROUND(MOD(F89-E89,1)*24-N(G89),2))</f>
        <v/>
      </c>
      <c r="I89" s="33">
        <f>IF(H89="","",ROUND(MAX(0,H89-8),2))</f>
        <v/>
      </c>
      <c r="J89" s="18" t="n"/>
      <c r="K89" s="22" t="n"/>
    </row>
    <row r="90">
      <c r="A90" s="19" t="n"/>
      <c r="B90" s="25">
        <f>IF(A90="","",CHOOSE(WEEKDAY(A90,2),"월","화","수","목","금","토","일"))</f>
        <v/>
      </c>
      <c r="C90" s="18" t="n"/>
      <c r="D90" s="25">
        <f>IFERROR(IF(C90="","",INDEX(직원명부!$B$5:$B$24,MATCH(C90,직원명부!$A$5:$A$24,0))),"사번 확인")</f>
        <v/>
      </c>
      <c r="E90" s="34" t="n"/>
      <c r="F90" s="34" t="n"/>
      <c r="G90" s="28" t="n"/>
      <c r="H90" s="33">
        <f>IF(OR(E90="",F90=""),"",ROUND(MOD(F90-E90,1)*24-N(G90),2))</f>
        <v/>
      </c>
      <c r="I90" s="33">
        <f>IF(H90="","",ROUND(MAX(0,H90-8),2))</f>
        <v/>
      </c>
      <c r="J90" s="18" t="n"/>
      <c r="K90" s="22" t="n"/>
    </row>
    <row r="91">
      <c r="A91" s="19" t="n"/>
      <c r="B91" s="25">
        <f>IF(A91="","",CHOOSE(WEEKDAY(A91,2),"월","화","수","목","금","토","일"))</f>
        <v/>
      </c>
      <c r="C91" s="18" t="n"/>
      <c r="D91" s="25">
        <f>IFERROR(IF(C91="","",INDEX(직원명부!$B$5:$B$24,MATCH(C91,직원명부!$A$5:$A$24,0))),"사번 확인")</f>
        <v/>
      </c>
      <c r="E91" s="34" t="n"/>
      <c r="F91" s="34" t="n"/>
      <c r="G91" s="28" t="n"/>
      <c r="H91" s="33">
        <f>IF(OR(E91="",F91=""),"",ROUND(MOD(F91-E91,1)*24-N(G91),2))</f>
        <v/>
      </c>
      <c r="I91" s="33">
        <f>IF(H91="","",ROUND(MAX(0,H91-8),2))</f>
        <v/>
      </c>
      <c r="J91" s="18" t="n"/>
      <c r="K91" s="22" t="n"/>
    </row>
    <row r="92">
      <c r="A92" s="19" t="n"/>
      <c r="B92" s="25">
        <f>IF(A92="","",CHOOSE(WEEKDAY(A92,2),"월","화","수","목","금","토","일"))</f>
        <v/>
      </c>
      <c r="C92" s="18" t="n"/>
      <c r="D92" s="25">
        <f>IFERROR(IF(C92="","",INDEX(직원명부!$B$5:$B$24,MATCH(C92,직원명부!$A$5:$A$24,0))),"사번 확인")</f>
        <v/>
      </c>
      <c r="E92" s="34" t="n"/>
      <c r="F92" s="34" t="n"/>
      <c r="G92" s="28" t="n"/>
      <c r="H92" s="33">
        <f>IF(OR(E92="",F92=""),"",ROUND(MOD(F92-E92,1)*24-N(G92),2))</f>
        <v/>
      </c>
      <c r="I92" s="33">
        <f>IF(H92="","",ROUND(MAX(0,H92-8),2))</f>
        <v/>
      </c>
      <c r="J92" s="18" t="n"/>
      <c r="K92" s="22" t="n"/>
    </row>
    <row r="93">
      <c r="A93" s="19" t="n"/>
      <c r="B93" s="25">
        <f>IF(A93="","",CHOOSE(WEEKDAY(A93,2),"월","화","수","목","금","토","일"))</f>
        <v/>
      </c>
      <c r="C93" s="18" t="n"/>
      <c r="D93" s="25">
        <f>IFERROR(IF(C93="","",INDEX(직원명부!$B$5:$B$24,MATCH(C93,직원명부!$A$5:$A$24,0))),"사번 확인")</f>
        <v/>
      </c>
      <c r="E93" s="34" t="n"/>
      <c r="F93" s="34" t="n"/>
      <c r="G93" s="28" t="n"/>
      <c r="H93" s="33">
        <f>IF(OR(E93="",F93=""),"",ROUND(MOD(F93-E93,1)*24-N(G93),2))</f>
        <v/>
      </c>
      <c r="I93" s="33">
        <f>IF(H93="","",ROUND(MAX(0,H93-8),2))</f>
        <v/>
      </c>
      <c r="J93" s="18" t="n"/>
      <c r="K93" s="22" t="n"/>
    </row>
    <row r="94">
      <c r="A94" s="19" t="n"/>
      <c r="B94" s="25">
        <f>IF(A94="","",CHOOSE(WEEKDAY(A94,2),"월","화","수","목","금","토","일"))</f>
        <v/>
      </c>
      <c r="C94" s="18" t="n"/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18" t="n"/>
      <c r="K94" s="22" t="n"/>
    </row>
    <row r="95">
      <c r="A95" s="19" t="n"/>
      <c r="B95" s="25">
        <f>IF(A95="","",CHOOSE(WEEKDAY(A95,2),"월","화","수","목","금","토","일"))</f>
        <v/>
      </c>
      <c r="C95" s="18" t="n"/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18" t="n"/>
      <c r="K95" s="22" t="n"/>
    </row>
    <row r="96">
      <c r="A96" s="19" t="n"/>
      <c r="B96" s="25">
        <f>IF(A96="","",CHOOSE(WEEKDAY(A96,2),"월","화","수","목","금","토","일"))</f>
        <v/>
      </c>
      <c r="C96" s="18" t="n"/>
      <c r="D96" s="25">
        <f>IFERROR(IF(C96="","",INDEX(직원명부!$B$5:$B$24,MATCH(C96,직원명부!$A$5:$A$24,0))),"사번 확인")</f>
        <v/>
      </c>
      <c r="E96" s="34" t="n"/>
      <c r="F96" s="34" t="n"/>
      <c r="G96" s="28" t="n"/>
      <c r="H96" s="33">
        <f>IF(OR(E96="",F96=""),"",ROUND(MOD(F96-E96,1)*24-N(G96),2))</f>
        <v/>
      </c>
      <c r="I96" s="33">
        <f>IF(H96="","",ROUND(MAX(0,H96-8),2))</f>
        <v/>
      </c>
      <c r="J96" s="18" t="n"/>
      <c r="K96" s="22" t="n"/>
    </row>
    <row r="97">
      <c r="A97" s="19" t="n"/>
      <c r="B97" s="25">
        <f>IF(A97="","",CHOOSE(WEEKDAY(A97,2),"월","화","수","목","금","토","일"))</f>
        <v/>
      </c>
      <c r="C97" s="18" t="n"/>
      <c r="D97" s="25">
        <f>IFERROR(IF(C97="","",INDEX(직원명부!$B$5:$B$24,MATCH(C97,직원명부!$A$5:$A$24,0))),"사번 확인")</f>
        <v/>
      </c>
      <c r="E97" s="34" t="n"/>
      <c r="F97" s="34" t="n"/>
      <c r="G97" s="28" t="n"/>
      <c r="H97" s="33">
        <f>IF(OR(E97="",F97=""),"",ROUND(MOD(F97-E97,1)*24-N(G97),2))</f>
        <v/>
      </c>
      <c r="I97" s="33">
        <f>IF(H97="","",ROUND(MAX(0,H97-8),2))</f>
        <v/>
      </c>
      <c r="J97" s="18" t="n"/>
      <c r="K97" s="22" t="n"/>
    </row>
    <row r="98">
      <c r="A98" s="19" t="n"/>
      <c r="B98" s="25">
        <f>IF(A98="","",CHOOSE(WEEKDAY(A98,2),"월","화","수","목","금","토","일"))</f>
        <v/>
      </c>
      <c r="C98" s="18" t="n"/>
      <c r="D98" s="25">
        <f>IFERROR(IF(C98="","",INDEX(직원명부!$B$5:$B$24,MATCH(C98,직원명부!$A$5:$A$24,0))),"사번 확인")</f>
        <v/>
      </c>
      <c r="E98" s="34" t="n"/>
      <c r="F98" s="34" t="n"/>
      <c r="G98" s="28" t="n"/>
      <c r="H98" s="33">
        <f>IF(OR(E98="",F98=""),"",ROUND(MOD(F98-E98,1)*24-N(G98),2))</f>
        <v/>
      </c>
      <c r="I98" s="33">
        <f>IF(H98="","",ROUND(MAX(0,H98-8),2))</f>
        <v/>
      </c>
      <c r="J98" s="18" t="n"/>
      <c r="K98" s="22" t="n"/>
    </row>
    <row r="99">
      <c r="A99" s="19" t="n"/>
      <c r="B99" s="25">
        <f>IF(A99="","",CHOOSE(WEEKDAY(A99,2),"월","화","수","목","금","토","일"))</f>
        <v/>
      </c>
      <c r="C99" s="18" t="n"/>
      <c r="D99" s="25">
        <f>IFERROR(IF(C99="","",INDEX(직원명부!$B$5:$B$24,MATCH(C99,직원명부!$A$5:$A$24,0))),"사번 확인")</f>
        <v/>
      </c>
      <c r="E99" s="34" t="n"/>
      <c r="F99" s="34" t="n"/>
      <c r="G99" s="28" t="n"/>
      <c r="H99" s="33">
        <f>IF(OR(E99="",F99=""),"",ROUND(MOD(F99-E99,1)*24-N(G99),2))</f>
        <v/>
      </c>
      <c r="I99" s="33">
        <f>IF(H99="","",ROUND(MAX(0,H99-8),2))</f>
        <v/>
      </c>
      <c r="J99" s="18" t="n"/>
      <c r="K99" s="22" t="n"/>
    </row>
    <row r="100">
      <c r="A100" s="19" t="n"/>
      <c r="B100" s="25">
        <f>IF(A100="","",CHOOSE(WEEKDAY(A100,2),"월","화","수","목","금","토","일"))</f>
        <v/>
      </c>
      <c r="C100" s="18" t="n"/>
      <c r="D100" s="25">
        <f>IFERROR(IF(C100="","",INDEX(직원명부!$B$5:$B$24,MATCH(C100,직원명부!$A$5:$A$24,0))),"사번 확인")</f>
        <v/>
      </c>
      <c r="E100" s="34" t="n"/>
      <c r="F100" s="34" t="n"/>
      <c r="G100" s="28" t="n"/>
      <c r="H100" s="33">
        <f>IF(OR(E100="",F100=""),"",ROUND(MOD(F100-E100,1)*24-N(G100),2))</f>
        <v/>
      </c>
      <c r="I100" s="33">
        <f>IF(H100="","",ROUND(MAX(0,H100-8),2))</f>
        <v/>
      </c>
      <c r="J100" s="18" t="n"/>
      <c r="K100" s="22" t="n"/>
    </row>
    <row r="101">
      <c r="A101" s="19" t="n"/>
      <c r="B101" s="25">
        <f>IF(A101="","",CHOOSE(WEEKDAY(A101,2),"월","화","수","목","금","토","일"))</f>
        <v/>
      </c>
      <c r="C101" s="18" t="n"/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18" t="n"/>
      <c r="K101" s="22" t="n"/>
    </row>
    <row r="102">
      <c r="A102" s="19" t="n"/>
      <c r="B102" s="25">
        <f>IF(A102="","",CHOOSE(WEEKDAY(A102,2),"월","화","수","목","금","토","일"))</f>
        <v/>
      </c>
      <c r="C102" s="18" t="n"/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18" t="n"/>
      <c r="K102" s="22" t="n"/>
    </row>
    <row r="103">
      <c r="A103" s="19" t="n"/>
      <c r="B103" s="25">
        <f>IF(A103="","",CHOOSE(WEEKDAY(A103,2),"월","화","수","목","금","토","일"))</f>
        <v/>
      </c>
      <c r="C103" s="18" t="n"/>
      <c r="D103" s="25">
        <f>IFERROR(IF(C103="","",INDEX(직원명부!$B$5:$B$24,MATCH(C103,직원명부!$A$5:$A$24,0))),"사번 확인")</f>
        <v/>
      </c>
      <c r="E103" s="34" t="n"/>
      <c r="F103" s="34" t="n"/>
      <c r="G103" s="28" t="n"/>
      <c r="H103" s="33">
        <f>IF(OR(E103="",F103=""),"",ROUND(MOD(F103-E103,1)*24-N(G103),2))</f>
        <v/>
      </c>
      <c r="I103" s="33">
        <f>IF(H103="","",ROUND(MAX(0,H103-8),2))</f>
        <v/>
      </c>
      <c r="J103" s="18" t="n"/>
      <c r="K103" s="22" t="n"/>
    </row>
    <row r="104">
      <c r="A104" s="19" t="n"/>
      <c r="B104" s="25">
        <f>IF(A104="","",CHOOSE(WEEKDAY(A104,2),"월","화","수","목","금","토","일"))</f>
        <v/>
      </c>
      <c r="C104" s="18" t="n"/>
      <c r="D104" s="25">
        <f>IFERROR(IF(C104="","",INDEX(직원명부!$B$5:$B$24,MATCH(C104,직원명부!$A$5:$A$24,0))),"사번 확인")</f>
        <v/>
      </c>
      <c r="E104" s="34" t="n"/>
      <c r="F104" s="34" t="n"/>
      <c r="G104" s="28" t="n"/>
      <c r="H104" s="33">
        <f>IF(OR(E104="",F104=""),"",ROUND(MOD(F104-E104,1)*24-N(G104),2))</f>
        <v/>
      </c>
      <c r="I104" s="33">
        <f>IF(H104="","",ROUND(MAX(0,H104-8),2))</f>
        <v/>
      </c>
      <c r="J104" s="18" t="n"/>
      <c r="K104" s="22" t="n"/>
    </row>
    <row r="105">
      <c r="A105" s="19" t="n"/>
      <c r="B105" s="25">
        <f>IF(A105="","",CHOOSE(WEEKDAY(A105,2),"월","화","수","목","금","토","일"))</f>
        <v/>
      </c>
      <c r="C105" s="18" t="n"/>
      <c r="D105" s="25">
        <f>IFERROR(IF(C105="","",INDEX(직원명부!$B$5:$B$24,MATCH(C105,직원명부!$A$5:$A$24,0))),"사번 확인")</f>
        <v/>
      </c>
      <c r="E105" s="34" t="n"/>
      <c r="F105" s="34" t="n"/>
      <c r="G105" s="28" t="n"/>
      <c r="H105" s="33">
        <f>IF(OR(E105="",F105=""),"",ROUND(MOD(F105-E105,1)*24-N(G105),2))</f>
        <v/>
      </c>
      <c r="I105" s="33">
        <f>IF(H105="","",ROUND(MAX(0,H105-8),2))</f>
        <v/>
      </c>
      <c r="J105" s="18" t="n"/>
      <c r="K105" s="22" t="n"/>
    </row>
    <row r="106">
      <c r="A106" s="19" t="n"/>
      <c r="B106" s="25">
        <f>IF(A106="","",CHOOSE(WEEKDAY(A106,2),"월","화","수","목","금","토","일"))</f>
        <v/>
      </c>
      <c r="C106" s="18" t="n"/>
      <c r="D106" s="25">
        <f>IFERROR(IF(C106="","",INDEX(직원명부!$B$5:$B$24,MATCH(C106,직원명부!$A$5:$A$24,0))),"사번 확인")</f>
        <v/>
      </c>
      <c r="E106" s="34" t="n"/>
      <c r="F106" s="34" t="n"/>
      <c r="G106" s="28" t="n"/>
      <c r="H106" s="33">
        <f>IF(OR(E106="",F106=""),"",ROUND(MOD(F106-E106,1)*24-N(G106),2))</f>
        <v/>
      </c>
      <c r="I106" s="33">
        <f>IF(H106="","",ROUND(MAX(0,H106-8),2))</f>
        <v/>
      </c>
      <c r="J106" s="18" t="n"/>
      <c r="K106" s="22" t="n"/>
    </row>
    <row r="107">
      <c r="A107" s="19" t="n"/>
      <c r="B107" s="25">
        <f>IF(A107="","",CHOOSE(WEEKDAY(A107,2),"월","화","수","목","금","토","일"))</f>
        <v/>
      </c>
      <c r="C107" s="18" t="n"/>
      <c r="D107" s="25">
        <f>IFERROR(IF(C107="","",INDEX(직원명부!$B$5:$B$24,MATCH(C107,직원명부!$A$5:$A$24,0))),"사번 확인")</f>
        <v/>
      </c>
      <c r="E107" s="34" t="n"/>
      <c r="F107" s="34" t="n"/>
      <c r="G107" s="28" t="n"/>
      <c r="H107" s="33">
        <f>IF(OR(E107="",F107=""),"",ROUND(MOD(F107-E107,1)*24-N(G107),2))</f>
        <v/>
      </c>
      <c r="I107" s="33">
        <f>IF(H107="","",ROUND(MAX(0,H107-8),2))</f>
        <v/>
      </c>
      <c r="J107" s="18" t="n"/>
      <c r="K107" s="22" t="n"/>
    </row>
    <row r="108">
      <c r="A108" s="19" t="n"/>
      <c r="B108" s="25">
        <f>IF(A108="","",CHOOSE(WEEKDAY(A108,2),"월","화","수","목","금","토","일"))</f>
        <v/>
      </c>
      <c r="C108" s="18" t="n"/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18" t="n"/>
      <c r="K108" s="22" t="n"/>
    </row>
    <row r="109">
      <c r="A109" s="19" t="n"/>
      <c r="B109" s="25">
        <f>IF(A109="","",CHOOSE(WEEKDAY(A109,2),"월","화","수","목","금","토","일"))</f>
        <v/>
      </c>
      <c r="C109" s="18" t="n"/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18" t="n"/>
      <c r="K109" s="22" t="n"/>
    </row>
    <row r="110">
      <c r="A110" s="19" t="n"/>
      <c r="B110" s="25">
        <f>IF(A110="","",CHOOSE(WEEKDAY(A110,2),"월","화","수","목","금","토","일"))</f>
        <v/>
      </c>
      <c r="C110" s="18" t="n"/>
      <c r="D110" s="25">
        <f>IFERROR(IF(C110="","",INDEX(직원명부!$B$5:$B$24,MATCH(C110,직원명부!$A$5:$A$24,0))),"사번 확인")</f>
        <v/>
      </c>
      <c r="E110" s="34" t="n"/>
      <c r="F110" s="34" t="n"/>
      <c r="G110" s="28" t="n"/>
      <c r="H110" s="33">
        <f>IF(OR(E110="",F110=""),"",ROUND(MOD(F110-E110,1)*24-N(G110),2))</f>
        <v/>
      </c>
      <c r="I110" s="33">
        <f>IF(H110="","",ROUND(MAX(0,H110-8),2))</f>
        <v/>
      </c>
      <c r="J110" s="18" t="n"/>
      <c r="K110" s="22" t="n"/>
    </row>
    <row r="111">
      <c r="A111" s="19" t="n"/>
      <c r="B111" s="25">
        <f>IF(A111="","",CHOOSE(WEEKDAY(A111,2),"월","화","수","목","금","토","일"))</f>
        <v/>
      </c>
      <c r="C111" s="18" t="n"/>
      <c r="D111" s="25">
        <f>IFERROR(IF(C111="","",INDEX(직원명부!$B$5:$B$24,MATCH(C111,직원명부!$A$5:$A$24,0))),"사번 확인")</f>
        <v/>
      </c>
      <c r="E111" s="34" t="n"/>
      <c r="F111" s="34" t="n"/>
      <c r="G111" s="28" t="n"/>
      <c r="H111" s="33">
        <f>IF(OR(E111="",F111=""),"",ROUND(MOD(F111-E111,1)*24-N(G111),2))</f>
        <v/>
      </c>
      <c r="I111" s="33">
        <f>IF(H111="","",ROUND(MAX(0,H111-8),2))</f>
        <v/>
      </c>
      <c r="J111" s="18" t="n"/>
      <c r="K111" s="22" t="n"/>
    </row>
    <row r="112">
      <c r="A112" s="19" t="n"/>
      <c r="B112" s="25">
        <f>IF(A112="","",CHOOSE(WEEKDAY(A112,2),"월","화","수","목","금","토","일"))</f>
        <v/>
      </c>
      <c r="C112" s="18" t="n"/>
      <c r="D112" s="25">
        <f>IFERROR(IF(C112="","",INDEX(직원명부!$B$5:$B$24,MATCH(C112,직원명부!$A$5:$A$24,0))),"사번 확인")</f>
        <v/>
      </c>
      <c r="E112" s="34" t="n"/>
      <c r="F112" s="34" t="n"/>
      <c r="G112" s="28" t="n"/>
      <c r="H112" s="33">
        <f>IF(OR(E112="",F112=""),"",ROUND(MOD(F112-E112,1)*24-N(G112),2))</f>
        <v/>
      </c>
      <c r="I112" s="33">
        <f>IF(H112="","",ROUND(MAX(0,H112-8),2))</f>
        <v/>
      </c>
      <c r="J112" s="18" t="n"/>
      <c r="K112" s="22" t="n"/>
    </row>
    <row r="113">
      <c r="A113" s="19" t="n"/>
      <c r="B113" s="25">
        <f>IF(A113="","",CHOOSE(WEEKDAY(A113,2),"월","화","수","목","금","토","일"))</f>
        <v/>
      </c>
      <c r="C113" s="18" t="n"/>
      <c r="D113" s="25">
        <f>IFERROR(IF(C113="","",INDEX(직원명부!$B$5:$B$24,MATCH(C113,직원명부!$A$5:$A$24,0))),"사번 확인")</f>
        <v/>
      </c>
      <c r="E113" s="34" t="n"/>
      <c r="F113" s="34" t="n"/>
      <c r="G113" s="28" t="n"/>
      <c r="H113" s="33">
        <f>IF(OR(E113="",F113=""),"",ROUND(MOD(F113-E113,1)*24-N(G113),2))</f>
        <v/>
      </c>
      <c r="I113" s="33">
        <f>IF(H113="","",ROUND(MAX(0,H113-8),2))</f>
        <v/>
      </c>
      <c r="J113" s="18" t="n"/>
      <c r="K113" s="22" t="n"/>
    </row>
    <row r="114">
      <c r="A114" s="19" t="n"/>
      <c r="B114" s="25">
        <f>IF(A114="","",CHOOSE(WEEKDAY(A114,2),"월","화","수","목","금","토","일"))</f>
        <v/>
      </c>
      <c r="C114" s="18" t="n"/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18" t="n"/>
      <c r="K114" s="22" t="n"/>
    </row>
    <row r="115">
      <c r="A115" s="19" t="n"/>
      <c r="B115" s="25">
        <f>IF(A115="","",CHOOSE(WEEKDAY(A115,2),"월","화","수","목","금","토","일"))</f>
        <v/>
      </c>
      <c r="C115" s="18" t="n"/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18" t="n"/>
      <c r="K115" s="22" t="n"/>
    </row>
    <row r="116">
      <c r="A116" s="19" t="n"/>
      <c r="B116" s="25">
        <f>IF(A116="","",CHOOSE(WEEKDAY(A116,2),"월","화","수","목","금","토","일"))</f>
        <v/>
      </c>
      <c r="C116" s="18" t="n"/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18" t="n"/>
      <c r="K116" s="22" t="n"/>
    </row>
    <row r="117">
      <c r="A117" s="19" t="n"/>
      <c r="B117" s="25">
        <f>IF(A117="","",CHOOSE(WEEKDAY(A117,2),"월","화","수","목","금","토","일"))</f>
        <v/>
      </c>
      <c r="C117" s="18" t="n"/>
      <c r="D117" s="25">
        <f>IFERROR(IF(C117="","",INDEX(직원명부!$B$5:$B$24,MATCH(C117,직원명부!$A$5:$A$24,0))),"사번 확인")</f>
        <v/>
      </c>
      <c r="E117" s="34" t="n"/>
      <c r="F117" s="34" t="n"/>
      <c r="G117" s="28" t="n"/>
      <c r="H117" s="33">
        <f>IF(OR(E117="",F117=""),"",ROUND(MOD(F117-E117,1)*24-N(G117),2))</f>
        <v/>
      </c>
      <c r="I117" s="33">
        <f>IF(H117="","",ROUND(MAX(0,H117-8),2))</f>
        <v/>
      </c>
      <c r="J117" s="18" t="n"/>
      <c r="K117" s="22" t="n"/>
    </row>
    <row r="118">
      <c r="A118" s="19" t="n"/>
      <c r="B118" s="25">
        <f>IF(A118="","",CHOOSE(WEEKDAY(A118,2),"월","화","수","목","금","토","일"))</f>
        <v/>
      </c>
      <c r="C118" s="18" t="n"/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18" t="n"/>
      <c r="K118" s="22" t="n"/>
    </row>
    <row r="119">
      <c r="A119" s="19" t="n"/>
      <c r="B119" s="25">
        <f>IF(A119="","",CHOOSE(WEEKDAY(A119,2),"월","화","수","목","금","토","일"))</f>
        <v/>
      </c>
      <c r="C119" s="18" t="n"/>
      <c r="D119" s="25">
        <f>IFERROR(IF(C119="","",INDEX(직원명부!$B$5:$B$24,MATCH(C119,직원명부!$A$5:$A$24,0))),"사번 확인")</f>
        <v/>
      </c>
      <c r="E119" s="34" t="n"/>
      <c r="F119" s="34" t="n"/>
      <c r="G119" s="28" t="n"/>
      <c r="H119" s="33">
        <f>IF(OR(E119="",F119=""),"",ROUND(MOD(F119-E119,1)*24-N(G119),2))</f>
        <v/>
      </c>
      <c r="I119" s="33">
        <f>IF(H119="","",ROUND(MAX(0,H119-8),2))</f>
        <v/>
      </c>
      <c r="J119" s="18" t="n"/>
      <c r="K119" s="22" t="n"/>
    </row>
    <row r="120">
      <c r="A120" s="19" t="n"/>
      <c r="B120" s="25">
        <f>IF(A120="","",CHOOSE(WEEKDAY(A120,2),"월","화","수","목","금","토","일"))</f>
        <v/>
      </c>
      <c r="C120" s="18" t="n"/>
      <c r="D120" s="25">
        <f>IFERROR(IF(C120="","",INDEX(직원명부!$B$5:$B$24,MATCH(C120,직원명부!$A$5:$A$24,0))),"사번 확인")</f>
        <v/>
      </c>
      <c r="E120" s="34" t="n"/>
      <c r="F120" s="34" t="n"/>
      <c r="G120" s="28" t="n"/>
      <c r="H120" s="33">
        <f>IF(OR(E120="",F120=""),"",ROUND(MOD(F120-E120,1)*24-N(G120),2))</f>
        <v/>
      </c>
      <c r="I120" s="33">
        <f>IF(H120="","",ROUND(MAX(0,H120-8),2))</f>
        <v/>
      </c>
      <c r="J120" s="18" t="n"/>
      <c r="K120" s="22" t="n"/>
    </row>
    <row r="121">
      <c r="A121" s="19" t="n"/>
      <c r="B121" s="25">
        <f>IF(A121="","",CHOOSE(WEEKDAY(A121,2),"월","화","수","목","금","토","일"))</f>
        <v/>
      </c>
      <c r="C121" s="18" t="n"/>
      <c r="D121" s="25">
        <f>IFERROR(IF(C121="","",INDEX(직원명부!$B$5:$B$24,MATCH(C121,직원명부!$A$5:$A$24,0))),"사번 확인")</f>
        <v/>
      </c>
      <c r="E121" s="34" t="n"/>
      <c r="F121" s="34" t="n"/>
      <c r="G121" s="28" t="n"/>
      <c r="H121" s="33">
        <f>IF(OR(E121="",F121=""),"",ROUND(MOD(F121-E121,1)*24-N(G121),2))</f>
        <v/>
      </c>
      <c r="I121" s="33">
        <f>IF(H121="","",ROUND(MAX(0,H121-8),2))</f>
        <v/>
      </c>
      <c r="J121" s="18" t="n"/>
      <c r="K121" s="22" t="n"/>
    </row>
    <row r="122">
      <c r="A122" s="19" t="n"/>
      <c r="B122" s="25">
        <f>IF(A122="","",CHOOSE(WEEKDAY(A122,2),"월","화","수","목","금","토","일"))</f>
        <v/>
      </c>
      <c r="C122" s="18" t="n"/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18" t="n"/>
      <c r="K122" s="22" t="n"/>
    </row>
    <row r="123">
      <c r="A123" s="19" t="n"/>
      <c r="B123" s="25">
        <f>IF(A123="","",CHOOSE(WEEKDAY(A123,2),"월","화","수","목","금","토","일"))</f>
        <v/>
      </c>
      <c r="C123" s="18" t="n"/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18" t="n"/>
      <c r="K123" s="22" t="n"/>
    </row>
    <row r="124">
      <c r="A124" s="19" t="n"/>
      <c r="B124" s="25">
        <f>IF(A124="","",CHOOSE(WEEKDAY(A124,2),"월","화","수","목","금","토","일"))</f>
        <v/>
      </c>
      <c r="C124" s="18" t="n"/>
      <c r="D124" s="25">
        <f>IFERROR(IF(C124="","",INDEX(직원명부!$B$5:$B$24,MATCH(C124,직원명부!$A$5:$A$24,0))),"사번 확인")</f>
        <v/>
      </c>
      <c r="E124" s="34" t="n"/>
      <c r="F124" s="34" t="n"/>
      <c r="G124" s="28" t="n"/>
      <c r="H124" s="33">
        <f>IF(OR(E124="",F124=""),"",ROUND(MOD(F124-E124,1)*24-N(G124),2))</f>
        <v/>
      </c>
      <c r="I124" s="33">
        <f>IF(H124="","",ROUND(MAX(0,H124-8),2))</f>
        <v/>
      </c>
      <c r="J124" s="18" t="n"/>
      <c r="K124" s="22" t="n"/>
    </row>
    <row r="125">
      <c r="A125" s="19" t="n"/>
      <c r="B125" s="25">
        <f>IF(A125="","",CHOOSE(WEEKDAY(A125,2),"월","화","수","목","금","토","일"))</f>
        <v/>
      </c>
      <c r="C125" s="18" t="n"/>
      <c r="D125" s="25">
        <f>IFERROR(IF(C125="","",INDEX(직원명부!$B$5:$B$24,MATCH(C125,직원명부!$A$5:$A$24,0))),"사번 확인")</f>
        <v/>
      </c>
      <c r="E125" s="34" t="n"/>
      <c r="F125" s="34" t="n"/>
      <c r="G125" s="28" t="n"/>
      <c r="H125" s="33">
        <f>IF(OR(E125="",F125=""),"",ROUND(MOD(F125-E125,1)*24-N(G125),2))</f>
        <v/>
      </c>
      <c r="I125" s="33">
        <f>IF(H125="","",ROUND(MAX(0,H125-8),2))</f>
        <v/>
      </c>
      <c r="J125" s="18" t="n"/>
      <c r="K125" s="22" t="n"/>
    </row>
    <row r="126">
      <c r="A126" s="19" t="n"/>
      <c r="B126" s="25">
        <f>IF(A126="","",CHOOSE(WEEKDAY(A126,2),"월","화","수","목","금","토","일"))</f>
        <v/>
      </c>
      <c r="C126" s="18" t="n"/>
      <c r="D126" s="25">
        <f>IFERROR(IF(C126="","",INDEX(직원명부!$B$5:$B$24,MATCH(C126,직원명부!$A$5:$A$24,0))),"사번 확인")</f>
        <v/>
      </c>
      <c r="E126" s="34" t="n"/>
      <c r="F126" s="34" t="n"/>
      <c r="G126" s="28" t="n"/>
      <c r="H126" s="33">
        <f>IF(OR(E126="",F126=""),"",ROUND(MOD(F126-E126,1)*24-N(G126),2))</f>
        <v/>
      </c>
      <c r="I126" s="33">
        <f>IF(H126="","",ROUND(MAX(0,H126-8),2))</f>
        <v/>
      </c>
      <c r="J126" s="18" t="n"/>
      <c r="K126" s="22" t="n"/>
    </row>
    <row r="127">
      <c r="A127" s="19" t="n"/>
      <c r="B127" s="25">
        <f>IF(A127="","",CHOOSE(WEEKDAY(A127,2),"월","화","수","목","금","토","일"))</f>
        <v/>
      </c>
      <c r="C127" s="18" t="n"/>
      <c r="D127" s="25">
        <f>IFERROR(IF(C127="","",INDEX(직원명부!$B$5:$B$24,MATCH(C127,직원명부!$A$5:$A$24,0))),"사번 확인")</f>
        <v/>
      </c>
      <c r="E127" s="34" t="n"/>
      <c r="F127" s="34" t="n"/>
      <c r="G127" s="28" t="n"/>
      <c r="H127" s="33">
        <f>IF(OR(E127="",F127=""),"",ROUND(MOD(F127-E127,1)*24-N(G127),2))</f>
        <v/>
      </c>
      <c r="I127" s="33">
        <f>IF(H127="","",ROUND(MAX(0,H127-8),2))</f>
        <v/>
      </c>
      <c r="J127" s="18" t="n"/>
      <c r="K127" s="22" t="n"/>
    </row>
    <row r="128">
      <c r="A128" s="19" t="n"/>
      <c r="B128" s="25">
        <f>IF(A128="","",CHOOSE(WEEKDAY(A128,2),"월","화","수","목","금","토","일"))</f>
        <v/>
      </c>
      <c r="C128" s="18" t="n"/>
      <c r="D128" s="25">
        <f>IFERROR(IF(C128="","",INDEX(직원명부!$B$5:$B$24,MATCH(C128,직원명부!$A$5:$A$24,0))),"사번 확인")</f>
        <v/>
      </c>
      <c r="E128" s="34" t="n"/>
      <c r="F128" s="34" t="n"/>
      <c r="G128" s="28" t="n"/>
      <c r="H128" s="33">
        <f>IF(OR(E128="",F128=""),"",ROUND(MOD(F128-E128,1)*24-N(G128),2))</f>
        <v/>
      </c>
      <c r="I128" s="33">
        <f>IF(H128="","",ROUND(MAX(0,H128-8),2))</f>
        <v/>
      </c>
      <c r="J128" s="18" t="n"/>
      <c r="K128" s="22" t="n"/>
    </row>
    <row r="129">
      <c r="A129" s="19" t="n"/>
      <c r="B129" s="25">
        <f>IF(A129="","",CHOOSE(WEEKDAY(A129,2),"월","화","수","목","금","토","일"))</f>
        <v/>
      </c>
      <c r="C129" s="18" t="n"/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18" t="n"/>
      <c r="K129" s="22" t="n"/>
    </row>
    <row r="130">
      <c r="A130" s="19" t="n"/>
      <c r="B130" s="25">
        <f>IF(A130="","",CHOOSE(WEEKDAY(A130,2),"월","화","수","목","금","토","일"))</f>
        <v/>
      </c>
      <c r="C130" s="18" t="n"/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18" t="n"/>
      <c r="K130" s="22" t="n"/>
    </row>
    <row r="131">
      <c r="A131" s="19" t="n"/>
      <c r="B131" s="25">
        <f>IF(A131="","",CHOOSE(WEEKDAY(A131,2),"월","화","수","목","금","토","일"))</f>
        <v/>
      </c>
      <c r="C131" s="18" t="n"/>
      <c r="D131" s="25">
        <f>IFERROR(IF(C131="","",INDEX(직원명부!$B$5:$B$24,MATCH(C131,직원명부!$A$5:$A$24,0))),"사번 확인")</f>
        <v/>
      </c>
      <c r="E131" s="34" t="n"/>
      <c r="F131" s="34" t="n"/>
      <c r="G131" s="28" t="n"/>
      <c r="H131" s="33">
        <f>IF(OR(E131="",F131=""),"",ROUND(MOD(F131-E131,1)*24-N(G131),2))</f>
        <v/>
      </c>
      <c r="I131" s="33">
        <f>IF(H131="","",ROUND(MAX(0,H131-8),2))</f>
        <v/>
      </c>
      <c r="J131" s="18" t="n"/>
      <c r="K131" s="22" t="n"/>
    </row>
    <row r="132">
      <c r="A132" s="19" t="n"/>
      <c r="B132" s="25">
        <f>IF(A132="","",CHOOSE(WEEKDAY(A132,2),"월","화","수","목","금","토","일"))</f>
        <v/>
      </c>
      <c r="C132" s="18" t="n"/>
      <c r="D132" s="25">
        <f>IFERROR(IF(C132="","",INDEX(직원명부!$B$5:$B$24,MATCH(C132,직원명부!$A$5:$A$24,0))),"사번 확인")</f>
        <v/>
      </c>
      <c r="E132" s="34" t="n"/>
      <c r="F132" s="34" t="n"/>
      <c r="G132" s="28" t="n"/>
      <c r="H132" s="33">
        <f>IF(OR(E132="",F132=""),"",ROUND(MOD(F132-E132,1)*24-N(G132),2))</f>
        <v/>
      </c>
      <c r="I132" s="33">
        <f>IF(H132="","",ROUND(MAX(0,H132-8),2))</f>
        <v/>
      </c>
      <c r="J132" s="18" t="n"/>
      <c r="K132" s="22" t="n"/>
    </row>
    <row r="133">
      <c r="A133" s="19" t="n"/>
      <c r="B133" s="25">
        <f>IF(A133="","",CHOOSE(WEEKDAY(A133,2),"월","화","수","목","금","토","일"))</f>
        <v/>
      </c>
      <c r="C133" s="18" t="n"/>
      <c r="D133" s="25">
        <f>IFERROR(IF(C133="","",INDEX(직원명부!$B$5:$B$24,MATCH(C133,직원명부!$A$5:$A$24,0))),"사번 확인")</f>
        <v/>
      </c>
      <c r="E133" s="34" t="n"/>
      <c r="F133" s="34" t="n"/>
      <c r="G133" s="28" t="n"/>
      <c r="H133" s="33">
        <f>IF(OR(E133="",F133=""),"",ROUND(MOD(F133-E133,1)*24-N(G133),2))</f>
        <v/>
      </c>
      <c r="I133" s="33">
        <f>IF(H133="","",ROUND(MAX(0,H133-8),2))</f>
        <v/>
      </c>
      <c r="J133" s="18" t="n"/>
      <c r="K133" s="22" t="n"/>
    </row>
    <row r="134">
      <c r="A134" s="19" t="n"/>
      <c r="B134" s="25">
        <f>IF(A134="","",CHOOSE(WEEKDAY(A134,2),"월","화","수","목","금","토","일"))</f>
        <v/>
      </c>
      <c r="C134" s="18" t="n"/>
      <c r="D134" s="25">
        <f>IFERROR(IF(C134="","",INDEX(직원명부!$B$5:$B$24,MATCH(C134,직원명부!$A$5:$A$24,0))),"사번 확인")</f>
        <v/>
      </c>
      <c r="E134" s="34" t="n"/>
      <c r="F134" s="34" t="n"/>
      <c r="G134" s="28" t="n"/>
      <c r="H134" s="33">
        <f>IF(OR(E134="",F134=""),"",ROUND(MOD(F134-E134,1)*24-N(G134),2))</f>
        <v/>
      </c>
      <c r="I134" s="33">
        <f>IF(H134="","",ROUND(MAX(0,H134-8),2))</f>
        <v/>
      </c>
      <c r="J134" s="18" t="n"/>
      <c r="K134" s="22" t="n"/>
    </row>
    <row r="135">
      <c r="A135" s="19" t="n"/>
      <c r="B135" s="25">
        <f>IF(A135="","",CHOOSE(WEEKDAY(A135,2),"월","화","수","목","금","토","일"))</f>
        <v/>
      </c>
      <c r="C135" s="18" t="n"/>
      <c r="D135" s="25">
        <f>IFERROR(IF(C135="","",INDEX(직원명부!$B$5:$B$24,MATCH(C135,직원명부!$A$5:$A$24,0))),"사번 확인")</f>
        <v/>
      </c>
      <c r="E135" s="34" t="n"/>
      <c r="F135" s="34" t="n"/>
      <c r="G135" s="28" t="n"/>
      <c r="H135" s="33">
        <f>IF(OR(E135="",F135=""),"",ROUND(MOD(F135-E135,1)*24-N(G135),2))</f>
        <v/>
      </c>
      <c r="I135" s="33">
        <f>IF(H135="","",ROUND(MAX(0,H135-8),2))</f>
        <v/>
      </c>
      <c r="J135" s="18" t="n"/>
      <c r="K135" s="22" t="n"/>
    </row>
    <row r="136">
      <c r="A136" s="19" t="n"/>
      <c r="B136" s="25">
        <f>IF(A136="","",CHOOSE(WEEKDAY(A136,2),"월","화","수","목","금","토","일"))</f>
        <v/>
      </c>
      <c r="C136" s="18" t="n"/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18" t="n"/>
      <c r="K136" s="22" t="n"/>
    </row>
    <row r="137">
      <c r="A137" s="19" t="n"/>
      <c r="B137" s="25">
        <f>IF(A137="","",CHOOSE(WEEKDAY(A137,2),"월","화","수","목","금","토","일"))</f>
        <v/>
      </c>
      <c r="C137" s="18" t="n"/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18" t="n"/>
      <c r="K137" s="22" t="n"/>
    </row>
    <row r="138">
      <c r="A138" s="19" t="n"/>
      <c r="B138" s="25">
        <f>IF(A138="","",CHOOSE(WEEKDAY(A138,2),"월","화","수","목","금","토","일"))</f>
        <v/>
      </c>
      <c r="C138" s="18" t="n"/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18" t="n"/>
      <c r="K138" s="22" t="n"/>
    </row>
    <row r="139">
      <c r="A139" s="19" t="n"/>
      <c r="B139" s="25">
        <f>IF(A139="","",CHOOSE(WEEKDAY(A139,2),"월","화","수","목","금","토","일"))</f>
        <v/>
      </c>
      <c r="C139" s="18" t="n"/>
      <c r="D139" s="25">
        <f>IFERROR(IF(C139="","",INDEX(직원명부!$B$5:$B$24,MATCH(C139,직원명부!$A$5:$A$24,0))),"사번 확인")</f>
        <v/>
      </c>
      <c r="E139" s="34" t="n"/>
      <c r="F139" s="34" t="n"/>
      <c r="G139" s="28" t="n"/>
      <c r="H139" s="33">
        <f>IF(OR(E139="",F139=""),"",ROUND(MOD(F139-E139,1)*24-N(G139),2))</f>
        <v/>
      </c>
      <c r="I139" s="33">
        <f>IF(H139="","",ROUND(MAX(0,H139-8),2))</f>
        <v/>
      </c>
      <c r="J139" s="18" t="n"/>
      <c r="K139" s="22" t="n"/>
    </row>
    <row r="140">
      <c r="A140" s="19" t="n"/>
      <c r="B140" s="25">
        <f>IF(A140="","",CHOOSE(WEEKDAY(A140,2),"월","화","수","목","금","토","일"))</f>
        <v/>
      </c>
      <c r="C140" s="18" t="n"/>
      <c r="D140" s="25">
        <f>IFERROR(IF(C140="","",INDEX(직원명부!$B$5:$B$24,MATCH(C140,직원명부!$A$5:$A$24,0))),"사번 확인")</f>
        <v/>
      </c>
      <c r="E140" s="34" t="n"/>
      <c r="F140" s="34" t="n"/>
      <c r="G140" s="28" t="n"/>
      <c r="H140" s="33">
        <f>IF(OR(E140="",F140=""),"",ROUND(MOD(F140-E140,1)*24-N(G140),2))</f>
        <v/>
      </c>
      <c r="I140" s="33">
        <f>IF(H140="","",ROUND(MAX(0,H140-8),2))</f>
        <v/>
      </c>
      <c r="J140" s="18" t="n"/>
      <c r="K140" s="22" t="n"/>
    </row>
    <row r="141">
      <c r="A141" s="19" t="n"/>
      <c r="B141" s="25">
        <f>IF(A141="","",CHOOSE(WEEKDAY(A141,2),"월","화","수","목","금","토","일"))</f>
        <v/>
      </c>
      <c r="C141" s="18" t="n"/>
      <c r="D141" s="25">
        <f>IFERROR(IF(C141="","",INDEX(직원명부!$B$5:$B$24,MATCH(C141,직원명부!$A$5:$A$24,0))),"사번 확인")</f>
        <v/>
      </c>
      <c r="E141" s="34" t="n"/>
      <c r="F141" s="34" t="n"/>
      <c r="G141" s="28" t="n"/>
      <c r="H141" s="33">
        <f>IF(OR(E141="",F141=""),"",ROUND(MOD(F141-E141,1)*24-N(G141),2))</f>
        <v/>
      </c>
      <c r="I141" s="33">
        <f>IF(H141="","",ROUND(MAX(0,H141-8),2))</f>
        <v/>
      </c>
      <c r="J141" s="18" t="n"/>
      <c r="K141" s="22" t="n"/>
    </row>
    <row r="142">
      <c r="A142" s="19" t="n"/>
      <c r="B142" s="25">
        <f>IF(A142="","",CHOOSE(WEEKDAY(A142,2),"월","화","수","목","금","토","일"))</f>
        <v/>
      </c>
      <c r="C142" s="18" t="n"/>
      <c r="D142" s="25">
        <f>IFERROR(IF(C142="","",INDEX(직원명부!$B$5:$B$24,MATCH(C142,직원명부!$A$5:$A$24,0))),"사번 확인")</f>
        <v/>
      </c>
      <c r="E142" s="34" t="n"/>
      <c r="F142" s="34" t="n"/>
      <c r="G142" s="28" t="n"/>
      <c r="H142" s="33">
        <f>IF(OR(E142="",F142=""),"",ROUND(MOD(F142-E142,1)*24-N(G142),2))</f>
        <v/>
      </c>
      <c r="I142" s="33">
        <f>IF(H142="","",ROUND(MAX(0,H142-8),2))</f>
        <v/>
      </c>
      <c r="J142" s="18" t="n"/>
      <c r="K142" s="22" t="n"/>
    </row>
    <row r="143">
      <c r="A143" s="19" t="n"/>
      <c r="B143" s="25">
        <f>IF(A143="","",CHOOSE(WEEKDAY(A143,2),"월","화","수","목","금","토","일"))</f>
        <v/>
      </c>
      <c r="C143" s="18" t="n"/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18" t="n"/>
      <c r="K143" s="22" t="n"/>
    </row>
    <row r="144">
      <c r="A144" s="19" t="n"/>
      <c r="B144" s="25">
        <f>IF(A144="","",CHOOSE(WEEKDAY(A144,2),"월","화","수","목","금","토","일"))</f>
        <v/>
      </c>
      <c r="C144" s="18" t="n"/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18" t="n"/>
      <c r="K144" s="22" t="n"/>
    </row>
    <row r="145">
      <c r="A145" s="19" t="n"/>
      <c r="B145" s="25">
        <f>IF(A145="","",CHOOSE(WEEKDAY(A145,2),"월","화","수","목","금","토","일"))</f>
        <v/>
      </c>
      <c r="C145" s="18" t="n"/>
      <c r="D145" s="25">
        <f>IFERROR(IF(C145="","",INDEX(직원명부!$B$5:$B$24,MATCH(C145,직원명부!$A$5:$A$24,0))),"사번 확인")</f>
        <v/>
      </c>
      <c r="E145" s="34" t="n"/>
      <c r="F145" s="34" t="n"/>
      <c r="G145" s="28" t="n"/>
      <c r="H145" s="33">
        <f>IF(OR(E145="",F145=""),"",ROUND(MOD(F145-E145,1)*24-N(G145),2))</f>
        <v/>
      </c>
      <c r="I145" s="33">
        <f>IF(H145="","",ROUND(MAX(0,H145-8),2))</f>
        <v/>
      </c>
      <c r="J145" s="18" t="n"/>
      <c r="K145" s="22" t="n"/>
    </row>
    <row r="146">
      <c r="A146" s="19" t="n"/>
      <c r="B146" s="25">
        <f>IF(A146="","",CHOOSE(WEEKDAY(A146,2),"월","화","수","목","금","토","일"))</f>
        <v/>
      </c>
      <c r="C146" s="18" t="n"/>
      <c r="D146" s="25">
        <f>IFERROR(IF(C146="","",INDEX(직원명부!$B$5:$B$24,MATCH(C146,직원명부!$A$5:$A$24,0))),"사번 확인")</f>
        <v/>
      </c>
      <c r="E146" s="34" t="n"/>
      <c r="F146" s="34" t="n"/>
      <c r="G146" s="28" t="n"/>
      <c r="H146" s="33">
        <f>IF(OR(E146="",F146=""),"",ROUND(MOD(F146-E146,1)*24-N(G146),2))</f>
        <v/>
      </c>
      <c r="I146" s="33">
        <f>IF(H146="","",ROUND(MAX(0,H146-8),2))</f>
        <v/>
      </c>
      <c r="J146" s="18" t="n"/>
      <c r="K146" s="22" t="n"/>
    </row>
    <row r="147">
      <c r="A147" s="19" t="n"/>
      <c r="B147" s="25">
        <f>IF(A147="","",CHOOSE(WEEKDAY(A147,2),"월","화","수","목","금","토","일"))</f>
        <v/>
      </c>
      <c r="C147" s="18" t="n"/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18" t="n"/>
      <c r="K147" s="22" t="n"/>
    </row>
    <row r="148">
      <c r="A148" s="19" t="n"/>
      <c r="B148" s="25">
        <f>IF(A148="","",CHOOSE(WEEKDAY(A148,2),"월","화","수","목","금","토","일"))</f>
        <v/>
      </c>
      <c r="C148" s="18" t="n"/>
      <c r="D148" s="25">
        <f>IFERROR(IF(C148="","",INDEX(직원명부!$B$5:$B$24,MATCH(C148,직원명부!$A$5:$A$24,0))),"사번 확인")</f>
        <v/>
      </c>
      <c r="E148" s="34" t="n"/>
      <c r="F148" s="34" t="n"/>
      <c r="G148" s="28" t="n"/>
      <c r="H148" s="33">
        <f>IF(OR(E148="",F148=""),"",ROUND(MOD(F148-E148,1)*24-N(G148),2))</f>
        <v/>
      </c>
      <c r="I148" s="33">
        <f>IF(H148="","",ROUND(MAX(0,H148-8),2))</f>
        <v/>
      </c>
      <c r="J148" s="18" t="n"/>
      <c r="K148" s="22" t="n"/>
    </row>
    <row r="149">
      <c r="A149" s="19" t="n"/>
      <c r="B149" s="25">
        <f>IF(A149="","",CHOOSE(WEEKDAY(A149,2),"월","화","수","목","금","토","일"))</f>
        <v/>
      </c>
      <c r="C149" s="18" t="n"/>
      <c r="D149" s="25">
        <f>IFERROR(IF(C149="","",INDEX(직원명부!$B$5:$B$24,MATCH(C149,직원명부!$A$5:$A$24,0))),"사번 확인")</f>
        <v/>
      </c>
      <c r="E149" s="34" t="n"/>
      <c r="F149" s="34" t="n"/>
      <c r="G149" s="28" t="n"/>
      <c r="H149" s="33">
        <f>IF(OR(E149="",F149=""),"",ROUND(MOD(F149-E149,1)*24-N(G149),2))</f>
        <v/>
      </c>
      <c r="I149" s="33">
        <f>IF(H149="","",ROUND(MAX(0,H149-8),2))</f>
        <v/>
      </c>
      <c r="J149" s="18" t="n"/>
      <c r="K149" s="22" t="n"/>
    </row>
    <row r="150">
      <c r="A150" s="19" t="n"/>
      <c r="B150" s="25">
        <f>IF(A150="","",CHOOSE(WEEKDAY(A150,2),"월","화","수","목","금","토","일"))</f>
        <v/>
      </c>
      <c r="C150" s="18" t="n"/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18" t="n"/>
      <c r="K150" s="22" t="n"/>
    </row>
    <row r="151">
      <c r="A151" s="19" t="n"/>
      <c r="B151" s="25">
        <f>IF(A151="","",CHOOSE(WEEKDAY(A151,2),"월","화","수","목","금","토","일"))</f>
        <v/>
      </c>
      <c r="C151" s="18" t="n"/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18" t="n"/>
      <c r="K151" s="22" t="n"/>
    </row>
    <row r="152">
      <c r="A152" s="19" t="n"/>
      <c r="B152" s="25">
        <f>IF(A152="","",CHOOSE(WEEKDAY(A152,2),"월","화","수","목","금","토","일"))</f>
        <v/>
      </c>
      <c r="C152" s="18" t="n"/>
      <c r="D152" s="25">
        <f>IFERROR(IF(C152="","",INDEX(직원명부!$B$5:$B$24,MATCH(C152,직원명부!$A$5:$A$24,0))),"사번 확인")</f>
        <v/>
      </c>
      <c r="E152" s="34" t="n"/>
      <c r="F152" s="34" t="n"/>
      <c r="G152" s="28" t="n"/>
      <c r="H152" s="33">
        <f>IF(OR(E152="",F152=""),"",ROUND(MOD(F152-E152,1)*24-N(G152),2))</f>
        <v/>
      </c>
      <c r="I152" s="33">
        <f>IF(H152="","",ROUND(MAX(0,H152-8),2))</f>
        <v/>
      </c>
      <c r="J152" s="18" t="n"/>
      <c r="K152" s="22" t="n"/>
    </row>
    <row r="153">
      <c r="A153" s="19" t="n"/>
      <c r="B153" s="25">
        <f>IF(A153="","",CHOOSE(WEEKDAY(A153,2),"월","화","수","목","금","토","일"))</f>
        <v/>
      </c>
      <c r="C153" s="18" t="n"/>
      <c r="D153" s="25">
        <f>IFERROR(IF(C153="","",INDEX(직원명부!$B$5:$B$24,MATCH(C153,직원명부!$A$5:$A$24,0))),"사번 확인")</f>
        <v/>
      </c>
      <c r="E153" s="34" t="n"/>
      <c r="F153" s="34" t="n"/>
      <c r="G153" s="28" t="n"/>
      <c r="H153" s="33">
        <f>IF(OR(E153="",F153=""),"",ROUND(MOD(F153-E153,1)*24-N(G153),2))</f>
        <v/>
      </c>
      <c r="I153" s="33">
        <f>IF(H153="","",ROUND(MAX(0,H153-8),2))</f>
        <v/>
      </c>
      <c r="J153" s="18" t="n"/>
      <c r="K153" s="22" t="n"/>
    </row>
    <row r="154">
      <c r="A154" s="19" t="n"/>
      <c r="B154" s="25">
        <f>IF(A154="","",CHOOSE(WEEKDAY(A154,2),"월","화","수","목","금","토","일"))</f>
        <v/>
      </c>
      <c r="C154" s="18" t="n"/>
      <c r="D154" s="25">
        <f>IFERROR(IF(C154="","",INDEX(직원명부!$B$5:$B$24,MATCH(C154,직원명부!$A$5:$A$24,0))),"사번 확인")</f>
        <v/>
      </c>
      <c r="E154" s="34" t="n"/>
      <c r="F154" s="34" t="n"/>
      <c r="G154" s="28" t="n"/>
      <c r="H154" s="33">
        <f>IF(OR(E154="",F154=""),"",ROUND(MOD(F154-E154,1)*24-N(G154),2))</f>
        <v/>
      </c>
      <c r="I154" s="33">
        <f>IF(H154="","",ROUND(MAX(0,H154-8),2))</f>
        <v/>
      </c>
      <c r="J154" s="18" t="n"/>
      <c r="K154" s="22" t="n"/>
    </row>
    <row r="155">
      <c r="A155" s="19" t="n"/>
      <c r="B155" s="25">
        <f>IF(A155="","",CHOOSE(WEEKDAY(A155,2),"월","화","수","목","금","토","일"))</f>
        <v/>
      </c>
      <c r="C155" s="18" t="n"/>
      <c r="D155" s="25">
        <f>IFERROR(IF(C155="","",INDEX(직원명부!$B$5:$B$24,MATCH(C155,직원명부!$A$5:$A$24,0))),"사번 확인")</f>
        <v/>
      </c>
      <c r="E155" s="34" t="n"/>
      <c r="F155" s="34" t="n"/>
      <c r="G155" s="28" t="n"/>
      <c r="H155" s="33">
        <f>IF(OR(E155="",F155=""),"",ROUND(MOD(F155-E155,1)*24-N(G155),2))</f>
        <v/>
      </c>
      <c r="I155" s="33">
        <f>IF(H155="","",ROUND(MAX(0,H155-8),2))</f>
        <v/>
      </c>
      <c r="J155" s="18" t="n"/>
      <c r="K155" s="22" t="n"/>
    </row>
    <row r="156">
      <c r="A156" s="19" t="n"/>
      <c r="B156" s="25">
        <f>IF(A156="","",CHOOSE(WEEKDAY(A156,2),"월","화","수","목","금","토","일"))</f>
        <v/>
      </c>
      <c r="C156" s="18" t="n"/>
      <c r="D156" s="25">
        <f>IFERROR(IF(C156="","",INDEX(직원명부!$B$5:$B$24,MATCH(C156,직원명부!$A$5:$A$24,0))),"사번 확인")</f>
        <v/>
      </c>
      <c r="E156" s="34" t="n"/>
      <c r="F156" s="34" t="n"/>
      <c r="G156" s="28" t="n"/>
      <c r="H156" s="33">
        <f>IF(OR(E156="",F156=""),"",ROUND(MOD(F156-E156,1)*24-N(G156),2))</f>
        <v/>
      </c>
      <c r="I156" s="33">
        <f>IF(H156="","",ROUND(MAX(0,H156-8),2))</f>
        <v/>
      </c>
      <c r="J156" s="18" t="n"/>
      <c r="K156" s="22" t="n"/>
    </row>
    <row r="157">
      <c r="A157" s="19" t="n"/>
      <c r="B157" s="25">
        <f>IF(A157="","",CHOOSE(WEEKDAY(A157,2),"월","화","수","목","금","토","일"))</f>
        <v/>
      </c>
      <c r="C157" s="18" t="n"/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18" t="n"/>
      <c r="K157" s="22" t="n"/>
    </row>
    <row r="158">
      <c r="A158" s="19" t="n"/>
      <c r="B158" s="25">
        <f>IF(A158="","",CHOOSE(WEEKDAY(A158,2),"월","화","수","목","금","토","일"))</f>
        <v/>
      </c>
      <c r="C158" s="18" t="n"/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18" t="n"/>
      <c r="K158" s="22" t="n"/>
    </row>
    <row r="159">
      <c r="A159" s="19" t="n"/>
      <c r="B159" s="25">
        <f>IF(A159="","",CHOOSE(WEEKDAY(A159,2),"월","화","수","목","금","토","일"))</f>
        <v/>
      </c>
      <c r="C159" s="18" t="n"/>
      <c r="D159" s="25">
        <f>IFERROR(IF(C159="","",INDEX(직원명부!$B$5:$B$24,MATCH(C159,직원명부!$A$5:$A$24,0))),"사번 확인")</f>
        <v/>
      </c>
      <c r="E159" s="34" t="n"/>
      <c r="F159" s="34" t="n"/>
      <c r="G159" s="28" t="n"/>
      <c r="H159" s="33">
        <f>IF(OR(E159="",F159=""),"",ROUND(MOD(F159-E159,1)*24-N(G159),2))</f>
        <v/>
      </c>
      <c r="I159" s="33">
        <f>IF(H159="","",ROUND(MAX(0,H159-8),2))</f>
        <v/>
      </c>
      <c r="J159" s="18" t="n"/>
      <c r="K159" s="22" t="n"/>
    </row>
    <row r="160">
      <c r="A160" s="19" t="n"/>
      <c r="B160" s="25">
        <f>IF(A160="","",CHOOSE(WEEKDAY(A160,2),"월","화","수","목","금","토","일"))</f>
        <v/>
      </c>
      <c r="C160" s="18" t="n"/>
      <c r="D160" s="25">
        <f>IFERROR(IF(C160="","",INDEX(직원명부!$B$5:$B$24,MATCH(C160,직원명부!$A$5:$A$24,0))),"사번 확인")</f>
        <v/>
      </c>
      <c r="E160" s="34" t="n"/>
      <c r="F160" s="34" t="n"/>
      <c r="G160" s="28" t="n"/>
      <c r="H160" s="33">
        <f>IF(OR(E160="",F160=""),"",ROUND(MOD(F160-E160,1)*24-N(G160),2))</f>
        <v/>
      </c>
      <c r="I160" s="33">
        <f>IF(H160="","",ROUND(MAX(0,H160-8),2))</f>
        <v/>
      </c>
      <c r="J160" s="18" t="n"/>
      <c r="K160" s="22" t="n"/>
    </row>
    <row r="161">
      <c r="A161" s="19" t="n"/>
      <c r="B161" s="25">
        <f>IF(A161="","",CHOOSE(WEEKDAY(A161,2),"월","화","수","목","금","토","일"))</f>
        <v/>
      </c>
      <c r="C161" s="18" t="n"/>
      <c r="D161" s="25">
        <f>IFERROR(IF(C161="","",INDEX(직원명부!$B$5:$B$24,MATCH(C161,직원명부!$A$5:$A$24,0))),"사번 확인")</f>
        <v/>
      </c>
      <c r="E161" s="34" t="n"/>
      <c r="F161" s="34" t="n"/>
      <c r="G161" s="28" t="n"/>
      <c r="H161" s="33">
        <f>IF(OR(E161="",F161=""),"",ROUND(MOD(F161-E161,1)*24-N(G161),2))</f>
        <v/>
      </c>
      <c r="I161" s="33">
        <f>IF(H161="","",ROUND(MAX(0,H161-8),2))</f>
        <v/>
      </c>
      <c r="J161" s="18" t="n"/>
      <c r="K161" s="22" t="n"/>
    </row>
    <row r="162">
      <c r="A162" s="19" t="n"/>
      <c r="B162" s="25">
        <f>IF(A162="","",CHOOSE(WEEKDAY(A162,2),"월","화","수","목","금","토","일"))</f>
        <v/>
      </c>
      <c r="C162" s="18" t="n"/>
      <c r="D162" s="25">
        <f>IFERROR(IF(C162="","",INDEX(직원명부!$B$5:$B$24,MATCH(C162,직원명부!$A$5:$A$24,0))),"사번 확인")</f>
        <v/>
      </c>
      <c r="E162" s="34" t="n"/>
      <c r="F162" s="34" t="n"/>
      <c r="G162" s="28" t="n"/>
      <c r="H162" s="33">
        <f>IF(OR(E162="",F162=""),"",ROUND(MOD(F162-E162,1)*24-N(G162),2))</f>
        <v/>
      </c>
      <c r="I162" s="33">
        <f>IF(H162="","",ROUND(MAX(0,H162-8),2))</f>
        <v/>
      </c>
      <c r="J162" s="18" t="n"/>
      <c r="K162" s="22" t="n"/>
    </row>
    <row r="163">
      <c r="A163" s="19" t="n"/>
      <c r="B163" s="25">
        <f>IF(A163="","",CHOOSE(WEEKDAY(A163,2),"월","화","수","목","금","토","일"))</f>
        <v/>
      </c>
      <c r="C163" s="18" t="n"/>
      <c r="D163" s="25">
        <f>IFERROR(IF(C163="","",INDEX(직원명부!$B$5:$B$24,MATCH(C163,직원명부!$A$5:$A$24,0))),"사번 확인")</f>
        <v/>
      </c>
      <c r="E163" s="34" t="n"/>
      <c r="F163" s="34" t="n"/>
      <c r="G163" s="28" t="n"/>
      <c r="H163" s="33">
        <f>IF(OR(E163="",F163=""),"",ROUND(MOD(F163-E163,1)*24-N(G163),2))</f>
        <v/>
      </c>
      <c r="I163" s="33">
        <f>IF(H163="","",ROUND(MAX(0,H163-8),2))</f>
        <v/>
      </c>
      <c r="J163" s="18" t="n"/>
      <c r="K163" s="22" t="n"/>
    </row>
    <row r="164">
      <c r="A164" s="19" t="n"/>
      <c r="B164" s="25">
        <f>IF(A164="","",CHOOSE(WEEKDAY(A164,2),"월","화","수","목","금","토","일"))</f>
        <v/>
      </c>
      <c r="C164" s="18" t="n"/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18" t="n"/>
      <c r="K164" s="22" t="n"/>
    </row>
    <row r="165">
      <c r="A165" s="19" t="n"/>
      <c r="B165" s="25">
        <f>IF(A165="","",CHOOSE(WEEKDAY(A165,2),"월","화","수","목","금","토","일"))</f>
        <v/>
      </c>
      <c r="C165" s="18" t="n"/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18" t="n"/>
      <c r="K165" s="22" t="n"/>
    </row>
    <row r="166">
      <c r="A166" s="19" t="n"/>
      <c r="B166" s="25">
        <f>IF(A166="","",CHOOSE(WEEKDAY(A166,2),"월","화","수","목","금","토","일"))</f>
        <v/>
      </c>
      <c r="C166" s="18" t="n"/>
      <c r="D166" s="25">
        <f>IFERROR(IF(C166="","",INDEX(직원명부!$B$5:$B$24,MATCH(C166,직원명부!$A$5:$A$24,0))),"사번 확인")</f>
        <v/>
      </c>
      <c r="E166" s="34" t="n"/>
      <c r="F166" s="34" t="n"/>
      <c r="G166" s="28" t="n"/>
      <c r="H166" s="33">
        <f>IF(OR(E166="",F166=""),"",ROUND(MOD(F166-E166,1)*24-N(G166),2))</f>
        <v/>
      </c>
      <c r="I166" s="33">
        <f>IF(H166="","",ROUND(MAX(0,H166-8),2))</f>
        <v/>
      </c>
      <c r="J166" s="18" t="n"/>
      <c r="K166" s="22" t="n"/>
    </row>
    <row r="167">
      <c r="A167" s="19" t="n"/>
      <c r="B167" s="25">
        <f>IF(A167="","",CHOOSE(WEEKDAY(A167,2),"월","화","수","목","금","토","일"))</f>
        <v/>
      </c>
      <c r="C167" s="18" t="n"/>
      <c r="D167" s="25">
        <f>IFERROR(IF(C167="","",INDEX(직원명부!$B$5:$B$24,MATCH(C167,직원명부!$A$5:$A$24,0))),"사번 확인")</f>
        <v/>
      </c>
      <c r="E167" s="34" t="n"/>
      <c r="F167" s="34" t="n"/>
      <c r="G167" s="28" t="n"/>
      <c r="H167" s="33">
        <f>IF(OR(E167="",F167=""),"",ROUND(MOD(F167-E167,1)*24-N(G167),2))</f>
        <v/>
      </c>
      <c r="I167" s="33">
        <f>IF(H167="","",ROUND(MAX(0,H167-8),2))</f>
        <v/>
      </c>
      <c r="J167" s="18" t="n"/>
      <c r="K167" s="22" t="n"/>
    </row>
    <row r="168">
      <c r="A168" s="19" t="n"/>
      <c r="B168" s="25">
        <f>IF(A168="","",CHOOSE(WEEKDAY(A168,2),"월","화","수","목","금","토","일"))</f>
        <v/>
      </c>
      <c r="C168" s="18" t="n"/>
      <c r="D168" s="25">
        <f>IFERROR(IF(C168="","",INDEX(직원명부!$B$5:$B$24,MATCH(C168,직원명부!$A$5:$A$24,0))),"사번 확인")</f>
        <v/>
      </c>
      <c r="E168" s="34" t="n"/>
      <c r="F168" s="34" t="n"/>
      <c r="G168" s="28" t="n"/>
      <c r="H168" s="33">
        <f>IF(OR(E168="",F168=""),"",ROUND(MOD(F168-E168,1)*24-N(G168),2))</f>
        <v/>
      </c>
      <c r="I168" s="33">
        <f>IF(H168="","",ROUND(MAX(0,H168-8),2))</f>
        <v/>
      </c>
      <c r="J168" s="18" t="n"/>
      <c r="K168" s="22" t="n"/>
    </row>
    <row r="169">
      <c r="A169" s="19" t="n"/>
      <c r="B169" s="25">
        <f>IF(A169="","",CHOOSE(WEEKDAY(A169,2),"월","화","수","목","금","토","일"))</f>
        <v/>
      </c>
      <c r="C169" s="18" t="n"/>
      <c r="D169" s="25">
        <f>IFERROR(IF(C169="","",INDEX(직원명부!$B$5:$B$24,MATCH(C169,직원명부!$A$5:$A$24,0))),"사번 확인")</f>
        <v/>
      </c>
      <c r="E169" s="34" t="n"/>
      <c r="F169" s="34" t="n"/>
      <c r="G169" s="28" t="n"/>
      <c r="H169" s="33">
        <f>IF(OR(E169="",F169=""),"",ROUND(MOD(F169-E169,1)*24-N(G169),2))</f>
        <v/>
      </c>
      <c r="I169" s="33">
        <f>IF(H169="","",ROUND(MAX(0,H169-8),2))</f>
        <v/>
      </c>
      <c r="J169" s="18" t="n"/>
      <c r="K169" s="22" t="n"/>
    </row>
    <row r="170">
      <c r="A170" s="19" t="n"/>
      <c r="B170" s="25">
        <f>IF(A170="","",CHOOSE(WEEKDAY(A170,2),"월","화","수","목","금","토","일"))</f>
        <v/>
      </c>
      <c r="C170" s="18" t="n"/>
      <c r="D170" s="25">
        <f>IFERROR(IF(C170="","",INDEX(직원명부!$B$5:$B$24,MATCH(C170,직원명부!$A$5:$A$24,0))),"사번 확인")</f>
        <v/>
      </c>
      <c r="E170" s="34" t="n"/>
      <c r="F170" s="34" t="n"/>
      <c r="G170" s="28" t="n"/>
      <c r="H170" s="33">
        <f>IF(OR(E170="",F170=""),"",ROUND(MOD(F170-E170,1)*24-N(G170),2))</f>
        <v/>
      </c>
      <c r="I170" s="33">
        <f>IF(H170="","",ROUND(MAX(0,H170-8),2))</f>
        <v/>
      </c>
      <c r="J170" s="18" t="n"/>
      <c r="K170" s="22" t="n"/>
    </row>
    <row r="171">
      <c r="A171" s="19" t="n"/>
      <c r="B171" s="25">
        <f>IF(A171="","",CHOOSE(WEEKDAY(A171,2),"월","화","수","목","금","토","일"))</f>
        <v/>
      </c>
      <c r="C171" s="18" t="n"/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18" t="n"/>
      <c r="K171" s="22" t="n"/>
    </row>
    <row r="172">
      <c r="A172" s="19" t="n"/>
      <c r="B172" s="25">
        <f>IF(A172="","",CHOOSE(WEEKDAY(A172,2),"월","화","수","목","금","토","일"))</f>
        <v/>
      </c>
      <c r="C172" s="18" t="n"/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18" t="n"/>
      <c r="K172" s="22" t="n"/>
    </row>
    <row r="173">
      <c r="A173" s="19" t="n"/>
      <c r="B173" s="25">
        <f>IF(A173="","",CHOOSE(WEEKDAY(A173,2),"월","화","수","목","금","토","일"))</f>
        <v/>
      </c>
      <c r="C173" s="18" t="n"/>
      <c r="D173" s="25">
        <f>IFERROR(IF(C173="","",INDEX(직원명부!$B$5:$B$24,MATCH(C173,직원명부!$A$5:$A$24,0))),"사번 확인")</f>
        <v/>
      </c>
      <c r="E173" s="34" t="n"/>
      <c r="F173" s="34" t="n"/>
      <c r="G173" s="28" t="n"/>
      <c r="H173" s="33">
        <f>IF(OR(E173="",F173=""),"",ROUND(MOD(F173-E173,1)*24-N(G173),2))</f>
        <v/>
      </c>
      <c r="I173" s="33">
        <f>IF(H173="","",ROUND(MAX(0,H173-8),2))</f>
        <v/>
      </c>
      <c r="J173" s="18" t="n"/>
      <c r="K173" s="22" t="n"/>
    </row>
    <row r="174">
      <c r="A174" s="19" t="n"/>
      <c r="B174" s="25">
        <f>IF(A174="","",CHOOSE(WEEKDAY(A174,2),"월","화","수","목","금","토","일"))</f>
        <v/>
      </c>
      <c r="C174" s="18" t="n"/>
      <c r="D174" s="25">
        <f>IFERROR(IF(C174="","",INDEX(직원명부!$B$5:$B$24,MATCH(C174,직원명부!$A$5:$A$24,0))),"사번 확인")</f>
        <v/>
      </c>
      <c r="E174" s="34" t="n"/>
      <c r="F174" s="34" t="n"/>
      <c r="G174" s="28" t="n"/>
      <c r="H174" s="33">
        <f>IF(OR(E174="",F174=""),"",ROUND(MOD(F174-E174,1)*24-N(G174),2))</f>
        <v/>
      </c>
      <c r="I174" s="33">
        <f>IF(H174="","",ROUND(MAX(0,H174-8),2))</f>
        <v/>
      </c>
      <c r="J174" s="18" t="n"/>
      <c r="K174" s="22" t="n"/>
    </row>
    <row r="175">
      <c r="A175" s="19" t="n"/>
      <c r="B175" s="25">
        <f>IF(A175="","",CHOOSE(WEEKDAY(A175,2),"월","화","수","목","금","토","일"))</f>
        <v/>
      </c>
      <c r="C175" s="18" t="n"/>
      <c r="D175" s="25">
        <f>IFERROR(IF(C175="","",INDEX(직원명부!$B$5:$B$24,MATCH(C175,직원명부!$A$5:$A$24,0))),"사번 확인")</f>
        <v/>
      </c>
      <c r="E175" s="34" t="n"/>
      <c r="F175" s="34" t="n"/>
      <c r="G175" s="28" t="n"/>
      <c r="H175" s="33">
        <f>IF(OR(E175="",F175=""),"",ROUND(MOD(F175-E175,1)*24-N(G175),2))</f>
        <v/>
      </c>
      <c r="I175" s="33">
        <f>IF(H175="","",ROUND(MAX(0,H175-8),2))</f>
        <v/>
      </c>
      <c r="J175" s="18" t="n"/>
      <c r="K175" s="22" t="n"/>
    </row>
    <row r="176">
      <c r="A176" s="19" t="n"/>
      <c r="B176" s="25">
        <f>IF(A176="","",CHOOSE(WEEKDAY(A176,2),"월","화","수","목","금","토","일"))</f>
        <v/>
      </c>
      <c r="C176" s="18" t="n"/>
      <c r="D176" s="25">
        <f>IFERROR(IF(C176="","",INDEX(직원명부!$B$5:$B$24,MATCH(C176,직원명부!$A$5:$A$24,0))),"사번 확인")</f>
        <v/>
      </c>
      <c r="E176" s="34" t="n"/>
      <c r="F176" s="34" t="n"/>
      <c r="G176" s="28" t="n"/>
      <c r="H176" s="33">
        <f>IF(OR(E176="",F176=""),"",ROUND(MOD(F176-E176,1)*24-N(G176),2))</f>
        <v/>
      </c>
      <c r="I176" s="33">
        <f>IF(H176="","",ROUND(MAX(0,H176-8),2))</f>
        <v/>
      </c>
      <c r="J176" s="18" t="n"/>
      <c r="K176" s="22" t="n"/>
    </row>
    <row r="177">
      <c r="A177" s="19" t="n"/>
      <c r="B177" s="25">
        <f>IF(A177="","",CHOOSE(WEEKDAY(A177,2),"월","화","수","목","금","토","일"))</f>
        <v/>
      </c>
      <c r="C177" s="18" t="n"/>
      <c r="D177" s="25">
        <f>IFERROR(IF(C177="","",INDEX(직원명부!$B$5:$B$24,MATCH(C177,직원명부!$A$5:$A$24,0))),"사번 확인")</f>
        <v/>
      </c>
      <c r="E177" s="34" t="n"/>
      <c r="F177" s="34" t="n"/>
      <c r="G177" s="28" t="n"/>
      <c r="H177" s="33">
        <f>IF(OR(E177="",F177=""),"",ROUND(MOD(F177-E177,1)*24-N(G177),2))</f>
        <v/>
      </c>
      <c r="I177" s="33">
        <f>IF(H177="","",ROUND(MAX(0,H177-8),2))</f>
        <v/>
      </c>
      <c r="J177" s="18" t="n"/>
      <c r="K177" s="22" t="n"/>
    </row>
    <row r="178">
      <c r="A178" s="19" t="n"/>
      <c r="B178" s="25">
        <f>IF(A178="","",CHOOSE(WEEKDAY(A178,2),"월","화","수","목","금","토","일"))</f>
        <v/>
      </c>
      <c r="C178" s="18" t="n"/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18" t="n"/>
      <c r="K178" s="22" t="n"/>
    </row>
    <row r="179">
      <c r="A179" s="19" t="n"/>
      <c r="B179" s="25">
        <f>IF(A179="","",CHOOSE(WEEKDAY(A179,2),"월","화","수","목","금","토","일"))</f>
        <v/>
      </c>
      <c r="C179" s="18" t="n"/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18" t="n"/>
      <c r="K179" s="22" t="n"/>
    </row>
    <row r="180">
      <c r="A180" s="19" t="n"/>
      <c r="B180" s="25">
        <f>IF(A180="","",CHOOSE(WEEKDAY(A180,2),"월","화","수","목","금","토","일"))</f>
        <v/>
      </c>
      <c r="C180" s="18" t="n"/>
      <c r="D180" s="25">
        <f>IFERROR(IF(C180="","",INDEX(직원명부!$B$5:$B$24,MATCH(C180,직원명부!$A$5:$A$24,0))),"사번 확인")</f>
        <v/>
      </c>
      <c r="E180" s="34" t="n"/>
      <c r="F180" s="34" t="n"/>
      <c r="G180" s="28" t="n"/>
      <c r="H180" s="33">
        <f>IF(OR(E180="",F180=""),"",ROUND(MOD(F180-E180,1)*24-N(G180),2))</f>
        <v/>
      </c>
      <c r="I180" s="33">
        <f>IF(H180="","",ROUND(MAX(0,H180-8),2))</f>
        <v/>
      </c>
      <c r="J180" s="18" t="n"/>
      <c r="K180" s="22" t="n"/>
    </row>
    <row r="181">
      <c r="A181" s="19" t="n"/>
      <c r="B181" s="25">
        <f>IF(A181="","",CHOOSE(WEEKDAY(A181,2),"월","화","수","목","금","토","일"))</f>
        <v/>
      </c>
      <c r="C181" s="18" t="n"/>
      <c r="D181" s="25">
        <f>IFERROR(IF(C181="","",INDEX(직원명부!$B$5:$B$24,MATCH(C181,직원명부!$A$5:$A$24,0))),"사번 확인")</f>
        <v/>
      </c>
      <c r="E181" s="34" t="n"/>
      <c r="F181" s="34" t="n"/>
      <c r="G181" s="28" t="n"/>
      <c r="H181" s="33">
        <f>IF(OR(E181="",F181=""),"",ROUND(MOD(F181-E181,1)*24-N(G181),2))</f>
        <v/>
      </c>
      <c r="I181" s="33">
        <f>IF(H181="","",ROUND(MAX(0,H181-8),2))</f>
        <v/>
      </c>
      <c r="J181" s="18" t="n"/>
      <c r="K181" s="22" t="n"/>
    </row>
    <row r="182">
      <c r="A182" s="19" t="n"/>
      <c r="B182" s="25">
        <f>IF(A182="","",CHOOSE(WEEKDAY(A182,2),"월","화","수","목","금","토","일"))</f>
        <v/>
      </c>
      <c r="C182" s="18" t="n"/>
      <c r="D182" s="25">
        <f>IFERROR(IF(C182="","",INDEX(직원명부!$B$5:$B$24,MATCH(C182,직원명부!$A$5:$A$24,0))),"사번 확인")</f>
        <v/>
      </c>
      <c r="E182" s="34" t="n"/>
      <c r="F182" s="34" t="n"/>
      <c r="G182" s="28" t="n"/>
      <c r="H182" s="33">
        <f>IF(OR(E182="",F182=""),"",ROUND(MOD(F182-E182,1)*24-N(G182),2))</f>
        <v/>
      </c>
      <c r="I182" s="33">
        <f>IF(H182="","",ROUND(MAX(0,H182-8),2))</f>
        <v/>
      </c>
      <c r="J182" s="18" t="n"/>
      <c r="K182" s="22" t="n"/>
    </row>
    <row r="183">
      <c r="A183" s="19" t="n"/>
      <c r="B183" s="25">
        <f>IF(A183="","",CHOOSE(WEEKDAY(A183,2),"월","화","수","목","금","토","일"))</f>
        <v/>
      </c>
      <c r="C183" s="18" t="n"/>
      <c r="D183" s="25">
        <f>IFERROR(IF(C183="","",INDEX(직원명부!$B$5:$B$24,MATCH(C183,직원명부!$A$5:$A$24,0))),"사번 확인")</f>
        <v/>
      </c>
      <c r="E183" s="34" t="n"/>
      <c r="F183" s="34" t="n"/>
      <c r="G183" s="28" t="n"/>
      <c r="H183" s="33">
        <f>IF(OR(E183="",F183=""),"",ROUND(MOD(F183-E183,1)*24-N(G183),2))</f>
        <v/>
      </c>
      <c r="I183" s="33">
        <f>IF(H183="","",ROUND(MAX(0,H183-8),2))</f>
        <v/>
      </c>
      <c r="J183" s="18" t="n"/>
      <c r="K183" s="22" t="n"/>
    </row>
    <row r="184">
      <c r="A184" s="19" t="n"/>
      <c r="B184" s="25">
        <f>IF(A184="","",CHOOSE(WEEKDAY(A184,2),"월","화","수","목","금","토","일"))</f>
        <v/>
      </c>
      <c r="C184" s="18" t="n"/>
      <c r="D184" s="25">
        <f>IFERROR(IF(C184="","",INDEX(직원명부!$B$5:$B$24,MATCH(C184,직원명부!$A$5:$A$24,0))),"사번 확인")</f>
        <v/>
      </c>
      <c r="E184" s="34" t="n"/>
      <c r="F184" s="34" t="n"/>
      <c r="G184" s="28" t="n"/>
      <c r="H184" s="33">
        <f>IF(OR(E184="",F184=""),"",ROUND(MOD(F184-E184,1)*24-N(G184),2))</f>
        <v/>
      </c>
      <c r="I184" s="33">
        <f>IF(H184="","",ROUND(MAX(0,H184-8),2))</f>
        <v/>
      </c>
      <c r="J184" s="18" t="n"/>
      <c r="K184" s="22" t="n"/>
    </row>
    <row r="185">
      <c r="A185" s="19" t="n"/>
      <c r="B185" s="25">
        <f>IF(A185="","",CHOOSE(WEEKDAY(A185,2),"월","화","수","목","금","토","일"))</f>
        <v/>
      </c>
      <c r="C185" s="18" t="n"/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18" t="n"/>
      <c r="K185" s="22" t="n"/>
    </row>
    <row r="186">
      <c r="A186" s="19" t="n"/>
      <c r="B186" s="25">
        <f>IF(A186="","",CHOOSE(WEEKDAY(A186,2),"월","화","수","목","금","토","일"))</f>
        <v/>
      </c>
      <c r="C186" s="18" t="n"/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18" t="n"/>
      <c r="K186" s="22" t="n"/>
    </row>
    <row r="187">
      <c r="A187" s="19" t="n"/>
      <c r="B187" s="25">
        <f>IF(A187="","",CHOOSE(WEEKDAY(A187,2),"월","화","수","목","금","토","일"))</f>
        <v/>
      </c>
      <c r="C187" s="18" t="n"/>
      <c r="D187" s="25">
        <f>IFERROR(IF(C187="","",INDEX(직원명부!$B$5:$B$24,MATCH(C187,직원명부!$A$5:$A$24,0))),"사번 확인")</f>
        <v/>
      </c>
      <c r="E187" s="34" t="n"/>
      <c r="F187" s="34" t="n"/>
      <c r="G187" s="28" t="n"/>
      <c r="H187" s="33">
        <f>IF(OR(E187="",F187=""),"",ROUND(MOD(F187-E187,1)*24-N(G187),2))</f>
        <v/>
      </c>
      <c r="I187" s="33">
        <f>IF(H187="","",ROUND(MAX(0,H187-8),2))</f>
        <v/>
      </c>
      <c r="J187" s="18" t="n"/>
      <c r="K187" s="22" t="n"/>
    </row>
    <row r="188">
      <c r="A188" s="19" t="n"/>
      <c r="B188" s="25">
        <f>IF(A188="","",CHOOSE(WEEKDAY(A188,2),"월","화","수","목","금","토","일"))</f>
        <v/>
      </c>
      <c r="C188" s="18" t="n"/>
      <c r="D188" s="25">
        <f>IFERROR(IF(C188="","",INDEX(직원명부!$B$5:$B$24,MATCH(C188,직원명부!$A$5:$A$24,0))),"사번 확인")</f>
        <v/>
      </c>
      <c r="E188" s="34" t="n"/>
      <c r="F188" s="34" t="n"/>
      <c r="G188" s="28" t="n"/>
      <c r="H188" s="33">
        <f>IF(OR(E188="",F188=""),"",ROUND(MOD(F188-E188,1)*24-N(G188),2))</f>
        <v/>
      </c>
      <c r="I188" s="33">
        <f>IF(H188="","",ROUND(MAX(0,H188-8),2))</f>
        <v/>
      </c>
      <c r="J188" s="18" t="n"/>
      <c r="K188" s="22" t="n"/>
    </row>
    <row r="189">
      <c r="A189" s="19" t="n"/>
      <c r="B189" s="25">
        <f>IF(A189="","",CHOOSE(WEEKDAY(A189,2),"월","화","수","목","금","토","일"))</f>
        <v/>
      </c>
      <c r="C189" s="18" t="n"/>
      <c r="D189" s="25">
        <f>IFERROR(IF(C189="","",INDEX(직원명부!$B$5:$B$24,MATCH(C189,직원명부!$A$5:$A$24,0))),"사번 확인")</f>
        <v/>
      </c>
      <c r="E189" s="34" t="n"/>
      <c r="F189" s="34" t="n"/>
      <c r="G189" s="28" t="n"/>
      <c r="H189" s="33">
        <f>IF(OR(E189="",F189=""),"",ROUND(MOD(F189-E189,1)*24-N(G189),2))</f>
        <v/>
      </c>
      <c r="I189" s="33">
        <f>IF(H189="","",ROUND(MAX(0,H189-8),2))</f>
        <v/>
      </c>
      <c r="J189" s="18" t="n"/>
      <c r="K189" s="22" t="n"/>
    </row>
    <row r="190">
      <c r="A190" s="19" t="n"/>
      <c r="B190" s="25">
        <f>IF(A190="","",CHOOSE(WEEKDAY(A190,2),"월","화","수","목","금","토","일"))</f>
        <v/>
      </c>
      <c r="C190" s="18" t="n"/>
      <c r="D190" s="25">
        <f>IFERROR(IF(C190="","",INDEX(직원명부!$B$5:$B$24,MATCH(C190,직원명부!$A$5:$A$24,0))),"사번 확인")</f>
        <v/>
      </c>
      <c r="E190" s="34" t="n"/>
      <c r="F190" s="34" t="n"/>
      <c r="G190" s="28" t="n"/>
      <c r="H190" s="33">
        <f>IF(OR(E190="",F190=""),"",ROUND(MOD(F190-E190,1)*24-N(G190),2))</f>
        <v/>
      </c>
      <c r="I190" s="33">
        <f>IF(H190="","",ROUND(MAX(0,H190-8),2))</f>
        <v/>
      </c>
      <c r="J190" s="18" t="n"/>
      <c r="K190" s="22" t="n"/>
    </row>
    <row r="191">
      <c r="A191" s="19" t="n"/>
      <c r="B191" s="25">
        <f>IF(A191="","",CHOOSE(WEEKDAY(A191,2),"월","화","수","목","금","토","일"))</f>
        <v/>
      </c>
      <c r="C191" s="18" t="n"/>
      <c r="D191" s="25">
        <f>IFERROR(IF(C191="","",INDEX(직원명부!$B$5:$B$24,MATCH(C191,직원명부!$A$5:$A$24,0))),"사번 확인")</f>
        <v/>
      </c>
      <c r="E191" s="34" t="n"/>
      <c r="F191" s="34" t="n"/>
      <c r="G191" s="28" t="n"/>
      <c r="H191" s="33">
        <f>IF(OR(E191="",F191=""),"",ROUND(MOD(F191-E191,1)*24-N(G191),2))</f>
        <v/>
      </c>
      <c r="I191" s="33">
        <f>IF(H191="","",ROUND(MAX(0,H191-8),2))</f>
        <v/>
      </c>
      <c r="J191" s="18" t="n"/>
      <c r="K191" s="22" t="n"/>
    </row>
    <row r="192">
      <c r="A192" s="19" t="n"/>
      <c r="B192" s="25">
        <f>IF(A192="","",CHOOSE(WEEKDAY(A192,2),"월","화","수","목","금","토","일"))</f>
        <v/>
      </c>
      <c r="C192" s="18" t="n"/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18" t="n"/>
      <c r="K192" s="22" t="n"/>
    </row>
    <row r="193">
      <c r="A193" s="19" t="n"/>
      <c r="B193" s="25">
        <f>IF(A193="","",CHOOSE(WEEKDAY(A193,2),"월","화","수","목","금","토","일"))</f>
        <v/>
      </c>
      <c r="C193" s="18" t="n"/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18" t="n"/>
      <c r="K193" s="22" t="n"/>
    </row>
    <row r="194">
      <c r="A194" s="19" t="n"/>
      <c r="B194" s="25">
        <f>IF(A194="","",CHOOSE(WEEKDAY(A194,2),"월","화","수","목","금","토","일"))</f>
        <v/>
      </c>
      <c r="C194" s="18" t="n"/>
      <c r="D194" s="25">
        <f>IFERROR(IF(C194="","",INDEX(직원명부!$B$5:$B$24,MATCH(C194,직원명부!$A$5:$A$24,0))),"사번 확인")</f>
        <v/>
      </c>
      <c r="E194" s="34" t="n"/>
      <c r="F194" s="34" t="n"/>
      <c r="G194" s="28" t="n"/>
      <c r="H194" s="33">
        <f>IF(OR(E194="",F194=""),"",ROUND(MOD(F194-E194,1)*24-N(G194),2))</f>
        <v/>
      </c>
      <c r="I194" s="33">
        <f>IF(H194="","",ROUND(MAX(0,H194-8),2))</f>
        <v/>
      </c>
      <c r="J194" s="18" t="n"/>
      <c r="K194" s="22" t="n"/>
    </row>
    <row r="195">
      <c r="A195" s="19" t="n"/>
      <c r="B195" s="25">
        <f>IF(A195="","",CHOOSE(WEEKDAY(A195,2),"월","화","수","목","금","토","일"))</f>
        <v/>
      </c>
      <c r="C195" s="18" t="n"/>
      <c r="D195" s="25">
        <f>IFERROR(IF(C195="","",INDEX(직원명부!$B$5:$B$24,MATCH(C195,직원명부!$A$5:$A$24,0))),"사번 확인")</f>
        <v/>
      </c>
      <c r="E195" s="34" t="n"/>
      <c r="F195" s="34" t="n"/>
      <c r="G195" s="28" t="n"/>
      <c r="H195" s="33">
        <f>IF(OR(E195="",F195=""),"",ROUND(MOD(F195-E195,1)*24-N(G195),2))</f>
        <v/>
      </c>
      <c r="I195" s="33">
        <f>IF(H195="","",ROUND(MAX(0,H195-8),2))</f>
        <v/>
      </c>
      <c r="J195" s="18" t="n"/>
      <c r="K195" s="22" t="n"/>
    </row>
    <row r="196">
      <c r="A196" s="19" t="n"/>
      <c r="B196" s="25">
        <f>IF(A196="","",CHOOSE(WEEKDAY(A196,2),"월","화","수","목","금","토","일"))</f>
        <v/>
      </c>
      <c r="C196" s="18" t="n"/>
      <c r="D196" s="25">
        <f>IFERROR(IF(C196="","",INDEX(직원명부!$B$5:$B$24,MATCH(C196,직원명부!$A$5:$A$24,0))),"사번 확인")</f>
        <v/>
      </c>
      <c r="E196" s="34" t="n"/>
      <c r="F196" s="34" t="n"/>
      <c r="G196" s="28" t="n"/>
      <c r="H196" s="33">
        <f>IF(OR(E196="",F196=""),"",ROUND(MOD(F196-E196,1)*24-N(G196),2))</f>
        <v/>
      </c>
      <c r="I196" s="33">
        <f>IF(H196="","",ROUND(MAX(0,H196-8),2))</f>
        <v/>
      </c>
      <c r="J196" s="18" t="n"/>
      <c r="K196" s="22" t="n"/>
    </row>
    <row r="197">
      <c r="A197" s="19" t="n"/>
      <c r="B197" s="25">
        <f>IF(A197="","",CHOOSE(WEEKDAY(A197,2),"월","화","수","목","금","토","일"))</f>
        <v/>
      </c>
      <c r="C197" s="18" t="n"/>
      <c r="D197" s="25">
        <f>IFERROR(IF(C197="","",INDEX(직원명부!$B$5:$B$24,MATCH(C197,직원명부!$A$5:$A$24,0))),"사번 확인")</f>
        <v/>
      </c>
      <c r="E197" s="34" t="n"/>
      <c r="F197" s="34" t="n"/>
      <c r="G197" s="28" t="n"/>
      <c r="H197" s="33">
        <f>IF(OR(E197="",F197=""),"",ROUND(MOD(F197-E197,1)*24-N(G197),2))</f>
        <v/>
      </c>
      <c r="I197" s="33">
        <f>IF(H197="","",ROUND(MAX(0,H197-8),2))</f>
        <v/>
      </c>
      <c r="J197" s="18" t="n"/>
      <c r="K197" s="22" t="n"/>
    </row>
    <row r="198">
      <c r="A198" s="19" t="n"/>
      <c r="B198" s="25">
        <f>IF(A198="","",CHOOSE(WEEKDAY(A198,2),"월","화","수","목","금","토","일"))</f>
        <v/>
      </c>
      <c r="C198" s="18" t="n"/>
      <c r="D198" s="25">
        <f>IFERROR(IF(C198="","",INDEX(직원명부!$B$5:$B$24,MATCH(C198,직원명부!$A$5:$A$24,0))),"사번 확인")</f>
        <v/>
      </c>
      <c r="E198" s="34" t="n"/>
      <c r="F198" s="34" t="n"/>
      <c r="G198" s="28" t="n"/>
      <c r="H198" s="33">
        <f>IF(OR(E198="",F198=""),"",ROUND(MOD(F198-E198,1)*24-N(G198),2))</f>
        <v/>
      </c>
      <c r="I198" s="33">
        <f>IF(H198="","",ROUND(MAX(0,H198-8),2))</f>
        <v/>
      </c>
      <c r="J198" s="18" t="n"/>
      <c r="K198" s="22" t="n"/>
    </row>
    <row r="199">
      <c r="A199" s="19" t="n"/>
      <c r="B199" s="25">
        <f>IF(A199="","",CHOOSE(WEEKDAY(A199,2),"월","화","수","목","금","토","일"))</f>
        <v/>
      </c>
      <c r="C199" s="18" t="n"/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18" t="n"/>
      <c r="K199" s="22" t="n"/>
    </row>
    <row r="200">
      <c r="A200" s="19" t="n"/>
      <c r="B200" s="25">
        <f>IF(A200="","",CHOOSE(WEEKDAY(A200,2),"월","화","수","목","금","토","일"))</f>
        <v/>
      </c>
      <c r="C200" s="18" t="n"/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18" t="n"/>
      <c r="K200" s="22" t="n"/>
    </row>
    <row r="201">
      <c r="A201" s="19" t="n"/>
      <c r="B201" s="25">
        <f>IF(A201="","",CHOOSE(WEEKDAY(A201,2),"월","화","수","목","금","토","일"))</f>
        <v/>
      </c>
      <c r="C201" s="18" t="n"/>
      <c r="D201" s="25">
        <f>IFERROR(IF(C201="","",INDEX(직원명부!$B$5:$B$24,MATCH(C201,직원명부!$A$5:$A$24,0))),"사번 확인")</f>
        <v/>
      </c>
      <c r="E201" s="34" t="n"/>
      <c r="F201" s="34" t="n"/>
      <c r="G201" s="28" t="n"/>
      <c r="H201" s="33">
        <f>IF(OR(E201="",F201=""),"",ROUND(MOD(F201-E201,1)*24-N(G201),2))</f>
        <v/>
      </c>
      <c r="I201" s="33">
        <f>IF(H201="","",ROUND(MAX(0,H201-8),2))</f>
        <v/>
      </c>
      <c r="J201" s="18" t="n"/>
      <c r="K201" s="22" t="n"/>
    </row>
    <row r="202">
      <c r="A202" s="19" t="n"/>
      <c r="B202" s="25">
        <f>IF(A202="","",CHOOSE(WEEKDAY(A202,2),"월","화","수","목","금","토","일"))</f>
        <v/>
      </c>
      <c r="C202" s="18" t="n"/>
      <c r="D202" s="25">
        <f>IFERROR(IF(C202="","",INDEX(직원명부!$B$5:$B$24,MATCH(C202,직원명부!$A$5:$A$24,0))),"사번 확인")</f>
        <v/>
      </c>
      <c r="E202" s="34" t="n"/>
      <c r="F202" s="34" t="n"/>
      <c r="G202" s="28" t="n"/>
      <c r="H202" s="33">
        <f>IF(OR(E202="",F202=""),"",ROUND(MOD(F202-E202,1)*24-N(G202),2))</f>
        <v/>
      </c>
      <c r="I202" s="33">
        <f>IF(H202="","",ROUND(MAX(0,H202-8),2))</f>
        <v/>
      </c>
      <c r="J202" s="18" t="n"/>
      <c r="K202" s="22" t="n"/>
    </row>
    <row r="203">
      <c r="A203" s="19" t="n"/>
      <c r="B203" s="25">
        <f>IF(A203="","",CHOOSE(WEEKDAY(A203,2),"월","화","수","목","금","토","일"))</f>
        <v/>
      </c>
      <c r="C203" s="18" t="n"/>
      <c r="D203" s="25">
        <f>IFERROR(IF(C203="","",INDEX(직원명부!$B$5:$B$24,MATCH(C203,직원명부!$A$5:$A$24,0))),"사번 확인")</f>
        <v/>
      </c>
      <c r="E203" s="34" t="n"/>
      <c r="F203" s="34" t="n"/>
      <c r="G203" s="28" t="n"/>
      <c r="H203" s="33">
        <f>IF(OR(E203="",F203=""),"",ROUND(MOD(F203-E203,1)*24-N(G203),2))</f>
        <v/>
      </c>
      <c r="I203" s="33">
        <f>IF(H203="","",ROUND(MAX(0,H203-8),2))</f>
        <v/>
      </c>
      <c r="J203" s="18" t="n"/>
      <c r="K203" s="22" t="n"/>
    </row>
    <row r="204">
      <c r="A204" s="19" t="n"/>
      <c r="B204" s="25">
        <f>IF(A204="","",CHOOSE(WEEKDAY(A204,2),"월","화","수","목","금","토","일"))</f>
        <v/>
      </c>
      <c r="C204" s="18" t="n"/>
      <c r="D204" s="25">
        <f>IFERROR(IF(C204="","",INDEX(직원명부!$B$5:$B$24,MATCH(C204,직원명부!$A$5:$A$24,0))),"사번 확인")</f>
        <v/>
      </c>
      <c r="E204" s="34" t="n"/>
      <c r="F204" s="34" t="n"/>
      <c r="G204" s="28" t="n"/>
      <c r="H204" s="33">
        <f>IF(OR(E204="",F204=""),"",ROUND(MOD(F204-E204,1)*24-N(G204),2))</f>
        <v/>
      </c>
      <c r="I204" s="33">
        <f>IF(H204="","",ROUND(MAX(0,H204-8),2))</f>
        <v/>
      </c>
      <c r="J204" s="18" t="n"/>
      <c r="K204" s="22" t="n"/>
    </row>
    <row r="205">
      <c r="A205" s="19" t="n"/>
      <c r="B205" s="25">
        <f>IF(A205="","",CHOOSE(WEEKDAY(A205,2),"월","화","수","목","금","토","일"))</f>
        <v/>
      </c>
      <c r="C205" s="18" t="n"/>
      <c r="D205" s="25">
        <f>IFERROR(IF(C205="","",INDEX(직원명부!$B$5:$B$24,MATCH(C205,직원명부!$A$5:$A$24,0))),"사번 확인")</f>
        <v/>
      </c>
      <c r="E205" s="34" t="n"/>
      <c r="F205" s="34" t="n"/>
      <c r="G205" s="28" t="n"/>
      <c r="H205" s="33">
        <f>IF(OR(E205="",F205=""),"",ROUND(MOD(F205-E205,1)*24-N(G205),2))</f>
        <v/>
      </c>
      <c r="I205" s="33">
        <f>IF(H205="","",ROUND(MAX(0,H205-8),2))</f>
        <v/>
      </c>
      <c r="J205" s="18" t="n"/>
      <c r="K205" s="22" t="n"/>
    </row>
    <row r="206">
      <c r="A206" s="19" t="n"/>
      <c r="B206" s="25">
        <f>IF(A206="","",CHOOSE(WEEKDAY(A206,2),"월","화","수","목","금","토","일"))</f>
        <v/>
      </c>
      <c r="C206" s="18" t="n"/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18" t="n"/>
      <c r="K206" s="22" t="n"/>
    </row>
    <row r="207">
      <c r="A207" s="19" t="n"/>
      <c r="B207" s="25">
        <f>IF(A207="","",CHOOSE(WEEKDAY(A207,2),"월","화","수","목","금","토","일"))</f>
        <v/>
      </c>
      <c r="C207" s="18" t="n"/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18" t="n"/>
      <c r="K207" s="22" t="n"/>
    </row>
    <row r="208">
      <c r="A208" s="19" t="n"/>
      <c r="B208" s="25">
        <f>IF(A208="","",CHOOSE(WEEKDAY(A208,2),"월","화","수","목","금","토","일"))</f>
        <v/>
      </c>
      <c r="C208" s="18" t="n"/>
      <c r="D208" s="25">
        <f>IFERROR(IF(C208="","",INDEX(직원명부!$B$5:$B$24,MATCH(C208,직원명부!$A$5:$A$24,0))),"사번 확인")</f>
        <v/>
      </c>
      <c r="E208" s="34" t="n"/>
      <c r="F208" s="34" t="n"/>
      <c r="G208" s="28" t="n"/>
      <c r="H208" s="33">
        <f>IF(OR(E208="",F208=""),"",ROUND(MOD(F208-E208,1)*24-N(G208),2))</f>
        <v/>
      </c>
      <c r="I208" s="33">
        <f>IF(H208="","",ROUND(MAX(0,H208-8),2))</f>
        <v/>
      </c>
      <c r="J208" s="18" t="n"/>
      <c r="K208" s="22" t="n"/>
    </row>
    <row r="209">
      <c r="A209" s="19" t="n"/>
      <c r="B209" s="25">
        <f>IF(A209="","",CHOOSE(WEEKDAY(A209,2),"월","화","수","목","금","토","일"))</f>
        <v/>
      </c>
      <c r="C209" s="18" t="n"/>
      <c r="D209" s="25">
        <f>IFERROR(IF(C209="","",INDEX(직원명부!$B$5:$B$24,MATCH(C209,직원명부!$A$5:$A$24,0))),"사번 확인")</f>
        <v/>
      </c>
      <c r="E209" s="34" t="n"/>
      <c r="F209" s="34" t="n"/>
      <c r="G209" s="28" t="n"/>
      <c r="H209" s="33">
        <f>IF(OR(E209="",F209=""),"",ROUND(MOD(F209-E209,1)*24-N(G209),2))</f>
        <v/>
      </c>
      <c r="I209" s="33">
        <f>IF(H209="","",ROUND(MAX(0,H209-8),2))</f>
        <v/>
      </c>
      <c r="J209" s="18" t="n"/>
      <c r="K209" s="22" t="n"/>
    </row>
    <row r="210">
      <c r="A210" s="19" t="n"/>
      <c r="B210" s="25">
        <f>IF(A210="","",CHOOSE(WEEKDAY(A210,2),"월","화","수","목","금","토","일"))</f>
        <v/>
      </c>
      <c r="C210" s="18" t="n"/>
      <c r="D210" s="25">
        <f>IFERROR(IF(C210="","",INDEX(직원명부!$B$5:$B$24,MATCH(C210,직원명부!$A$5:$A$24,0))),"사번 확인")</f>
        <v/>
      </c>
      <c r="E210" s="34" t="n"/>
      <c r="F210" s="34" t="n"/>
      <c r="G210" s="28" t="n"/>
      <c r="H210" s="33">
        <f>IF(OR(E210="",F210=""),"",ROUND(MOD(F210-E210,1)*24-N(G210),2))</f>
        <v/>
      </c>
      <c r="I210" s="33">
        <f>IF(H210="","",ROUND(MAX(0,H210-8),2))</f>
        <v/>
      </c>
      <c r="J210" s="18" t="n"/>
      <c r="K210" s="22" t="n"/>
    </row>
    <row r="211">
      <c r="A211" s="19" t="n"/>
      <c r="B211" s="25">
        <f>IF(A211="","",CHOOSE(WEEKDAY(A211,2),"월","화","수","목","금","토","일"))</f>
        <v/>
      </c>
      <c r="C211" s="18" t="n"/>
      <c r="D211" s="25">
        <f>IFERROR(IF(C211="","",INDEX(직원명부!$B$5:$B$24,MATCH(C211,직원명부!$A$5:$A$24,0))),"사번 확인")</f>
        <v/>
      </c>
      <c r="E211" s="34" t="n"/>
      <c r="F211" s="34" t="n"/>
      <c r="G211" s="28" t="n"/>
      <c r="H211" s="33">
        <f>IF(OR(E211="",F211=""),"",ROUND(MOD(F211-E211,1)*24-N(G211),2))</f>
        <v/>
      </c>
      <c r="I211" s="33">
        <f>IF(H211="","",ROUND(MAX(0,H211-8),2))</f>
        <v/>
      </c>
      <c r="J211" s="18" t="n"/>
      <c r="K211" s="22" t="n"/>
    </row>
    <row r="212">
      <c r="A212" s="19" t="n"/>
      <c r="B212" s="25">
        <f>IF(A212="","",CHOOSE(WEEKDAY(A212,2),"월","화","수","목","금","토","일"))</f>
        <v/>
      </c>
      <c r="C212" s="18" t="n"/>
      <c r="D212" s="25">
        <f>IFERROR(IF(C212="","",INDEX(직원명부!$B$5:$B$24,MATCH(C212,직원명부!$A$5:$A$24,0))),"사번 확인")</f>
        <v/>
      </c>
      <c r="E212" s="34" t="n"/>
      <c r="F212" s="34" t="n"/>
      <c r="G212" s="28" t="n"/>
      <c r="H212" s="33">
        <f>IF(OR(E212="",F212=""),"",ROUND(MOD(F212-E212,1)*24-N(G212),2))</f>
        <v/>
      </c>
      <c r="I212" s="33">
        <f>IF(H212="","",ROUND(MAX(0,H212-8),2))</f>
        <v/>
      </c>
      <c r="J212" s="18" t="n"/>
      <c r="K212" s="22" t="n"/>
    </row>
    <row r="213">
      <c r="A213" s="19" t="n"/>
      <c r="B213" s="25">
        <f>IF(A213="","",CHOOSE(WEEKDAY(A213,2),"월","화","수","목","금","토","일"))</f>
        <v/>
      </c>
      <c r="C213" s="18" t="n"/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18" t="n"/>
      <c r="K213" s="22" t="n"/>
    </row>
    <row r="214">
      <c r="A214" s="19" t="n"/>
      <c r="B214" s="25">
        <f>IF(A214="","",CHOOSE(WEEKDAY(A214,2),"월","화","수","목","금","토","일"))</f>
        <v/>
      </c>
      <c r="C214" s="18" t="n"/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18" t="n"/>
      <c r="K214" s="22" t="n"/>
    </row>
    <row r="215">
      <c r="A215" s="19" t="n"/>
      <c r="B215" s="25">
        <f>IF(A215="","",CHOOSE(WEEKDAY(A215,2),"월","화","수","목","금","토","일"))</f>
        <v/>
      </c>
      <c r="C215" s="18" t="n"/>
      <c r="D215" s="25">
        <f>IFERROR(IF(C215="","",INDEX(직원명부!$B$5:$B$24,MATCH(C215,직원명부!$A$5:$A$24,0))),"사번 확인")</f>
        <v/>
      </c>
      <c r="E215" s="34" t="n"/>
      <c r="F215" s="34" t="n"/>
      <c r="G215" s="28" t="n"/>
      <c r="H215" s="33">
        <f>IF(OR(E215="",F215=""),"",ROUND(MOD(F215-E215,1)*24-N(G215),2))</f>
        <v/>
      </c>
      <c r="I215" s="33">
        <f>IF(H215="","",ROUND(MAX(0,H215-8),2))</f>
        <v/>
      </c>
      <c r="J215" s="18" t="n"/>
      <c r="K215" s="22" t="n"/>
    </row>
    <row r="216">
      <c r="A216" s="19" t="n"/>
      <c r="B216" s="25">
        <f>IF(A216="","",CHOOSE(WEEKDAY(A216,2),"월","화","수","목","금","토","일"))</f>
        <v/>
      </c>
      <c r="C216" s="18" t="n"/>
      <c r="D216" s="25">
        <f>IFERROR(IF(C216="","",INDEX(직원명부!$B$5:$B$24,MATCH(C216,직원명부!$A$5:$A$24,0))),"사번 확인")</f>
        <v/>
      </c>
      <c r="E216" s="34" t="n"/>
      <c r="F216" s="34" t="n"/>
      <c r="G216" s="28" t="n"/>
      <c r="H216" s="33">
        <f>IF(OR(E216="",F216=""),"",ROUND(MOD(F216-E216,1)*24-N(G216),2))</f>
        <v/>
      </c>
      <c r="I216" s="33">
        <f>IF(H216="","",ROUND(MAX(0,H216-8),2))</f>
        <v/>
      </c>
      <c r="J216" s="18" t="n"/>
      <c r="K216" s="22" t="n"/>
    </row>
    <row r="217">
      <c r="A217" s="19" t="n"/>
      <c r="B217" s="25">
        <f>IF(A217="","",CHOOSE(WEEKDAY(A217,2),"월","화","수","목","금","토","일"))</f>
        <v/>
      </c>
      <c r="C217" s="18" t="n"/>
      <c r="D217" s="25">
        <f>IFERROR(IF(C217="","",INDEX(직원명부!$B$5:$B$24,MATCH(C217,직원명부!$A$5:$A$24,0))),"사번 확인")</f>
        <v/>
      </c>
      <c r="E217" s="34" t="n"/>
      <c r="F217" s="34" t="n"/>
      <c r="G217" s="28" t="n"/>
      <c r="H217" s="33">
        <f>IF(OR(E217="",F217=""),"",ROUND(MOD(F217-E217,1)*24-N(G217),2))</f>
        <v/>
      </c>
      <c r="I217" s="33">
        <f>IF(H217="","",ROUND(MAX(0,H217-8),2))</f>
        <v/>
      </c>
      <c r="J217" s="18" t="n"/>
      <c r="K217" s="22" t="n"/>
    </row>
    <row r="218">
      <c r="A218" s="19" t="n"/>
      <c r="B218" s="25">
        <f>IF(A218="","",CHOOSE(WEEKDAY(A218,2),"월","화","수","목","금","토","일"))</f>
        <v/>
      </c>
      <c r="C218" s="18" t="n"/>
      <c r="D218" s="25">
        <f>IFERROR(IF(C218="","",INDEX(직원명부!$B$5:$B$24,MATCH(C218,직원명부!$A$5:$A$24,0))),"사번 확인")</f>
        <v/>
      </c>
      <c r="E218" s="34" t="n"/>
      <c r="F218" s="34" t="n"/>
      <c r="G218" s="28" t="n"/>
      <c r="H218" s="33">
        <f>IF(OR(E218="",F218=""),"",ROUND(MOD(F218-E218,1)*24-N(G218),2))</f>
        <v/>
      </c>
      <c r="I218" s="33">
        <f>IF(H218="","",ROUND(MAX(0,H218-8),2))</f>
        <v/>
      </c>
      <c r="J218" s="18" t="n"/>
      <c r="K218" s="22" t="n"/>
    </row>
    <row r="219">
      <c r="A219" s="19" t="n"/>
      <c r="B219" s="25">
        <f>IF(A219="","",CHOOSE(WEEKDAY(A219,2),"월","화","수","목","금","토","일"))</f>
        <v/>
      </c>
      <c r="C219" s="18" t="n"/>
      <c r="D219" s="25">
        <f>IFERROR(IF(C219="","",INDEX(직원명부!$B$5:$B$24,MATCH(C219,직원명부!$A$5:$A$24,0))),"사번 확인")</f>
        <v/>
      </c>
      <c r="E219" s="34" t="n"/>
      <c r="F219" s="34" t="n"/>
      <c r="G219" s="28" t="n"/>
      <c r="H219" s="33">
        <f>IF(OR(E219="",F219=""),"",ROUND(MOD(F219-E219,1)*24-N(G219),2))</f>
        <v/>
      </c>
      <c r="I219" s="33">
        <f>IF(H219="","",ROUND(MAX(0,H219-8),2))</f>
        <v/>
      </c>
      <c r="J219" s="18" t="n"/>
      <c r="K219" s="22" t="n"/>
    </row>
    <row r="220">
      <c r="A220" s="19" t="n"/>
      <c r="B220" s="25">
        <f>IF(A220="","",CHOOSE(WEEKDAY(A220,2),"월","화","수","목","금","토","일"))</f>
        <v/>
      </c>
      <c r="C220" s="18" t="n"/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18" t="n"/>
      <c r="K220" s="22" t="n"/>
    </row>
    <row r="221">
      <c r="A221" s="19" t="n"/>
      <c r="B221" s="25">
        <f>IF(A221="","",CHOOSE(WEEKDAY(A221,2),"월","화","수","목","금","토","일"))</f>
        <v/>
      </c>
      <c r="C221" s="18" t="n"/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18" t="n"/>
      <c r="K221" s="22" t="n"/>
    </row>
    <row r="222">
      <c r="A222" s="19" t="n"/>
      <c r="B222" s="25">
        <f>IF(A222="","",CHOOSE(WEEKDAY(A222,2),"월","화","수","목","금","토","일"))</f>
        <v/>
      </c>
      <c r="C222" s="18" t="n"/>
      <c r="D222" s="25">
        <f>IFERROR(IF(C222="","",INDEX(직원명부!$B$5:$B$24,MATCH(C222,직원명부!$A$5:$A$24,0))),"사번 확인")</f>
        <v/>
      </c>
      <c r="E222" s="34" t="n"/>
      <c r="F222" s="34" t="n"/>
      <c r="G222" s="28" t="n"/>
      <c r="H222" s="33">
        <f>IF(OR(E222="",F222=""),"",ROUND(MOD(F222-E222,1)*24-N(G222),2))</f>
        <v/>
      </c>
      <c r="I222" s="33">
        <f>IF(H222="","",ROUND(MAX(0,H222-8),2))</f>
        <v/>
      </c>
      <c r="J222" s="18" t="n"/>
      <c r="K222" s="22" t="n"/>
    </row>
    <row r="223">
      <c r="A223" s="19" t="n"/>
      <c r="B223" s="25">
        <f>IF(A223="","",CHOOSE(WEEKDAY(A223,2),"월","화","수","목","금","토","일"))</f>
        <v/>
      </c>
      <c r="C223" s="18" t="n"/>
      <c r="D223" s="25">
        <f>IFERROR(IF(C223="","",INDEX(직원명부!$B$5:$B$24,MATCH(C223,직원명부!$A$5:$A$24,0))),"사번 확인")</f>
        <v/>
      </c>
      <c r="E223" s="34" t="n"/>
      <c r="F223" s="34" t="n"/>
      <c r="G223" s="28" t="n"/>
      <c r="H223" s="33">
        <f>IF(OR(E223="",F223=""),"",ROUND(MOD(F223-E223,1)*24-N(G223),2))</f>
        <v/>
      </c>
      <c r="I223" s="33">
        <f>IF(H223="","",ROUND(MAX(0,H223-8),2))</f>
        <v/>
      </c>
      <c r="J223" s="18" t="n"/>
      <c r="K223" s="22" t="n"/>
    </row>
    <row r="224">
      <c r="A224" s="19" t="n"/>
      <c r="B224" s="25">
        <f>IF(A224="","",CHOOSE(WEEKDAY(A224,2),"월","화","수","목","금","토","일"))</f>
        <v/>
      </c>
      <c r="C224" s="18" t="n"/>
      <c r="D224" s="25">
        <f>IFERROR(IF(C224="","",INDEX(직원명부!$B$5:$B$24,MATCH(C224,직원명부!$A$5:$A$24,0))),"사번 확인")</f>
        <v/>
      </c>
      <c r="E224" s="34" t="n"/>
      <c r="F224" s="34" t="n"/>
      <c r="G224" s="28" t="n"/>
      <c r="H224" s="33">
        <f>IF(OR(E224="",F224=""),"",ROUND(MOD(F224-E224,1)*24-N(G224),2))</f>
        <v/>
      </c>
      <c r="I224" s="33">
        <f>IF(H224="","",ROUND(MAX(0,H224-8),2))</f>
        <v/>
      </c>
      <c r="J224" s="18" t="n"/>
      <c r="K224" s="22" t="n"/>
    </row>
    <row r="225">
      <c r="A225" s="19" t="n"/>
      <c r="B225" s="25">
        <f>IF(A225="","",CHOOSE(WEEKDAY(A225,2),"월","화","수","목","금","토","일"))</f>
        <v/>
      </c>
      <c r="C225" s="18" t="n"/>
      <c r="D225" s="25">
        <f>IFERROR(IF(C225="","",INDEX(직원명부!$B$5:$B$24,MATCH(C225,직원명부!$A$5:$A$24,0))),"사번 확인")</f>
        <v/>
      </c>
      <c r="E225" s="34" t="n"/>
      <c r="F225" s="34" t="n"/>
      <c r="G225" s="28" t="n"/>
      <c r="H225" s="33">
        <f>IF(OR(E225="",F225=""),"",ROUND(MOD(F225-E225,1)*24-N(G225),2))</f>
        <v/>
      </c>
      <c r="I225" s="33">
        <f>IF(H225="","",ROUND(MAX(0,H225-8),2))</f>
        <v/>
      </c>
      <c r="J225" s="18" t="n"/>
      <c r="K225" s="22" t="n"/>
    </row>
    <row r="226">
      <c r="A226" s="19" t="n"/>
      <c r="B226" s="25">
        <f>IF(A226="","",CHOOSE(WEEKDAY(A226,2),"월","화","수","목","금","토","일"))</f>
        <v/>
      </c>
      <c r="C226" s="18" t="n"/>
      <c r="D226" s="25">
        <f>IFERROR(IF(C226="","",INDEX(직원명부!$B$5:$B$24,MATCH(C226,직원명부!$A$5:$A$24,0))),"사번 확인")</f>
        <v/>
      </c>
      <c r="E226" s="34" t="n"/>
      <c r="F226" s="34" t="n"/>
      <c r="G226" s="28" t="n"/>
      <c r="H226" s="33">
        <f>IF(OR(E226="",F226=""),"",ROUND(MOD(F226-E226,1)*24-N(G226),2))</f>
        <v/>
      </c>
      <c r="I226" s="33">
        <f>IF(H226="","",ROUND(MAX(0,H226-8),2))</f>
        <v/>
      </c>
      <c r="J226" s="18" t="n"/>
      <c r="K226" s="22" t="n"/>
    </row>
    <row r="227">
      <c r="A227" s="19" t="n"/>
      <c r="B227" s="25">
        <f>IF(A227="","",CHOOSE(WEEKDAY(A227,2),"월","화","수","목","금","토","일"))</f>
        <v/>
      </c>
      <c r="C227" s="18" t="n"/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18" t="n"/>
      <c r="K227" s="22" t="n"/>
    </row>
    <row r="228">
      <c r="A228" s="19" t="n"/>
      <c r="B228" s="25">
        <f>IF(A228="","",CHOOSE(WEEKDAY(A228,2),"월","화","수","목","금","토","일"))</f>
        <v/>
      </c>
      <c r="C228" s="18" t="n"/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18" t="n"/>
      <c r="K228" s="22" t="n"/>
    </row>
    <row r="229">
      <c r="A229" s="19" t="n"/>
      <c r="B229" s="25">
        <f>IF(A229="","",CHOOSE(WEEKDAY(A229,2),"월","화","수","목","금","토","일"))</f>
        <v/>
      </c>
      <c r="C229" s="18" t="n"/>
      <c r="D229" s="25">
        <f>IFERROR(IF(C229="","",INDEX(직원명부!$B$5:$B$24,MATCH(C229,직원명부!$A$5:$A$24,0))),"사번 확인")</f>
        <v/>
      </c>
      <c r="E229" s="34" t="n"/>
      <c r="F229" s="34" t="n"/>
      <c r="G229" s="28" t="n"/>
      <c r="H229" s="33">
        <f>IF(OR(E229="",F229=""),"",ROUND(MOD(F229-E229,1)*24-N(G229),2))</f>
        <v/>
      </c>
      <c r="I229" s="33">
        <f>IF(H229="","",ROUND(MAX(0,H229-8),2))</f>
        <v/>
      </c>
      <c r="J229" s="18" t="n"/>
      <c r="K229" s="22" t="n"/>
    </row>
    <row r="230">
      <c r="A230" s="19" t="n"/>
      <c r="B230" s="25">
        <f>IF(A230="","",CHOOSE(WEEKDAY(A230,2),"월","화","수","목","금","토","일"))</f>
        <v/>
      </c>
      <c r="C230" s="18" t="n"/>
      <c r="D230" s="25">
        <f>IFERROR(IF(C230="","",INDEX(직원명부!$B$5:$B$24,MATCH(C230,직원명부!$A$5:$A$24,0))),"사번 확인")</f>
        <v/>
      </c>
      <c r="E230" s="34" t="n"/>
      <c r="F230" s="34" t="n"/>
      <c r="G230" s="28" t="n"/>
      <c r="H230" s="33">
        <f>IF(OR(E230="",F230=""),"",ROUND(MOD(F230-E230,1)*24-N(G230),2))</f>
        <v/>
      </c>
      <c r="I230" s="33">
        <f>IF(H230="","",ROUND(MAX(0,H230-8),2))</f>
        <v/>
      </c>
      <c r="J230" s="18" t="n"/>
      <c r="K230" s="22" t="n"/>
    </row>
    <row r="231">
      <c r="A231" s="19" t="n"/>
      <c r="B231" s="25">
        <f>IF(A231="","",CHOOSE(WEEKDAY(A231,2),"월","화","수","목","금","토","일"))</f>
        <v/>
      </c>
      <c r="C231" s="18" t="n"/>
      <c r="D231" s="25">
        <f>IFERROR(IF(C231="","",INDEX(직원명부!$B$5:$B$24,MATCH(C231,직원명부!$A$5:$A$24,0))),"사번 확인")</f>
        <v/>
      </c>
      <c r="E231" s="34" t="n"/>
      <c r="F231" s="34" t="n"/>
      <c r="G231" s="28" t="n"/>
      <c r="H231" s="33">
        <f>IF(OR(E231="",F231=""),"",ROUND(MOD(F231-E231,1)*24-N(G231),2))</f>
        <v/>
      </c>
      <c r="I231" s="33">
        <f>IF(H231="","",ROUND(MAX(0,H231-8),2))</f>
        <v/>
      </c>
      <c r="J231" s="18" t="n"/>
      <c r="K231" s="22" t="n"/>
    </row>
    <row r="232">
      <c r="A232" s="19" t="n"/>
      <c r="B232" s="25">
        <f>IF(A232="","",CHOOSE(WEEKDAY(A232,2),"월","화","수","목","금","토","일"))</f>
        <v/>
      </c>
      <c r="C232" s="18" t="n"/>
      <c r="D232" s="25">
        <f>IFERROR(IF(C232="","",INDEX(직원명부!$B$5:$B$24,MATCH(C232,직원명부!$A$5:$A$24,0))),"사번 확인")</f>
        <v/>
      </c>
      <c r="E232" s="34" t="n"/>
      <c r="F232" s="34" t="n"/>
      <c r="G232" s="28" t="n"/>
      <c r="H232" s="33">
        <f>IF(OR(E232="",F232=""),"",ROUND(MOD(F232-E232,1)*24-N(G232),2))</f>
        <v/>
      </c>
      <c r="I232" s="33">
        <f>IF(H232="","",ROUND(MAX(0,H232-8),2))</f>
        <v/>
      </c>
      <c r="J232" s="18" t="n"/>
      <c r="K232" s="22" t="n"/>
    </row>
    <row r="233">
      <c r="A233" s="19" t="n"/>
      <c r="B233" s="25">
        <f>IF(A233="","",CHOOSE(WEEKDAY(A233,2),"월","화","수","목","금","토","일"))</f>
        <v/>
      </c>
      <c r="C233" s="18" t="n"/>
      <c r="D233" s="25">
        <f>IFERROR(IF(C233="","",INDEX(직원명부!$B$5:$B$24,MATCH(C233,직원명부!$A$5:$A$24,0))),"사번 확인")</f>
        <v/>
      </c>
      <c r="E233" s="34" t="n"/>
      <c r="F233" s="34" t="n"/>
      <c r="G233" s="28" t="n"/>
      <c r="H233" s="33">
        <f>IF(OR(E233="",F233=""),"",ROUND(MOD(F233-E233,1)*24-N(G233),2))</f>
        <v/>
      </c>
      <c r="I233" s="33">
        <f>IF(H233="","",ROUND(MAX(0,H233-8),2))</f>
        <v/>
      </c>
      <c r="J233" s="18" t="n"/>
      <c r="K233" s="22" t="n"/>
    </row>
    <row r="234">
      <c r="A234" s="19" t="n"/>
      <c r="B234" s="25">
        <f>IF(A234="","",CHOOSE(WEEKDAY(A234,2),"월","화","수","목","금","토","일"))</f>
        <v/>
      </c>
      <c r="C234" s="18" t="n"/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18" t="n"/>
      <c r="K234" s="22" t="n"/>
    </row>
    <row r="235">
      <c r="A235" s="19" t="n"/>
      <c r="B235" s="25">
        <f>IF(A235="","",CHOOSE(WEEKDAY(A235,2),"월","화","수","목","금","토","일"))</f>
        <v/>
      </c>
      <c r="C235" s="18" t="n"/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18" t="n"/>
      <c r="K235" s="22" t="n"/>
    </row>
    <row r="236">
      <c r="A236" s="19" t="n"/>
      <c r="B236" s="25">
        <f>IF(A236="","",CHOOSE(WEEKDAY(A236,2),"월","화","수","목","금","토","일"))</f>
        <v/>
      </c>
      <c r="C236" s="18" t="n"/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18" t="n"/>
      <c r="K236" s="22" t="n"/>
    </row>
    <row r="237">
      <c r="A237" s="19" t="n"/>
      <c r="B237" s="25">
        <f>IF(A237="","",CHOOSE(WEEKDAY(A237,2),"월","화","수","목","금","토","일"))</f>
        <v/>
      </c>
      <c r="C237" s="18" t="n"/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18" t="n"/>
      <c r="K237" s="22" t="n"/>
    </row>
    <row r="238">
      <c r="A238" s="19" t="n"/>
      <c r="B238" s="25">
        <f>IF(A238="","",CHOOSE(WEEKDAY(A238,2),"월","화","수","목","금","토","일"))</f>
        <v/>
      </c>
      <c r="C238" s="18" t="n"/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18" t="n"/>
      <c r="K238" s="22" t="n"/>
    </row>
    <row r="239">
      <c r="A239" s="19" t="n"/>
      <c r="B239" s="25">
        <f>IF(A239="","",CHOOSE(WEEKDAY(A239,2),"월","화","수","목","금","토","일"))</f>
        <v/>
      </c>
      <c r="C239" s="18" t="n"/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18" t="n"/>
      <c r="K239" s="22" t="n"/>
    </row>
    <row r="240">
      <c r="A240" s="19" t="n"/>
      <c r="B240" s="25">
        <f>IF(A240="","",CHOOSE(WEEKDAY(A240,2),"월","화","수","목","금","토","일"))</f>
        <v/>
      </c>
      <c r="C240" s="18" t="n"/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18" t="n"/>
      <c r="K240" s="22" t="n"/>
    </row>
    <row r="241">
      <c r="A241" s="19" t="n"/>
      <c r="B241" s="25">
        <f>IF(A241="","",CHOOSE(WEEKDAY(A241,2),"월","화","수","목","금","토","일"))</f>
        <v/>
      </c>
      <c r="C241" s="18" t="n"/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18" t="n"/>
      <c r="K241" s="22" t="n"/>
    </row>
    <row r="242">
      <c r="A242" s="19" t="n"/>
      <c r="B242" s="25">
        <f>IF(A242="","",CHOOSE(WEEKDAY(A242,2),"월","화","수","목","금","토","일"))</f>
        <v/>
      </c>
      <c r="C242" s="18" t="n"/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18" t="n"/>
      <c r="K242" s="22" t="n"/>
    </row>
    <row r="243">
      <c r="A243" s="19" t="n"/>
      <c r="B243" s="25">
        <f>IF(A243="","",CHOOSE(WEEKDAY(A243,2),"월","화","수","목","금","토","일"))</f>
        <v/>
      </c>
      <c r="C243" s="18" t="n"/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18" t="n"/>
      <c r="K243" s="22" t="n"/>
    </row>
    <row r="244">
      <c r="A244" s="19" t="n"/>
      <c r="B244" s="25">
        <f>IF(A244="","",CHOOSE(WEEKDAY(A244,2),"월","화","수","목","금","토","일"))</f>
        <v/>
      </c>
      <c r="C244" s="18" t="n"/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18" t="n"/>
      <c r="K244" s="22" t="n"/>
    </row>
    <row r="245">
      <c r="A245" s="19" t="n"/>
      <c r="B245" s="25">
        <f>IF(A245="","",CHOOSE(WEEKDAY(A245,2),"월","화","수","목","금","토","일"))</f>
        <v/>
      </c>
      <c r="C245" s="18" t="n"/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18" t="n"/>
      <c r="K245" s="22" t="n"/>
    </row>
    <row r="246">
      <c r="A246" s="19" t="n"/>
      <c r="B246" s="25">
        <f>IF(A246="","",CHOOSE(WEEKDAY(A246,2),"월","화","수","목","금","토","일"))</f>
        <v/>
      </c>
      <c r="C246" s="18" t="n"/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18" t="n"/>
      <c r="K246" s="22" t="n"/>
    </row>
    <row r="247">
      <c r="A247" s="19" t="n"/>
      <c r="B247" s="25">
        <f>IF(A247="","",CHOOSE(WEEKDAY(A247,2),"월","화","수","목","금","토","일"))</f>
        <v/>
      </c>
      <c r="C247" s="18" t="n"/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18" t="n"/>
      <c r="K247" s="22" t="n"/>
    </row>
    <row r="248">
      <c r="A248" s="19" t="n"/>
      <c r="B248" s="25">
        <f>IF(A248="","",CHOOSE(WEEKDAY(A248,2),"월","화","수","목","금","토","일"))</f>
        <v/>
      </c>
      <c r="C248" s="18" t="n"/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18" t="n"/>
      <c r="K248" s="22" t="n"/>
    </row>
    <row r="249">
      <c r="A249" s="19" t="n"/>
      <c r="B249" s="25">
        <f>IF(A249="","",CHOOSE(WEEKDAY(A249,2),"월","화","수","목","금","토","일"))</f>
        <v/>
      </c>
      <c r="C249" s="18" t="n"/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18" t="n"/>
      <c r="K249" s="22" t="n"/>
    </row>
    <row r="250">
      <c r="A250" s="19" t="n"/>
      <c r="B250" s="25">
        <f>IF(A250="","",CHOOSE(WEEKDAY(A250,2),"월","화","수","목","금","토","일"))</f>
        <v/>
      </c>
      <c r="C250" s="18" t="n"/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18" t="n"/>
      <c r="K250" s="22" t="n"/>
    </row>
    <row r="251">
      <c r="A251" s="19" t="n"/>
      <c r="B251" s="25">
        <f>IF(A251="","",CHOOSE(WEEKDAY(A251,2),"월","화","수","목","금","토","일"))</f>
        <v/>
      </c>
      <c r="C251" s="18" t="n"/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18" t="n"/>
      <c r="K251" s="22" t="n"/>
    </row>
    <row r="252">
      <c r="A252" s="19" t="n"/>
      <c r="B252" s="25">
        <f>IF(A252="","",CHOOSE(WEEKDAY(A252,2),"월","화","수","목","금","토","일"))</f>
        <v/>
      </c>
      <c r="C252" s="18" t="n"/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18" t="n"/>
      <c r="K252" s="22" t="n"/>
    </row>
    <row r="253">
      <c r="A253" s="19" t="n"/>
      <c r="B253" s="25">
        <f>IF(A253="","",CHOOSE(WEEKDAY(A253,2),"월","화","수","목","금","토","일"))</f>
        <v/>
      </c>
      <c r="C253" s="18" t="n"/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18" t="n"/>
      <c r="K253" s="22" t="n"/>
    </row>
    <row r="254">
      <c r="A254" s="19" t="n"/>
      <c r="B254" s="25">
        <f>IF(A254="","",CHOOSE(WEEKDAY(A254,2),"월","화","수","목","금","토","일"))</f>
        <v/>
      </c>
      <c r="C254" s="18" t="n"/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18" t="n"/>
      <c r="K254" s="22" t="n"/>
    </row>
    <row r="255">
      <c r="A255" s="19" t="n"/>
      <c r="B255" s="25">
        <f>IF(A255="","",CHOOSE(WEEKDAY(A255,2),"월","화","수","목","금","토","일"))</f>
        <v/>
      </c>
      <c r="C255" s="18" t="n"/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18" t="n"/>
      <c r="K255" s="22" t="n"/>
    </row>
    <row r="256">
      <c r="A256" s="19" t="n"/>
      <c r="B256" s="25">
        <f>IF(A256="","",CHOOSE(WEEKDAY(A256,2),"월","화","수","목","금","토","일"))</f>
        <v/>
      </c>
      <c r="C256" s="18" t="n"/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18" t="n"/>
      <c r="K256" s="22" t="n"/>
    </row>
    <row r="257">
      <c r="A257" s="19" t="n"/>
      <c r="B257" s="25">
        <f>IF(A257="","",CHOOSE(WEEKDAY(A257,2),"월","화","수","목","금","토","일"))</f>
        <v/>
      </c>
      <c r="C257" s="18" t="n"/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18" t="n"/>
      <c r="K257" s="22" t="n"/>
    </row>
    <row r="258">
      <c r="A258" s="19" t="n"/>
      <c r="B258" s="25">
        <f>IF(A258="","",CHOOSE(WEEKDAY(A258,2),"월","화","수","목","금","토","일"))</f>
        <v/>
      </c>
      <c r="C258" s="18" t="n"/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18" t="n"/>
      <c r="K258" s="22" t="n"/>
    </row>
    <row r="259">
      <c r="A259" s="19" t="n"/>
      <c r="B259" s="25">
        <f>IF(A259="","",CHOOSE(WEEKDAY(A259,2),"월","화","수","목","금","토","일"))</f>
        <v/>
      </c>
      <c r="C259" s="18" t="n"/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18" t="n"/>
      <c r="K259" s="22" t="n"/>
    </row>
    <row r="260">
      <c r="A260" s="19" t="n"/>
      <c r="B260" s="25">
        <f>IF(A260="","",CHOOSE(WEEKDAY(A260,2),"월","화","수","목","금","토","일"))</f>
        <v/>
      </c>
      <c r="C260" s="18" t="n"/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18" t="n"/>
      <c r="K260" s="22" t="n"/>
    </row>
    <row r="261">
      <c r="A261" s="19" t="n"/>
      <c r="B261" s="25">
        <f>IF(A261="","",CHOOSE(WEEKDAY(A261,2),"월","화","수","목","금","토","일"))</f>
        <v/>
      </c>
      <c r="C261" s="18" t="n"/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18" t="n"/>
      <c r="K261" s="22" t="n"/>
    </row>
    <row r="262">
      <c r="A262" s="19" t="n"/>
      <c r="B262" s="25">
        <f>IF(A262="","",CHOOSE(WEEKDAY(A262,2),"월","화","수","목","금","토","일"))</f>
        <v/>
      </c>
      <c r="C262" s="18" t="n"/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18" t="n"/>
      <c r="K262" s="22" t="n"/>
    </row>
    <row r="263">
      <c r="A263" s="19" t="n"/>
      <c r="B263" s="25">
        <f>IF(A263="","",CHOOSE(WEEKDAY(A263,2),"월","화","수","목","금","토","일"))</f>
        <v/>
      </c>
      <c r="C263" s="18" t="n"/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18" t="n"/>
      <c r="K263" s="22" t="n"/>
    </row>
    <row r="264">
      <c r="A264" s="19" t="n"/>
      <c r="B264" s="25">
        <f>IF(A264="","",CHOOSE(WEEKDAY(A264,2),"월","화","수","목","금","토","일"))</f>
        <v/>
      </c>
      <c r="C264" s="18" t="n"/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18" t="n"/>
      <c r="K264" s="22" t="n"/>
    </row>
    <row r="265">
      <c r="A265" s="19" t="n"/>
      <c r="B265" s="25">
        <f>IF(A265="","",CHOOSE(WEEKDAY(A265,2),"월","화","수","목","금","토","일"))</f>
        <v/>
      </c>
      <c r="C265" s="18" t="n"/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18" t="n"/>
      <c r="K265" s="22" t="n"/>
    </row>
    <row r="266">
      <c r="A266" s="19" t="n"/>
      <c r="B266" s="25">
        <f>IF(A266="","",CHOOSE(WEEKDAY(A266,2),"월","화","수","목","금","토","일"))</f>
        <v/>
      </c>
      <c r="C266" s="18" t="n"/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18" t="n"/>
      <c r="K266" s="22" t="n"/>
    </row>
    <row r="267">
      <c r="A267" s="19" t="n"/>
      <c r="B267" s="25">
        <f>IF(A267="","",CHOOSE(WEEKDAY(A267,2),"월","화","수","목","금","토","일"))</f>
        <v/>
      </c>
      <c r="C267" s="18" t="n"/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18" t="n"/>
      <c r="K267" s="22" t="n"/>
    </row>
    <row r="268">
      <c r="A268" s="19" t="n"/>
      <c r="B268" s="25">
        <f>IF(A268="","",CHOOSE(WEEKDAY(A268,2),"월","화","수","목","금","토","일"))</f>
        <v/>
      </c>
      <c r="C268" s="18" t="n"/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18" t="n"/>
      <c r="K268" s="22" t="n"/>
    </row>
    <row r="269">
      <c r="A269" s="19" t="n"/>
      <c r="B269" s="25">
        <f>IF(A269="","",CHOOSE(WEEKDAY(A269,2),"월","화","수","목","금","토","일"))</f>
        <v/>
      </c>
      <c r="C269" s="18" t="n"/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18" t="n"/>
      <c r="K269" s="22" t="n"/>
    </row>
    <row r="270">
      <c r="A270" s="19" t="n"/>
      <c r="B270" s="25">
        <f>IF(A270="","",CHOOSE(WEEKDAY(A270,2),"월","화","수","목","금","토","일"))</f>
        <v/>
      </c>
      <c r="C270" s="18" t="n"/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18" t="n"/>
      <c r="K270" s="22" t="n"/>
    </row>
    <row r="271">
      <c r="A271" s="19" t="n"/>
      <c r="B271" s="25">
        <f>IF(A271="","",CHOOSE(WEEKDAY(A271,2),"월","화","수","목","금","토","일"))</f>
        <v/>
      </c>
      <c r="C271" s="18" t="n"/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18" t="n"/>
      <c r="K271" s="22" t="n"/>
    </row>
    <row r="272">
      <c r="A272" s="19" t="n"/>
      <c r="B272" s="25">
        <f>IF(A272="","",CHOOSE(WEEKDAY(A272,2),"월","화","수","목","금","토","일"))</f>
        <v/>
      </c>
      <c r="C272" s="18" t="n"/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18" t="n"/>
      <c r="K272" s="22" t="n"/>
    </row>
    <row r="273">
      <c r="A273" s="19" t="n"/>
      <c r="B273" s="25">
        <f>IF(A273="","",CHOOSE(WEEKDAY(A273,2),"월","화","수","목","금","토","일"))</f>
        <v/>
      </c>
      <c r="C273" s="18" t="n"/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18" t="n"/>
      <c r="K273" s="22" t="n"/>
    </row>
    <row r="274">
      <c r="A274" s="19" t="n"/>
      <c r="B274" s="25">
        <f>IF(A274="","",CHOOSE(WEEKDAY(A274,2),"월","화","수","목","금","토","일"))</f>
        <v/>
      </c>
      <c r="C274" s="18" t="n"/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18" t="n"/>
      <c r="K274" s="22" t="n"/>
    </row>
    <row r="275">
      <c r="A275" s="19" t="n"/>
      <c r="B275" s="25">
        <f>IF(A275="","",CHOOSE(WEEKDAY(A275,2),"월","화","수","목","금","토","일"))</f>
        <v/>
      </c>
      <c r="C275" s="18" t="n"/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18" t="n"/>
      <c r="K275" s="22" t="n"/>
    </row>
    <row r="276">
      <c r="A276" s="19" t="n"/>
      <c r="B276" s="25">
        <f>IF(A276="","",CHOOSE(WEEKDAY(A276,2),"월","화","수","목","금","토","일"))</f>
        <v/>
      </c>
      <c r="C276" s="18" t="n"/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18" t="n"/>
      <c r="K276" s="22" t="n"/>
    </row>
    <row r="277">
      <c r="A277" s="19" t="n"/>
      <c r="B277" s="25">
        <f>IF(A277="","",CHOOSE(WEEKDAY(A277,2),"월","화","수","목","금","토","일"))</f>
        <v/>
      </c>
      <c r="C277" s="18" t="n"/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18" t="n"/>
      <c r="K277" s="22" t="n"/>
    </row>
    <row r="278">
      <c r="A278" s="19" t="n"/>
      <c r="B278" s="25">
        <f>IF(A278="","",CHOOSE(WEEKDAY(A278,2),"월","화","수","목","금","토","일"))</f>
        <v/>
      </c>
      <c r="C278" s="18" t="n"/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18" t="n"/>
      <c r="K278" s="22" t="n"/>
    </row>
    <row r="279">
      <c r="A279" s="19" t="n"/>
      <c r="B279" s="25">
        <f>IF(A279="","",CHOOSE(WEEKDAY(A279,2),"월","화","수","목","금","토","일"))</f>
        <v/>
      </c>
      <c r="C279" s="18" t="n"/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18" t="n"/>
      <c r="K279" s="22" t="n"/>
    </row>
    <row r="280">
      <c r="A280" s="19" t="n"/>
      <c r="B280" s="25">
        <f>IF(A280="","",CHOOSE(WEEKDAY(A280,2),"월","화","수","목","금","토","일"))</f>
        <v/>
      </c>
      <c r="C280" s="18" t="n"/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18" t="n"/>
      <c r="K280" s="22" t="n"/>
    </row>
    <row r="281">
      <c r="A281" s="19" t="n"/>
      <c r="B281" s="25">
        <f>IF(A281="","",CHOOSE(WEEKDAY(A281,2),"월","화","수","목","금","토","일"))</f>
        <v/>
      </c>
      <c r="C281" s="18" t="n"/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18" t="n"/>
      <c r="K281" s="22" t="n"/>
    </row>
    <row r="282">
      <c r="A282" s="19" t="n"/>
      <c r="B282" s="25">
        <f>IF(A282="","",CHOOSE(WEEKDAY(A282,2),"월","화","수","목","금","토","일"))</f>
        <v/>
      </c>
      <c r="C282" s="18" t="n"/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18" t="n"/>
      <c r="K282" s="22" t="n"/>
    </row>
    <row r="283">
      <c r="A283" s="19" t="n"/>
      <c r="B283" s="25">
        <f>IF(A283="","",CHOOSE(WEEKDAY(A283,2),"월","화","수","목","금","토","일"))</f>
        <v/>
      </c>
      <c r="C283" s="18" t="n"/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18" t="n"/>
      <c r="K283" s="22" t="n"/>
    </row>
    <row r="284">
      <c r="A284" s="19" t="n"/>
      <c r="B284" s="25">
        <f>IF(A284="","",CHOOSE(WEEKDAY(A284,2),"월","화","수","목","금","토","일"))</f>
        <v/>
      </c>
      <c r="C284" s="18" t="n"/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18" t="n"/>
      <c r="K284" s="22" t="n"/>
    </row>
    <row r="285">
      <c r="A285" s="19" t="n"/>
      <c r="B285" s="25">
        <f>IF(A285="","",CHOOSE(WEEKDAY(A285,2),"월","화","수","목","금","토","일"))</f>
        <v/>
      </c>
      <c r="C285" s="18" t="n"/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18" t="n"/>
      <c r="K285" s="22" t="n"/>
    </row>
    <row r="286">
      <c r="A286" s="19" t="n"/>
      <c r="B286" s="25">
        <f>IF(A286="","",CHOOSE(WEEKDAY(A286,2),"월","화","수","목","금","토","일"))</f>
        <v/>
      </c>
      <c r="C286" s="18" t="n"/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18" t="n"/>
      <c r="K286" s="22" t="n"/>
    </row>
    <row r="287">
      <c r="A287" s="19" t="n"/>
      <c r="B287" s="25">
        <f>IF(A287="","",CHOOSE(WEEKDAY(A287,2),"월","화","수","목","금","토","일"))</f>
        <v/>
      </c>
      <c r="C287" s="18" t="n"/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18" t="n"/>
      <c r="K287" s="22" t="n"/>
    </row>
    <row r="288">
      <c r="A288" s="19" t="n"/>
      <c r="B288" s="25">
        <f>IF(A288="","",CHOOSE(WEEKDAY(A288,2),"월","화","수","목","금","토","일"))</f>
        <v/>
      </c>
      <c r="C288" s="18" t="n"/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18" t="n"/>
      <c r="K288" s="22" t="n"/>
    </row>
    <row r="289">
      <c r="A289" s="19" t="n"/>
      <c r="B289" s="25">
        <f>IF(A289="","",CHOOSE(WEEKDAY(A289,2),"월","화","수","목","금","토","일"))</f>
        <v/>
      </c>
      <c r="C289" s="18" t="n"/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18" t="n"/>
      <c r="K289" s="22" t="n"/>
    </row>
    <row r="290">
      <c r="A290" s="19" t="n"/>
      <c r="B290" s="25">
        <f>IF(A290="","",CHOOSE(WEEKDAY(A290,2),"월","화","수","목","금","토","일"))</f>
        <v/>
      </c>
      <c r="C290" s="18" t="n"/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18" t="n"/>
      <c r="K290" s="22" t="n"/>
    </row>
    <row r="291">
      <c r="A291" s="19" t="n"/>
      <c r="B291" s="25">
        <f>IF(A291="","",CHOOSE(WEEKDAY(A291,2),"월","화","수","목","금","토","일"))</f>
        <v/>
      </c>
      <c r="C291" s="18" t="n"/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18" t="n"/>
      <c r="K291" s="22" t="n"/>
    </row>
    <row r="292">
      <c r="A292" s="19" t="n"/>
      <c r="B292" s="25">
        <f>IF(A292="","",CHOOSE(WEEKDAY(A292,2),"월","화","수","목","금","토","일"))</f>
        <v/>
      </c>
      <c r="C292" s="18" t="n"/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18" t="n"/>
      <c r="K292" s="22" t="n"/>
    </row>
    <row r="293">
      <c r="A293" s="19" t="n"/>
      <c r="B293" s="25">
        <f>IF(A293="","",CHOOSE(WEEKDAY(A293,2),"월","화","수","목","금","토","일"))</f>
        <v/>
      </c>
      <c r="C293" s="18" t="n"/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18" t="n"/>
      <c r="K293" s="22" t="n"/>
    </row>
    <row r="294">
      <c r="A294" s="19" t="n"/>
      <c r="B294" s="25">
        <f>IF(A294="","",CHOOSE(WEEKDAY(A294,2),"월","화","수","목","금","토","일"))</f>
        <v/>
      </c>
      <c r="C294" s="18" t="n"/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18" t="n"/>
      <c r="K294" s="22" t="n"/>
    </row>
    <row r="295">
      <c r="A295" s="19" t="n"/>
      <c r="B295" s="25">
        <f>IF(A295="","",CHOOSE(WEEKDAY(A295,2),"월","화","수","목","금","토","일"))</f>
        <v/>
      </c>
      <c r="C295" s="18" t="n"/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18" t="n"/>
      <c r="K295" s="22" t="n"/>
    </row>
    <row r="296">
      <c r="A296" s="19" t="n"/>
      <c r="B296" s="25">
        <f>IF(A296="","",CHOOSE(WEEKDAY(A296,2),"월","화","수","목","금","토","일"))</f>
        <v/>
      </c>
      <c r="C296" s="18" t="n"/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18" t="n"/>
      <c r="K296" s="22" t="n"/>
    </row>
    <row r="297">
      <c r="A297" s="19" t="n"/>
      <c r="B297" s="25">
        <f>IF(A297="","",CHOOSE(WEEKDAY(A297,2),"월","화","수","목","금","토","일"))</f>
        <v/>
      </c>
      <c r="C297" s="18" t="n"/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18" t="n"/>
      <c r="K297" s="22" t="n"/>
    </row>
    <row r="298">
      <c r="A298" s="19" t="n"/>
      <c r="B298" s="25">
        <f>IF(A298="","",CHOOSE(WEEKDAY(A298,2),"월","화","수","목","금","토","일"))</f>
        <v/>
      </c>
      <c r="C298" s="18" t="n"/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18" t="n"/>
      <c r="K298" s="22" t="n"/>
    </row>
    <row r="299">
      <c r="A299" s="19" t="n"/>
      <c r="B299" s="25">
        <f>IF(A299="","",CHOOSE(WEEKDAY(A299,2),"월","화","수","목","금","토","일"))</f>
        <v/>
      </c>
      <c r="C299" s="18" t="n"/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18" t="n"/>
      <c r="K299" s="22" t="n"/>
    </row>
    <row r="300">
      <c r="A300" s="19" t="n"/>
      <c r="B300" s="25">
        <f>IF(A300="","",CHOOSE(WEEKDAY(A300,2),"월","화","수","목","금","토","일"))</f>
        <v/>
      </c>
      <c r="C300" s="18" t="n"/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18" t="n"/>
      <c r="K300" s="22" t="n"/>
    </row>
    <row r="301">
      <c r="A301" s="19" t="n"/>
      <c r="B301" s="25">
        <f>IF(A301="","",CHOOSE(WEEKDAY(A301,2),"월","화","수","목","금","토","일"))</f>
        <v/>
      </c>
      <c r="C301" s="18" t="n"/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18" t="n"/>
      <c r="K301" s="22" t="n"/>
    </row>
    <row r="302">
      <c r="A302" s="19" t="n"/>
      <c r="B302" s="25">
        <f>IF(A302="","",CHOOSE(WEEKDAY(A302,2),"월","화","수","목","금","토","일"))</f>
        <v/>
      </c>
      <c r="C302" s="18" t="n"/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18" t="n"/>
      <c r="K302" s="22" t="n"/>
    </row>
    <row r="303">
      <c r="A303" s="19" t="n"/>
      <c r="B303" s="25">
        <f>IF(A303="","",CHOOSE(WEEKDAY(A303,2),"월","화","수","목","금","토","일"))</f>
        <v/>
      </c>
      <c r="C303" s="18" t="n"/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18" t="n"/>
      <c r="K303" s="22" t="n"/>
    </row>
    <row r="304">
      <c r="A304" s="19" t="n"/>
      <c r="B304" s="25">
        <f>IF(A304="","",CHOOSE(WEEKDAY(A304,2),"월","화","수","목","금","토","일"))</f>
        <v/>
      </c>
      <c r="C304" s="18" t="n"/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18" t="n"/>
      <c r="K304" s="22" t="n"/>
    </row>
    <row r="305">
      <c r="A305" s="19" t="n"/>
      <c r="B305" s="25">
        <f>IF(A305="","",CHOOSE(WEEKDAY(A305,2),"월","화","수","목","금","토","일"))</f>
        <v/>
      </c>
      <c r="C305" s="18" t="n"/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18" t="n"/>
      <c r="K305" s="22" t="n"/>
    </row>
    <row r="306">
      <c r="A306" s="19" t="n"/>
      <c r="B306" s="25">
        <f>IF(A306="","",CHOOSE(WEEKDAY(A306,2),"월","화","수","목","금","토","일"))</f>
        <v/>
      </c>
      <c r="C306" s="18" t="n"/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18" t="n"/>
      <c r="K306" s="22" t="n"/>
    </row>
    <row r="307">
      <c r="A307" s="19" t="n"/>
      <c r="B307" s="25">
        <f>IF(A307="","",CHOOSE(WEEKDAY(A307,2),"월","화","수","목","금","토","일"))</f>
        <v/>
      </c>
      <c r="C307" s="18" t="n"/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18" t="n"/>
      <c r="K307" s="22" t="n"/>
    </row>
    <row r="308">
      <c r="A308" s="19" t="n"/>
      <c r="B308" s="25">
        <f>IF(A308="","",CHOOSE(WEEKDAY(A308,2),"월","화","수","목","금","토","일"))</f>
        <v/>
      </c>
      <c r="C308" s="18" t="n"/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18" t="n"/>
      <c r="K308" s="22" t="n"/>
    </row>
    <row r="309">
      <c r="A309" s="19" t="n"/>
      <c r="B309" s="25">
        <f>IF(A309="","",CHOOSE(WEEKDAY(A309,2),"월","화","수","목","금","토","일"))</f>
        <v/>
      </c>
      <c r="C309" s="18" t="n"/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18" t="n"/>
      <c r="K309" s="22" t="n"/>
    </row>
    <row r="310">
      <c r="A310" s="19" t="n"/>
      <c r="B310" s="25">
        <f>IF(A310="","",CHOOSE(WEEKDAY(A310,2),"월","화","수","목","금","토","일"))</f>
        <v/>
      </c>
      <c r="C310" s="18" t="n"/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18" t="n"/>
      <c r="K310" s="22" t="n"/>
    </row>
    <row r="311">
      <c r="A311" s="19" t="n"/>
      <c r="B311" s="25">
        <f>IF(A311="","",CHOOSE(WEEKDAY(A311,2),"월","화","수","목","금","토","일"))</f>
        <v/>
      </c>
      <c r="C311" s="18" t="n"/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18" t="n"/>
      <c r="K311" s="22" t="n"/>
    </row>
    <row r="312">
      <c r="A312" s="19" t="n"/>
      <c r="B312" s="25">
        <f>IF(A312="","",CHOOSE(WEEKDAY(A312,2),"월","화","수","목","금","토","일"))</f>
        <v/>
      </c>
      <c r="C312" s="18" t="n"/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18" t="n"/>
      <c r="K312" s="22" t="n"/>
    </row>
    <row r="313">
      <c r="A313" s="19" t="n"/>
      <c r="B313" s="25">
        <f>IF(A313="","",CHOOSE(WEEKDAY(A313,2),"월","화","수","목","금","토","일"))</f>
        <v/>
      </c>
      <c r="C313" s="18" t="n"/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18" t="n"/>
      <c r="K313" s="22" t="n"/>
    </row>
    <row r="314">
      <c r="A314" s="19" t="n"/>
      <c r="B314" s="25">
        <f>IF(A314="","",CHOOSE(WEEKDAY(A314,2),"월","화","수","목","금","토","일"))</f>
        <v/>
      </c>
      <c r="C314" s="18" t="n"/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18" t="n"/>
      <c r="K314" s="22" t="n"/>
    </row>
    <row r="315">
      <c r="A315" s="19" t="n"/>
      <c r="B315" s="25">
        <f>IF(A315="","",CHOOSE(WEEKDAY(A315,2),"월","화","수","목","금","토","일"))</f>
        <v/>
      </c>
      <c r="C315" s="18" t="n"/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18" t="n"/>
      <c r="K315" s="22" t="n"/>
    </row>
    <row r="316">
      <c r="A316" s="19" t="n"/>
      <c r="B316" s="25">
        <f>IF(A316="","",CHOOSE(WEEKDAY(A316,2),"월","화","수","목","금","토","일"))</f>
        <v/>
      </c>
      <c r="C316" s="18" t="n"/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18" t="n"/>
      <c r="K316" s="22" t="n"/>
    </row>
    <row r="317">
      <c r="A317" s="19" t="n"/>
      <c r="B317" s="25">
        <f>IF(A317="","",CHOOSE(WEEKDAY(A317,2),"월","화","수","목","금","토","일"))</f>
        <v/>
      </c>
      <c r="C317" s="18" t="n"/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18" t="n"/>
      <c r="K317" s="22" t="n"/>
    </row>
    <row r="318">
      <c r="A318" s="19" t="n"/>
      <c r="B318" s="25">
        <f>IF(A318="","",CHOOSE(WEEKDAY(A318,2),"월","화","수","목","금","토","일"))</f>
        <v/>
      </c>
      <c r="C318" s="18" t="n"/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18" t="n"/>
      <c r="K318" s="22" t="n"/>
    </row>
    <row r="319">
      <c r="A319" s="19" t="n"/>
      <c r="B319" s="25">
        <f>IF(A319="","",CHOOSE(WEEKDAY(A319,2),"월","화","수","목","금","토","일"))</f>
        <v/>
      </c>
      <c r="C319" s="18" t="n"/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18" t="n"/>
      <c r="K319" s="22" t="n"/>
    </row>
    <row r="320">
      <c r="A320" s="19" t="n"/>
      <c r="B320" s="25">
        <f>IF(A320="","",CHOOSE(WEEKDAY(A320,2),"월","화","수","목","금","토","일"))</f>
        <v/>
      </c>
      <c r="C320" s="18" t="n"/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18" t="n"/>
      <c r="K320" s="22" t="n"/>
    </row>
    <row r="321">
      <c r="A321" s="19" t="n"/>
      <c r="B321" s="25">
        <f>IF(A321="","",CHOOSE(WEEKDAY(A321,2),"월","화","수","목","금","토","일"))</f>
        <v/>
      </c>
      <c r="C321" s="18" t="n"/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18" t="n"/>
      <c r="K321" s="22" t="n"/>
    </row>
    <row r="322">
      <c r="A322" s="19" t="n"/>
      <c r="B322" s="25">
        <f>IF(A322="","",CHOOSE(WEEKDAY(A322,2),"월","화","수","목","금","토","일"))</f>
        <v/>
      </c>
      <c r="C322" s="18" t="n"/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18" t="n"/>
      <c r="K322" s="22" t="n"/>
    </row>
    <row r="323">
      <c r="A323" s="19" t="n"/>
      <c r="B323" s="25">
        <f>IF(A323="","",CHOOSE(WEEKDAY(A323,2),"월","화","수","목","금","토","일"))</f>
        <v/>
      </c>
      <c r="C323" s="18" t="n"/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18" t="n"/>
      <c r="K323" s="22" t="n"/>
    </row>
    <row r="324">
      <c r="A324" s="19" t="n"/>
      <c r="B324" s="25">
        <f>IF(A324="","",CHOOSE(WEEKDAY(A324,2),"월","화","수","목","금","토","일"))</f>
        <v/>
      </c>
      <c r="C324" s="18" t="n"/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18" t="n"/>
      <c r="K324" s="22" t="n"/>
    </row>
    <row r="325">
      <c r="A325" s="19" t="n"/>
      <c r="B325" s="25">
        <f>IF(A325="","",CHOOSE(WEEKDAY(A325,2),"월","화","수","목","금","토","일"))</f>
        <v/>
      </c>
      <c r="C325" s="18" t="n"/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18" t="n"/>
      <c r="K325" s="22" t="n"/>
    </row>
    <row r="326">
      <c r="A326" s="19" t="n"/>
      <c r="B326" s="25">
        <f>IF(A326="","",CHOOSE(WEEKDAY(A326,2),"월","화","수","목","금","토","일"))</f>
        <v/>
      </c>
      <c r="C326" s="18" t="n"/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18" t="n"/>
      <c r="K326" s="22" t="n"/>
    </row>
    <row r="327">
      <c r="A327" s="19" t="n"/>
      <c r="B327" s="25">
        <f>IF(A327="","",CHOOSE(WEEKDAY(A327,2),"월","화","수","목","금","토","일"))</f>
        <v/>
      </c>
      <c r="C327" s="18" t="n"/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18" t="n"/>
      <c r="K327" s="22" t="n"/>
    </row>
    <row r="328">
      <c r="A328" s="19" t="n"/>
      <c r="B328" s="25">
        <f>IF(A328="","",CHOOSE(WEEKDAY(A328,2),"월","화","수","목","금","토","일"))</f>
        <v/>
      </c>
      <c r="C328" s="18" t="n"/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18" t="n"/>
      <c r="K328" s="22" t="n"/>
    </row>
    <row r="329">
      <c r="A329" s="19" t="n"/>
      <c r="B329" s="25">
        <f>IF(A329="","",CHOOSE(WEEKDAY(A329,2),"월","화","수","목","금","토","일"))</f>
        <v/>
      </c>
      <c r="C329" s="18" t="n"/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18" t="n"/>
      <c r="K329" s="22" t="n"/>
    </row>
    <row r="330">
      <c r="A330" s="19" t="n"/>
      <c r="B330" s="25">
        <f>IF(A330="","",CHOOSE(WEEKDAY(A330,2),"월","화","수","목","금","토","일"))</f>
        <v/>
      </c>
      <c r="C330" s="18" t="n"/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18" t="n"/>
      <c r="K330" s="22" t="n"/>
    </row>
    <row r="331">
      <c r="A331" s="19" t="n"/>
      <c r="B331" s="25">
        <f>IF(A331="","",CHOOSE(WEEKDAY(A331,2),"월","화","수","목","금","토","일"))</f>
        <v/>
      </c>
      <c r="C331" s="18" t="n"/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18" t="n"/>
      <c r="K331" s="22" t="n"/>
    </row>
    <row r="332">
      <c r="A332" s="19" t="n"/>
      <c r="B332" s="25">
        <f>IF(A332="","",CHOOSE(WEEKDAY(A332,2),"월","화","수","목","금","토","일"))</f>
        <v/>
      </c>
      <c r="C332" s="18" t="n"/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18" t="n"/>
      <c r="K332" s="22" t="n"/>
    </row>
    <row r="333">
      <c r="A333" s="19" t="n"/>
      <c r="B333" s="25">
        <f>IF(A333="","",CHOOSE(WEEKDAY(A333,2),"월","화","수","목","금","토","일"))</f>
        <v/>
      </c>
      <c r="C333" s="18" t="n"/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18" t="n"/>
      <c r="K333" s="22" t="n"/>
    </row>
    <row r="334">
      <c r="A334" s="19" t="n"/>
      <c r="B334" s="25">
        <f>IF(A334="","",CHOOSE(WEEKDAY(A334,2),"월","화","수","목","금","토","일"))</f>
        <v/>
      </c>
      <c r="C334" s="18" t="n"/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18" t="n"/>
      <c r="K334" s="22" t="n"/>
    </row>
    <row r="335">
      <c r="A335" s="19" t="n"/>
      <c r="B335" s="25">
        <f>IF(A335="","",CHOOSE(WEEKDAY(A335,2),"월","화","수","목","금","토","일"))</f>
        <v/>
      </c>
      <c r="C335" s="18" t="n"/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18" t="n"/>
      <c r="K335" s="22" t="n"/>
    </row>
    <row r="336">
      <c r="A336" s="19" t="n"/>
      <c r="B336" s="25">
        <f>IF(A336="","",CHOOSE(WEEKDAY(A336,2),"월","화","수","목","금","토","일"))</f>
        <v/>
      </c>
      <c r="C336" s="18" t="n"/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18" t="n"/>
      <c r="K336" s="22" t="n"/>
    </row>
    <row r="337">
      <c r="A337" s="19" t="n"/>
      <c r="B337" s="25">
        <f>IF(A337="","",CHOOSE(WEEKDAY(A337,2),"월","화","수","목","금","토","일"))</f>
        <v/>
      </c>
      <c r="C337" s="18" t="n"/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18" t="n"/>
      <c r="K337" s="22" t="n"/>
    </row>
    <row r="338">
      <c r="A338" s="19" t="n"/>
      <c r="B338" s="25">
        <f>IF(A338="","",CHOOSE(WEEKDAY(A338,2),"월","화","수","목","금","토","일"))</f>
        <v/>
      </c>
      <c r="C338" s="18" t="n"/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18" t="n"/>
      <c r="K338" s="22" t="n"/>
    </row>
    <row r="339">
      <c r="A339" s="19" t="n"/>
      <c r="B339" s="25">
        <f>IF(A339="","",CHOOSE(WEEKDAY(A339,2),"월","화","수","목","금","토","일"))</f>
        <v/>
      </c>
      <c r="C339" s="18" t="n"/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18" t="n"/>
      <c r="K339" s="22" t="n"/>
    </row>
    <row r="340">
      <c r="A340" s="19" t="n"/>
      <c r="B340" s="25">
        <f>IF(A340="","",CHOOSE(WEEKDAY(A340,2),"월","화","수","목","금","토","일"))</f>
        <v/>
      </c>
      <c r="C340" s="18" t="n"/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18" t="n"/>
      <c r="K340" s="22" t="n"/>
    </row>
    <row r="341">
      <c r="A341" s="19" t="n"/>
      <c r="B341" s="25">
        <f>IF(A341="","",CHOOSE(WEEKDAY(A341,2),"월","화","수","목","금","토","일"))</f>
        <v/>
      </c>
      <c r="C341" s="18" t="n"/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18" t="n"/>
      <c r="K341" s="22" t="n"/>
    </row>
    <row r="342">
      <c r="A342" s="19" t="n"/>
      <c r="B342" s="25">
        <f>IF(A342="","",CHOOSE(WEEKDAY(A342,2),"월","화","수","목","금","토","일"))</f>
        <v/>
      </c>
      <c r="C342" s="18" t="n"/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18" t="n"/>
      <c r="K342" s="22" t="n"/>
    </row>
    <row r="343">
      <c r="A343" s="19" t="n"/>
      <c r="B343" s="25">
        <f>IF(A343="","",CHOOSE(WEEKDAY(A343,2),"월","화","수","목","금","토","일"))</f>
        <v/>
      </c>
      <c r="C343" s="18" t="n"/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18" t="n"/>
      <c r="K343" s="22" t="n"/>
    </row>
    <row r="344">
      <c r="A344" s="19" t="n"/>
      <c r="B344" s="25">
        <f>IF(A344="","",CHOOSE(WEEKDAY(A344,2),"월","화","수","목","금","토","일"))</f>
        <v/>
      </c>
      <c r="C344" s="18" t="n"/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18" t="n"/>
      <c r="K344" s="22" t="n"/>
    </row>
    <row r="345">
      <c r="A345" s="19" t="n"/>
      <c r="B345" s="25">
        <f>IF(A345="","",CHOOSE(WEEKDAY(A345,2),"월","화","수","목","금","토","일"))</f>
        <v/>
      </c>
      <c r="C345" s="18" t="n"/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18" t="n"/>
      <c r="K345" s="22" t="n"/>
    </row>
    <row r="346">
      <c r="A346" s="19" t="n"/>
      <c r="B346" s="25">
        <f>IF(A346="","",CHOOSE(WEEKDAY(A346,2),"월","화","수","목","금","토","일"))</f>
        <v/>
      </c>
      <c r="C346" s="18" t="n"/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18" t="n"/>
      <c r="K346" s="22" t="n"/>
    </row>
    <row r="347">
      <c r="A347" s="19" t="n"/>
      <c r="B347" s="25">
        <f>IF(A347="","",CHOOSE(WEEKDAY(A347,2),"월","화","수","목","금","토","일"))</f>
        <v/>
      </c>
      <c r="C347" s="18" t="n"/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18" t="n"/>
      <c r="K347" s="22" t="n"/>
    </row>
    <row r="348">
      <c r="A348" s="19" t="n"/>
      <c r="B348" s="25">
        <f>IF(A348="","",CHOOSE(WEEKDAY(A348,2),"월","화","수","목","금","토","일"))</f>
        <v/>
      </c>
      <c r="C348" s="18" t="n"/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18" t="n"/>
      <c r="K348" s="22" t="n"/>
    </row>
    <row r="349">
      <c r="A349" s="19" t="n"/>
      <c r="B349" s="25">
        <f>IF(A349="","",CHOOSE(WEEKDAY(A349,2),"월","화","수","목","금","토","일"))</f>
        <v/>
      </c>
      <c r="C349" s="18" t="n"/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18" t="n"/>
      <c r="K349" s="22" t="n"/>
    </row>
    <row r="350">
      <c r="A350" s="19" t="n"/>
      <c r="B350" s="25">
        <f>IF(A350="","",CHOOSE(WEEKDAY(A350,2),"월","화","수","목","금","토","일"))</f>
        <v/>
      </c>
      <c r="C350" s="18" t="n"/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18" t="n"/>
      <c r="K350" s="22" t="n"/>
    </row>
    <row r="351">
      <c r="A351" s="19" t="n"/>
      <c r="B351" s="25">
        <f>IF(A351="","",CHOOSE(WEEKDAY(A351,2),"월","화","수","목","금","토","일"))</f>
        <v/>
      </c>
      <c r="C351" s="18" t="n"/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18" t="n"/>
      <c r="K351" s="22" t="n"/>
    </row>
    <row r="352">
      <c r="A352" s="19" t="n"/>
      <c r="B352" s="25">
        <f>IF(A352="","",CHOOSE(WEEKDAY(A352,2),"월","화","수","목","금","토","일"))</f>
        <v/>
      </c>
      <c r="C352" s="18" t="n"/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18" t="n"/>
      <c r="K352" s="22" t="n"/>
    </row>
    <row r="353">
      <c r="A353" s="19" t="n"/>
      <c r="B353" s="25">
        <f>IF(A353="","",CHOOSE(WEEKDAY(A353,2),"월","화","수","목","금","토","일"))</f>
        <v/>
      </c>
      <c r="C353" s="18" t="n"/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18" t="n"/>
      <c r="K353" s="22" t="n"/>
    </row>
    <row r="354">
      <c r="A354" s="19" t="n"/>
      <c r="B354" s="25">
        <f>IF(A354="","",CHOOSE(WEEKDAY(A354,2),"월","화","수","목","금","토","일"))</f>
        <v/>
      </c>
      <c r="C354" s="18" t="n"/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18" t="n"/>
      <c r="K354" s="22" t="n"/>
    </row>
    <row r="355">
      <c r="A355" s="19" t="n"/>
      <c r="B355" s="25">
        <f>IF(A355="","",CHOOSE(WEEKDAY(A355,2),"월","화","수","목","금","토","일"))</f>
        <v/>
      </c>
      <c r="C355" s="18" t="n"/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18" t="n"/>
      <c r="K355" s="22" t="n"/>
    </row>
    <row r="356">
      <c r="A356" s="19" t="n"/>
      <c r="B356" s="25">
        <f>IF(A356="","",CHOOSE(WEEKDAY(A356,2),"월","화","수","목","금","토","일"))</f>
        <v/>
      </c>
      <c r="C356" s="18" t="n"/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18" t="n"/>
      <c r="K356" s="22" t="n"/>
    </row>
    <row r="357">
      <c r="A357" s="19" t="n"/>
      <c r="B357" s="25">
        <f>IF(A357="","",CHOOSE(WEEKDAY(A357,2),"월","화","수","목","금","토","일"))</f>
        <v/>
      </c>
      <c r="C357" s="18" t="n"/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18" t="n"/>
      <c r="K357" s="22" t="n"/>
    </row>
    <row r="358">
      <c r="A358" s="19" t="n"/>
      <c r="B358" s="25">
        <f>IF(A358="","",CHOOSE(WEEKDAY(A358,2),"월","화","수","목","금","토","일"))</f>
        <v/>
      </c>
      <c r="C358" s="18" t="n"/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18" t="n"/>
      <c r="K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18" t="n"/>
      <c r="K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18" t="n"/>
      <c r="K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18" t="n"/>
      <c r="K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18" t="n"/>
      <c r="K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18" t="n"/>
      <c r="K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18" t="n"/>
      <c r="K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18" t="n"/>
      <c r="K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18" t="n"/>
      <c r="K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18" t="n"/>
      <c r="K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18" t="n"/>
      <c r="K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18" t="n"/>
      <c r="K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18" t="n"/>
      <c r="K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18" t="n"/>
      <c r="K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18" t="n"/>
      <c r="K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18" t="n"/>
      <c r="K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18" t="n"/>
      <c r="K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18" t="n"/>
      <c r="K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18" t="n"/>
      <c r="K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18" t="n"/>
      <c r="K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18" t="n"/>
      <c r="K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18" t="n"/>
      <c r="K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18" t="n"/>
      <c r="K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18" t="n"/>
      <c r="K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18" t="n"/>
      <c r="K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18" t="n"/>
      <c r="K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18" t="n"/>
      <c r="K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18" t="n"/>
      <c r="K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18" t="n"/>
      <c r="K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18" t="n"/>
      <c r="K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18" t="n"/>
      <c r="K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18" t="n"/>
      <c r="K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18" t="n"/>
      <c r="K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18" t="n"/>
      <c r="K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18" t="n"/>
      <c r="K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18" t="n"/>
      <c r="K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18" t="n"/>
      <c r="K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18" t="n"/>
      <c r="K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18" t="n"/>
      <c r="K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18" t="n"/>
      <c r="K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18" t="n"/>
      <c r="K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18" t="n"/>
      <c r="K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18" t="n"/>
      <c r="K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18" t="n"/>
      <c r="K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18" t="n"/>
      <c r="K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18" t="n"/>
      <c r="K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18" t="n"/>
      <c r="K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18" t="n"/>
      <c r="K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18" t="n"/>
      <c r="K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18" t="n"/>
      <c r="K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18" t="n"/>
      <c r="K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18" t="n"/>
      <c r="K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18" t="n"/>
      <c r="K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18" t="n"/>
      <c r="K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18" t="n"/>
      <c r="K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18" t="n"/>
      <c r="K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18" t="n"/>
      <c r="K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18" t="n"/>
      <c r="K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18" t="n"/>
      <c r="K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18" t="n"/>
      <c r="K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18" t="n"/>
      <c r="K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18" t="n"/>
      <c r="K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18" t="n"/>
      <c r="K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18" t="n"/>
      <c r="K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18" t="n"/>
      <c r="K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18" t="n"/>
      <c r="K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18" t="n"/>
      <c r="K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18" t="n"/>
      <c r="K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18" t="n"/>
      <c r="K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18" t="n"/>
      <c r="K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18" t="n"/>
      <c r="K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18" t="n"/>
      <c r="K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18" t="n"/>
      <c r="K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18" t="n"/>
      <c r="K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18" t="n"/>
      <c r="K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18" t="n"/>
      <c r="K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18" t="n"/>
      <c r="K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18" t="n"/>
      <c r="K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18" t="n"/>
      <c r="K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18" t="n"/>
      <c r="K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18" t="n"/>
      <c r="K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18" t="n"/>
      <c r="K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18" t="n"/>
      <c r="K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18" t="n"/>
      <c r="K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18" t="n"/>
      <c r="K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18" t="n"/>
      <c r="K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18" t="n"/>
      <c r="K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18" t="n"/>
      <c r="K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18" t="n"/>
      <c r="K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18" t="n"/>
      <c r="K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18" t="n"/>
      <c r="K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18" t="n"/>
      <c r="K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18" t="n"/>
      <c r="K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18" t="n"/>
      <c r="K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18" t="n"/>
      <c r="K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18" t="n"/>
      <c r="K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18" t="n"/>
      <c r="K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18" t="n"/>
      <c r="K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18" t="n"/>
      <c r="K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18" t="n"/>
      <c r="K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18" t="n"/>
      <c r="K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18" t="n"/>
      <c r="K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18" t="n"/>
      <c r="K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18" t="n"/>
      <c r="K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18" t="n"/>
      <c r="K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18" t="n"/>
      <c r="K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18" t="n"/>
      <c r="K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18" t="n"/>
      <c r="K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18" t="n"/>
      <c r="K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18" t="n"/>
      <c r="K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18" t="n"/>
      <c r="K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18" t="n"/>
      <c r="K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18" t="n"/>
      <c r="K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18" t="n"/>
      <c r="K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18" t="n"/>
      <c r="K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18" t="n"/>
      <c r="K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18" t="n"/>
      <c r="K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18" t="n"/>
      <c r="K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18" t="n"/>
      <c r="K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18" t="n"/>
      <c r="K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18" t="n"/>
      <c r="K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18" t="n"/>
      <c r="K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18" t="n"/>
      <c r="K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18" t="n"/>
      <c r="K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18" t="n"/>
      <c r="K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18" t="n"/>
      <c r="K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18" t="n"/>
      <c r="K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18" t="n"/>
      <c r="K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18" t="n"/>
      <c r="K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18" t="n"/>
      <c r="K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18" t="n"/>
      <c r="K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18" t="n"/>
      <c r="K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18" t="n"/>
      <c r="K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18" t="n"/>
      <c r="K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18" t="n"/>
      <c r="K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18" t="n"/>
      <c r="K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18" t="n"/>
      <c r="K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18" t="n"/>
      <c r="K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18" t="n"/>
      <c r="K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18" t="n"/>
      <c r="K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18" t="n"/>
      <c r="K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18" t="n"/>
      <c r="K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18" t="n"/>
      <c r="K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18" t="n"/>
      <c r="K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18" t="n"/>
      <c r="K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18" t="n"/>
      <c r="K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18" t="n"/>
      <c r="K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18" t="n"/>
      <c r="K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18" t="n"/>
      <c r="K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18" t="n"/>
      <c r="K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18" t="n"/>
      <c r="K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18" t="n"/>
      <c r="K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18" t="n"/>
      <c r="K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18" t="n"/>
      <c r="K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18" t="n"/>
      <c r="K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18" t="n"/>
      <c r="K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18" t="n"/>
      <c r="K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18" t="n"/>
      <c r="K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18" t="n"/>
      <c r="K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18" t="n"/>
      <c r="K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18" t="n"/>
      <c r="K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18" t="n"/>
      <c r="K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18" t="n"/>
      <c r="K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18" t="n"/>
      <c r="K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18" t="n"/>
      <c r="K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18" t="n"/>
      <c r="K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18" t="n"/>
      <c r="K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18" t="n"/>
      <c r="K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18" t="n"/>
      <c r="K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18" t="n"/>
      <c r="K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18" t="n"/>
      <c r="K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18" t="n"/>
      <c r="K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18" t="n"/>
      <c r="K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18" t="n"/>
      <c r="K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18" t="n"/>
      <c r="K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18" t="n"/>
      <c r="K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18" t="n"/>
      <c r="K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18" t="n"/>
      <c r="K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18" t="n"/>
      <c r="K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18" t="n"/>
      <c r="K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18" t="n"/>
      <c r="K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18" t="n"/>
      <c r="K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18" t="n"/>
      <c r="K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18" t="n"/>
      <c r="K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18" t="n"/>
      <c r="K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18" t="n"/>
      <c r="K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18" t="n"/>
      <c r="K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18" t="n"/>
      <c r="K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18" t="n"/>
      <c r="K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18" t="n"/>
      <c r="K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18" t="n"/>
      <c r="K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18" t="n"/>
      <c r="K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18" t="n"/>
      <c r="K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18" t="n"/>
      <c r="K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18" t="n"/>
      <c r="K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18" t="n"/>
      <c r="K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18" t="n"/>
      <c r="K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18" t="n"/>
      <c r="K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18" t="n"/>
      <c r="K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18" t="n"/>
      <c r="K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18" t="n"/>
      <c r="K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18" t="n"/>
      <c r="K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18" t="n"/>
      <c r="K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18" t="n"/>
      <c r="K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18" t="n"/>
      <c r="K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18" t="n"/>
      <c r="K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18" t="n"/>
      <c r="K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18" t="n"/>
      <c r="K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18" t="n"/>
      <c r="K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18" t="n"/>
      <c r="K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18" t="n"/>
      <c r="K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18" t="n"/>
      <c r="K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18" t="n"/>
      <c r="K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18" t="n"/>
      <c r="K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18" t="n"/>
      <c r="K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18" t="n"/>
      <c r="K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18" t="n"/>
      <c r="K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18" t="n"/>
      <c r="K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18" t="n"/>
      <c r="K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18" t="n"/>
      <c r="K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18" t="n"/>
      <c r="K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18" t="n"/>
      <c r="K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18" t="n"/>
      <c r="K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18" t="n"/>
      <c r="K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18" t="n"/>
      <c r="K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18" t="n"/>
      <c r="K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18" t="n"/>
      <c r="K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18" t="n"/>
      <c r="K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18" t="n"/>
      <c r="K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18" t="n"/>
      <c r="K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18" t="n"/>
      <c r="K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18" t="n"/>
      <c r="K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18" t="n"/>
      <c r="K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18" t="n"/>
      <c r="K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18" t="n"/>
      <c r="K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18" t="n"/>
      <c r="K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18" t="n"/>
      <c r="K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18" t="n"/>
      <c r="K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18" t="n"/>
      <c r="K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18" t="n"/>
      <c r="K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18" t="n"/>
      <c r="K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18" t="n"/>
      <c r="K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18" t="n"/>
      <c r="K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18" t="n"/>
      <c r="K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18" t="n"/>
      <c r="K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18" t="n"/>
      <c r="K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18" t="n"/>
      <c r="K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18" t="n"/>
      <c r="K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18" t="n"/>
      <c r="K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18" t="n"/>
      <c r="K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18" t="n"/>
      <c r="K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18" t="n"/>
      <c r="K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18" t="n"/>
      <c r="K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18" t="n"/>
      <c r="K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18" t="n"/>
      <c r="K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18" t="n"/>
      <c r="K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18" t="n"/>
      <c r="K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18" t="n"/>
      <c r="K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18" t="n"/>
      <c r="K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18" t="n"/>
      <c r="K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18" t="n"/>
      <c r="K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18" t="n"/>
      <c r="K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18" t="n"/>
      <c r="K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18" t="n"/>
      <c r="K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18" t="n"/>
      <c r="K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18" t="n"/>
      <c r="K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18" t="n"/>
      <c r="K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18" t="n"/>
      <c r="K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18" t="n"/>
      <c r="K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18" t="n"/>
      <c r="K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18" t="n"/>
      <c r="K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18" t="n"/>
      <c r="K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18" t="n"/>
      <c r="K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18" t="n"/>
      <c r="K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18" t="n"/>
      <c r="K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18" t="n"/>
      <c r="K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18" t="n"/>
      <c r="K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18" t="n"/>
      <c r="K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18" t="n"/>
      <c r="K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18" t="n"/>
      <c r="K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18" t="n"/>
      <c r="K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18" t="n"/>
      <c r="K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18" t="n"/>
      <c r="K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18" t="n"/>
      <c r="K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18" t="n"/>
      <c r="K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18" t="n"/>
      <c r="K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18" t="n"/>
      <c r="K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18" t="n"/>
      <c r="K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18" t="n"/>
      <c r="K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18" t="n"/>
      <c r="K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18" t="n"/>
      <c r="K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18" t="n"/>
      <c r="K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18" t="n"/>
      <c r="K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18" t="n"/>
      <c r="K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18" t="n"/>
      <c r="K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18" t="n"/>
      <c r="K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18" t="n"/>
      <c r="K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18" t="n"/>
      <c r="K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18" t="n"/>
      <c r="K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18" t="n"/>
      <c r="K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18" t="n"/>
      <c r="K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18" t="n"/>
      <c r="K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18" t="n"/>
      <c r="K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18" t="n"/>
      <c r="K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18" t="n"/>
      <c r="K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18" t="n"/>
      <c r="K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18" t="n"/>
      <c r="K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18" t="n"/>
      <c r="K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18" t="n"/>
      <c r="K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18" t="n"/>
      <c r="K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18" t="n"/>
      <c r="K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18" t="n"/>
      <c r="K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18" t="n"/>
      <c r="K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18" t="n"/>
      <c r="K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18" t="n"/>
      <c r="K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18" t="n"/>
      <c r="K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18" t="n"/>
      <c r="K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18" t="n"/>
      <c r="K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18" t="n"/>
      <c r="K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18" t="n"/>
      <c r="K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18" t="n"/>
      <c r="K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18" t="n"/>
      <c r="K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18" t="n"/>
      <c r="K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18" t="n"/>
      <c r="K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18" t="n"/>
      <c r="K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18" t="n"/>
      <c r="K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18" t="n"/>
      <c r="K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18" t="n"/>
      <c r="K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18" t="n"/>
      <c r="K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18" t="n"/>
      <c r="K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18" t="n"/>
      <c r="K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18" t="n"/>
      <c r="K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18" t="n"/>
      <c r="K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18" t="n"/>
      <c r="K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18" t="n"/>
      <c r="K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18" t="n"/>
      <c r="K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18" t="n"/>
      <c r="K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18" t="n"/>
      <c r="K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18" t="n"/>
      <c r="K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18" t="n"/>
      <c r="K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18" t="n"/>
      <c r="K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18" t="n"/>
      <c r="K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18" t="n"/>
      <c r="K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18" t="n"/>
      <c r="K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18" t="n"/>
      <c r="K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18" t="n"/>
      <c r="K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18" t="n"/>
      <c r="K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18" t="n"/>
      <c r="K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18" t="n"/>
      <c r="K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18" t="n"/>
      <c r="K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18" t="n"/>
      <c r="K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18" t="n"/>
      <c r="K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18" t="n"/>
      <c r="K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18" t="n"/>
      <c r="K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18" t="n"/>
      <c r="K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18" t="n"/>
      <c r="K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18" t="n"/>
      <c r="K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18" t="n"/>
      <c r="K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18" t="n"/>
      <c r="K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18" t="n"/>
      <c r="K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18" t="n"/>
      <c r="K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18" t="n"/>
      <c r="K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18" t="n"/>
      <c r="K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18" t="n"/>
      <c r="K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18" t="n"/>
      <c r="K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18" t="n"/>
      <c r="K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18" t="n"/>
      <c r="K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18" t="n"/>
      <c r="K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18" t="n"/>
      <c r="K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18" t="n"/>
      <c r="K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18" t="n"/>
      <c r="K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18" t="n"/>
      <c r="K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18" t="n"/>
      <c r="K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18" t="n"/>
      <c r="K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18" t="n"/>
      <c r="K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18" t="n"/>
      <c r="K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18" t="n"/>
      <c r="K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18" t="n"/>
      <c r="K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18" t="n"/>
      <c r="K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18" t="n"/>
      <c r="K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18" t="n"/>
      <c r="K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18" t="n"/>
      <c r="K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18" t="n"/>
      <c r="K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18" t="n"/>
      <c r="K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18" t="n"/>
      <c r="K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18" t="n"/>
      <c r="K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18" t="n"/>
      <c r="K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18" t="n"/>
      <c r="K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18" t="n"/>
      <c r="K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18" t="n"/>
      <c r="K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18" t="n"/>
      <c r="K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18" t="n"/>
      <c r="K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18" t="n"/>
      <c r="K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18" t="n"/>
      <c r="K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18" t="n"/>
      <c r="K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18" t="n"/>
      <c r="K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18" t="n"/>
      <c r="K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18" t="n"/>
      <c r="K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18" t="n"/>
      <c r="K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18" t="n"/>
      <c r="K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18" t="n"/>
      <c r="K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18" t="n"/>
      <c r="K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18" t="n"/>
      <c r="K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18" t="n"/>
      <c r="K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18" t="n"/>
      <c r="K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18" t="n"/>
      <c r="K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18" t="n"/>
      <c r="K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18" t="n"/>
      <c r="K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18" t="n"/>
      <c r="K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18" t="n"/>
      <c r="K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18" t="n"/>
      <c r="K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18" t="n"/>
      <c r="K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18" t="n"/>
      <c r="K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18" t="n"/>
      <c r="K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18" t="n"/>
      <c r="K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18" t="n"/>
      <c r="K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18" t="n"/>
      <c r="K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18" t="n"/>
      <c r="K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18" t="n"/>
      <c r="K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18" t="n"/>
      <c r="K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18" t="n"/>
      <c r="K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18" t="n"/>
      <c r="K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18" t="n"/>
      <c r="K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18" t="n"/>
      <c r="K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18" t="n"/>
      <c r="K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18" t="n"/>
      <c r="K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18" t="n"/>
      <c r="K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18" t="n"/>
      <c r="K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18" t="n"/>
      <c r="K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18" t="n"/>
      <c r="K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18" t="n"/>
      <c r="K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18" t="n"/>
      <c r="K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18" t="n"/>
      <c r="K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18" t="n"/>
      <c r="K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18" t="n"/>
      <c r="K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18" t="n"/>
      <c r="K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18" t="n"/>
      <c r="K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18" t="n"/>
      <c r="K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18" t="n"/>
      <c r="K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18" t="n"/>
      <c r="K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18" t="n"/>
      <c r="K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18" t="n"/>
      <c r="K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18" t="n"/>
      <c r="K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18" t="n"/>
      <c r="K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18" t="n"/>
      <c r="K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18" t="n"/>
      <c r="K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18" t="n"/>
      <c r="K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18" t="n"/>
      <c r="K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18" t="n"/>
      <c r="K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18" t="n"/>
      <c r="K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18" t="n"/>
      <c r="K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18" t="n"/>
      <c r="K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18" t="n"/>
      <c r="K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18" t="n"/>
      <c r="K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18" t="n"/>
      <c r="K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18" t="n"/>
      <c r="K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18" t="n"/>
      <c r="K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18" t="n"/>
      <c r="K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18" t="n"/>
      <c r="K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18" t="n"/>
      <c r="K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18" t="n"/>
      <c r="K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18" t="n"/>
      <c r="K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18" t="n"/>
      <c r="K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18" t="n"/>
      <c r="K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18" t="n"/>
      <c r="K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18" t="n"/>
      <c r="K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18" t="n"/>
      <c r="K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18" t="n"/>
      <c r="K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18" t="n"/>
      <c r="K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18" t="n"/>
      <c r="K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18" t="n"/>
      <c r="K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18" t="n"/>
      <c r="K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18" t="n"/>
      <c r="K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18" t="n"/>
      <c r="K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18" t="n"/>
      <c r="K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18" t="n"/>
      <c r="K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18" t="n"/>
      <c r="K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18" t="n"/>
      <c r="K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18" t="n"/>
      <c r="K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18" t="n"/>
      <c r="K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18" t="n"/>
      <c r="K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18" t="n"/>
      <c r="K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18" t="n"/>
      <c r="K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18" t="n"/>
      <c r="K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18" t="n"/>
      <c r="K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18" t="n"/>
      <c r="K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18" t="n"/>
      <c r="K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18" t="n"/>
      <c r="K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18" t="n"/>
      <c r="K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18" t="n"/>
      <c r="K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18" t="n"/>
      <c r="K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18" t="n"/>
      <c r="K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18" t="n"/>
      <c r="K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18" t="n"/>
      <c r="K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18" t="n"/>
      <c r="K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18" t="n"/>
      <c r="K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18" t="n"/>
      <c r="K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18" t="n"/>
      <c r="K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18" t="n"/>
      <c r="K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18" t="n"/>
      <c r="K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18" t="n"/>
      <c r="K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18" t="n"/>
      <c r="K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18" t="n"/>
      <c r="K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18" t="n"/>
      <c r="K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18" t="n"/>
      <c r="K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18" t="n"/>
      <c r="K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18" t="n"/>
      <c r="K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18" t="n"/>
      <c r="K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18" t="n"/>
      <c r="K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18" t="n"/>
      <c r="K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18" t="n"/>
      <c r="K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18" t="n"/>
      <c r="K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18" t="n"/>
      <c r="K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18" t="n"/>
      <c r="K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18" t="n"/>
      <c r="K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18" t="n"/>
      <c r="K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18" t="n"/>
      <c r="K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18" t="n"/>
      <c r="K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18" t="n"/>
      <c r="K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18" t="n"/>
      <c r="K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18" t="n"/>
      <c r="K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18" t="n"/>
      <c r="K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18" t="n"/>
      <c r="K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18" t="n"/>
      <c r="K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18" t="n"/>
      <c r="K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18" t="n"/>
      <c r="K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18" t="n"/>
      <c r="K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18" t="n"/>
      <c r="K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18" t="n"/>
      <c r="K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18" t="n"/>
      <c r="K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18" t="n"/>
      <c r="K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18" t="n"/>
      <c r="K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18" t="n"/>
      <c r="K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18" t="n"/>
      <c r="K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18" t="n"/>
      <c r="K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18" t="n"/>
      <c r="K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18" t="n"/>
      <c r="K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18" t="n"/>
      <c r="K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18" t="n"/>
      <c r="K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18" t="n"/>
      <c r="K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18" t="n"/>
      <c r="K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18" t="n"/>
      <c r="K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18" t="n"/>
      <c r="K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18" t="n"/>
      <c r="K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18" t="n"/>
      <c r="K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18" t="n"/>
      <c r="K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18" t="n"/>
      <c r="K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18" t="n"/>
      <c r="K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18" t="n"/>
      <c r="K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18" t="n"/>
      <c r="K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18" t="n"/>
      <c r="K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18" t="n"/>
      <c r="K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18" t="n"/>
      <c r="K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18" t="n"/>
      <c r="K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18" t="n"/>
      <c r="K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18" t="n"/>
      <c r="K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18" t="n"/>
      <c r="K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18" t="n"/>
      <c r="K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18" t="n"/>
      <c r="K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18" t="n"/>
      <c r="K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18" t="n"/>
      <c r="K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18" t="n"/>
      <c r="K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18" t="n"/>
      <c r="K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18" t="n"/>
      <c r="K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18" t="n"/>
      <c r="K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18" t="n"/>
      <c r="K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18" t="n"/>
      <c r="K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18" t="n"/>
      <c r="K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18" t="n"/>
      <c r="K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18" t="n"/>
      <c r="K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18" t="n"/>
      <c r="K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18" t="n"/>
      <c r="K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18" t="n"/>
      <c r="K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18" t="n"/>
      <c r="K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18" t="n"/>
      <c r="K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18" t="n"/>
      <c r="K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18" t="n"/>
      <c r="K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18" t="n"/>
      <c r="K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18" t="n"/>
      <c r="K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18" t="n"/>
      <c r="K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18" t="n"/>
      <c r="K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18" t="n"/>
      <c r="K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18" t="n"/>
      <c r="K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18" t="n"/>
      <c r="K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18" t="n"/>
      <c r="K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18" t="n"/>
      <c r="K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18" t="n"/>
      <c r="K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18" t="n"/>
      <c r="K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18" t="n"/>
      <c r="K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18" t="n"/>
      <c r="K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18" t="n"/>
      <c r="K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18" t="n"/>
      <c r="K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18" t="n"/>
      <c r="K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18" t="n"/>
      <c r="K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18" t="n"/>
      <c r="K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18" t="n"/>
      <c r="K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18" t="n"/>
      <c r="K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18" t="n"/>
      <c r="K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18" t="n"/>
      <c r="K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18" t="n"/>
      <c r="K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18" t="n"/>
      <c r="K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18" t="n"/>
      <c r="K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18" t="n"/>
      <c r="K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18" t="n"/>
      <c r="K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18" t="n"/>
      <c r="K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18" t="n"/>
      <c r="K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18" t="n"/>
      <c r="K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18" t="n"/>
      <c r="K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18" t="n"/>
      <c r="K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18" t="n"/>
      <c r="K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18" t="n"/>
      <c r="K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18" t="n"/>
      <c r="K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18" t="n"/>
      <c r="K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18" t="n"/>
      <c r="K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18" t="n"/>
      <c r="K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18" t="n"/>
      <c r="K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18" t="n"/>
      <c r="K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18" t="n"/>
      <c r="K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18" t="n"/>
      <c r="K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18" t="n"/>
      <c r="K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18" t="n"/>
      <c r="K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18" t="n"/>
      <c r="K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18" t="n"/>
      <c r="K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18" t="n"/>
      <c r="K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18" t="n"/>
      <c r="K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18" t="n"/>
      <c r="K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18" t="n"/>
      <c r="K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18" t="n"/>
      <c r="K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18" t="n"/>
      <c r="K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18" t="n"/>
      <c r="K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18" t="n"/>
      <c r="K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18" t="n"/>
      <c r="K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18" t="n"/>
      <c r="K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18" t="n"/>
      <c r="K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18" t="n"/>
      <c r="K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18" t="n"/>
      <c r="K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18" t="n"/>
      <c r="K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18" t="n"/>
      <c r="K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18" t="n"/>
      <c r="K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18" t="n"/>
      <c r="K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18" t="n"/>
      <c r="K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18" t="n"/>
      <c r="K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18" t="n"/>
      <c r="K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18" t="n"/>
      <c r="K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18" t="n"/>
      <c r="K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18" t="n"/>
      <c r="K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18" t="n"/>
      <c r="K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18" t="n"/>
      <c r="K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18" t="n"/>
      <c r="K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18" t="n"/>
      <c r="K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18" t="n"/>
      <c r="K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18" t="n"/>
      <c r="K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18" t="n"/>
      <c r="K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18" t="n"/>
      <c r="K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18" t="n"/>
      <c r="K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18" t="n"/>
      <c r="K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18" t="n"/>
      <c r="K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18" t="n"/>
      <c r="K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18" t="n"/>
      <c r="K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18" t="n"/>
      <c r="K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18" t="n"/>
      <c r="K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18" t="n"/>
      <c r="K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18" t="n"/>
      <c r="K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18" t="n"/>
      <c r="K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18" t="n"/>
      <c r="K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18" t="n"/>
      <c r="K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18" t="n"/>
      <c r="K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18" t="n"/>
      <c r="K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18" t="n"/>
      <c r="K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18" t="n"/>
      <c r="K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18" t="n"/>
      <c r="K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18" t="n"/>
      <c r="K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18" t="n"/>
      <c r="K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18" t="n"/>
      <c r="K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18" t="n"/>
      <c r="K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18" t="n"/>
      <c r="K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18" t="n"/>
      <c r="K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18" t="n"/>
      <c r="K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18" t="n"/>
      <c r="K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18" t="n"/>
      <c r="K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18" t="n"/>
      <c r="K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18" t="n"/>
      <c r="K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18" t="n"/>
      <c r="K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18" t="n"/>
      <c r="K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18" t="n"/>
      <c r="K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18" t="n"/>
      <c r="K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18" t="n"/>
      <c r="K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18" t="n"/>
      <c r="K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18" t="n"/>
      <c r="K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18" t="n"/>
      <c r="K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18" t="n"/>
      <c r="K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18" t="n"/>
      <c r="K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18" t="n"/>
      <c r="K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18" t="n"/>
      <c r="K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18" t="n"/>
      <c r="K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18" t="n"/>
      <c r="K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18" t="n"/>
      <c r="K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18" t="n"/>
      <c r="K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18" t="n"/>
      <c r="K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18" t="n"/>
      <c r="K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18" t="n"/>
      <c r="K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18" t="n"/>
      <c r="K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18" t="n"/>
      <c r="K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18" t="n"/>
      <c r="K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18" t="n"/>
      <c r="K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18" t="n"/>
      <c r="K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18" t="n"/>
      <c r="K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18" t="n"/>
      <c r="K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18" t="n"/>
      <c r="K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18" t="n"/>
      <c r="K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18" t="n"/>
      <c r="K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18" t="n"/>
      <c r="K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18" t="n"/>
      <c r="K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18" t="n"/>
      <c r="K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18" t="n"/>
      <c r="K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18" t="n"/>
      <c r="K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18" t="n"/>
      <c r="K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18" t="n"/>
      <c r="K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18" t="n"/>
      <c r="K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18" t="n"/>
      <c r="K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18" t="n"/>
      <c r="K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18" t="n"/>
      <c r="K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18" t="n"/>
      <c r="K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18" t="n"/>
      <c r="K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18" t="n"/>
      <c r="K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18" t="n"/>
      <c r="K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18" t="n"/>
      <c r="K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18" t="n"/>
      <c r="K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18" t="n"/>
      <c r="K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18" t="n"/>
      <c r="K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18" t="n"/>
      <c r="K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18" t="n"/>
      <c r="K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18" t="n"/>
      <c r="K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18" t="n"/>
      <c r="K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18" t="n"/>
      <c r="K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18" t="n"/>
      <c r="K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18" t="n"/>
      <c r="K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18" t="n"/>
      <c r="K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18" t="n"/>
      <c r="K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18" t="n"/>
      <c r="K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18" t="n"/>
      <c r="K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18" t="n"/>
      <c r="K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18" t="n"/>
      <c r="K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18" t="n"/>
      <c r="K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18" t="n"/>
      <c r="K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18" t="n"/>
      <c r="K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18" t="n"/>
      <c r="K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18" t="n"/>
      <c r="K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18" t="n"/>
      <c r="K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18" t="n"/>
      <c r="K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18" t="n"/>
      <c r="K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18" t="n"/>
      <c r="K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18" t="n"/>
      <c r="K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18" t="n"/>
      <c r="K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18" t="n"/>
      <c r="K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18" t="n"/>
      <c r="K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18" t="n"/>
      <c r="K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18" t="n"/>
      <c r="K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18" t="n"/>
      <c r="K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18" t="n"/>
      <c r="K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18" t="n"/>
      <c r="K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18" t="n"/>
      <c r="K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18" t="n"/>
      <c r="K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18" t="n"/>
      <c r="K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18" t="n"/>
      <c r="K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18" t="n"/>
      <c r="K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18" t="n"/>
      <c r="K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18" t="n"/>
      <c r="K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18" t="n"/>
      <c r="K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18" t="n"/>
      <c r="K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18" t="n"/>
      <c r="K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18" t="n"/>
      <c r="K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18" t="n"/>
      <c r="K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18" t="n"/>
      <c r="K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18" t="n"/>
      <c r="K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18" t="n"/>
      <c r="K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18" t="n"/>
      <c r="K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18" t="n"/>
      <c r="K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18" t="n"/>
      <c r="K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18" t="n"/>
      <c r="K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18" t="n"/>
      <c r="K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18" t="n"/>
      <c r="K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18" t="n"/>
      <c r="K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18" t="n"/>
      <c r="K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18" t="n"/>
      <c r="K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18" t="n"/>
      <c r="K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18" t="n"/>
      <c r="K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18" t="n"/>
      <c r="K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18" t="n"/>
      <c r="K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18" t="n"/>
      <c r="K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18" t="n"/>
      <c r="K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18" t="n"/>
      <c r="K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18" t="n"/>
      <c r="K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18" t="n"/>
      <c r="K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18" t="n"/>
      <c r="K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18" t="n"/>
      <c r="K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18" t="n"/>
      <c r="K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18" t="n"/>
      <c r="K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18" t="n"/>
      <c r="K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18" t="n"/>
      <c r="K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18" t="n"/>
      <c r="K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18" t="n"/>
      <c r="K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18" t="n"/>
      <c r="K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18" t="n"/>
      <c r="K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18" t="n"/>
      <c r="K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18" t="n"/>
      <c r="K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18" t="n"/>
      <c r="K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18" t="n"/>
      <c r="K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18" t="n"/>
      <c r="K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18" t="n"/>
      <c r="K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18" t="n"/>
      <c r="K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18" t="n"/>
      <c r="K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18" t="n"/>
      <c r="K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18" t="n"/>
      <c r="K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18" t="n"/>
      <c r="K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18" t="n"/>
      <c r="K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18" t="n"/>
      <c r="K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18" t="n"/>
      <c r="K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18" t="n"/>
      <c r="K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18" t="n"/>
      <c r="K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18" t="n"/>
      <c r="K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18" t="n"/>
      <c r="K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18" t="n"/>
      <c r="K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18" t="n"/>
      <c r="K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18" t="n"/>
      <c r="K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18" t="n"/>
      <c r="K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18" t="n"/>
      <c r="K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18" t="n"/>
      <c r="K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18" t="n"/>
      <c r="K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18" t="n"/>
      <c r="K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18" t="n"/>
      <c r="K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18" t="n"/>
      <c r="K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18" t="n"/>
      <c r="K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18" t="n"/>
      <c r="K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18" t="n"/>
      <c r="K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18" t="n"/>
      <c r="K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18" t="n"/>
      <c r="K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18" t="n"/>
      <c r="K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18" t="n"/>
      <c r="K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18" t="n"/>
      <c r="K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18" t="n"/>
      <c r="K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18" t="n"/>
      <c r="K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18" t="n"/>
      <c r="K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18" t="n"/>
      <c r="K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18" t="n"/>
      <c r="K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18" t="n"/>
      <c r="K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18" t="n"/>
      <c r="K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18" t="n"/>
      <c r="K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18" t="n"/>
      <c r="K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18" t="n"/>
      <c r="K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18" t="n"/>
      <c r="K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18" t="n"/>
      <c r="K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18" t="n"/>
      <c r="K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18" t="n"/>
      <c r="K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18" t="n"/>
      <c r="K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18" t="n"/>
      <c r="K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18" t="n"/>
      <c r="K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18" t="n"/>
      <c r="K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18" t="n"/>
      <c r="K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18" t="n"/>
      <c r="K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18" t="n"/>
      <c r="K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18" t="n"/>
      <c r="K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18" t="n"/>
      <c r="K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18" t="n"/>
      <c r="K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18" t="n"/>
      <c r="K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18" t="n"/>
      <c r="K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18" t="n"/>
      <c r="K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18" t="n"/>
      <c r="K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18" t="n"/>
      <c r="K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18" t="n"/>
      <c r="K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18" t="n"/>
      <c r="K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18" t="n"/>
      <c r="K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18" t="n"/>
      <c r="K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18" t="n"/>
      <c r="K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18" t="n"/>
      <c r="K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18" t="n"/>
      <c r="K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18" t="n"/>
      <c r="K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18" t="n"/>
      <c r="K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18" t="n"/>
      <c r="K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18" t="n"/>
      <c r="K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18" t="n"/>
      <c r="K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18" t="n"/>
      <c r="K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18" t="n"/>
      <c r="K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18" t="n"/>
      <c r="K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18" t="n"/>
      <c r="K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18" t="n"/>
      <c r="K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18" t="n"/>
      <c r="K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18" t="n"/>
      <c r="K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18" t="n"/>
      <c r="K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18" t="n"/>
      <c r="K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18" t="n"/>
      <c r="K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18" t="n"/>
      <c r="K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18" t="n"/>
      <c r="K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18" t="n"/>
      <c r="K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18" t="n"/>
      <c r="K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18" t="n"/>
      <c r="K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18" t="n"/>
      <c r="K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18" t="n"/>
      <c r="K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18" t="n"/>
      <c r="K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18" t="n"/>
      <c r="K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18" t="n"/>
      <c r="K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18" t="n"/>
      <c r="K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18" t="n"/>
      <c r="K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18" t="n"/>
      <c r="K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18" t="n"/>
      <c r="K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18" t="n"/>
      <c r="K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18" t="n"/>
      <c r="K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18" t="n"/>
      <c r="K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18" t="n"/>
      <c r="K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18" t="n"/>
      <c r="K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18" t="n"/>
      <c r="K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18" t="n"/>
      <c r="K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18" t="n"/>
      <c r="K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18" t="n"/>
      <c r="K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18" t="n"/>
      <c r="K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18" t="n"/>
      <c r="K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18" t="n"/>
      <c r="K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18" t="n"/>
      <c r="K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18" t="n"/>
      <c r="K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18" t="n"/>
      <c r="K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18" t="n"/>
      <c r="K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18" t="n"/>
      <c r="K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18" t="n"/>
      <c r="K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18" t="n"/>
      <c r="K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18" t="n"/>
      <c r="K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18" t="n"/>
      <c r="K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18" t="n"/>
      <c r="K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18" t="n"/>
      <c r="K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18" t="n"/>
      <c r="K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18" t="n"/>
      <c r="K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18" t="n"/>
      <c r="K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18" t="n"/>
      <c r="K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18" t="n"/>
      <c r="K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18" t="n"/>
      <c r="K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18" t="n"/>
      <c r="K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18" t="n"/>
      <c r="K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18" t="n"/>
      <c r="K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18" t="n"/>
      <c r="K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18" t="n"/>
      <c r="K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18" t="n"/>
      <c r="K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18" t="n"/>
      <c r="K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18" t="n"/>
      <c r="K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18" t="n"/>
      <c r="K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18" t="n"/>
      <c r="K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18" t="n"/>
      <c r="K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18" t="n"/>
      <c r="K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18" t="n"/>
      <c r="K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18" t="n"/>
      <c r="K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18" t="n"/>
      <c r="K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18" t="n"/>
      <c r="K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18" t="n"/>
      <c r="K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18" t="n"/>
      <c r="K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18" t="n"/>
      <c r="K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18" t="n"/>
      <c r="K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18" t="n"/>
      <c r="K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18" t="n"/>
      <c r="K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18" t="n"/>
      <c r="K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18" t="n"/>
      <c r="K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18" t="n"/>
      <c r="K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18" t="n"/>
      <c r="K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18" t="n"/>
      <c r="K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18" t="n"/>
      <c r="K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18" t="n"/>
      <c r="K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18" t="n"/>
      <c r="K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18" t="n"/>
      <c r="K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18" t="n"/>
      <c r="K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18" t="n"/>
      <c r="K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18" t="n"/>
      <c r="K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18" t="n"/>
      <c r="K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18" t="n"/>
      <c r="K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18" t="n"/>
      <c r="K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18" t="n"/>
      <c r="K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18" t="n"/>
      <c r="K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18" t="n"/>
      <c r="K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18" t="n"/>
      <c r="K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18" t="n"/>
      <c r="K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18" t="n"/>
      <c r="K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18" t="n"/>
      <c r="K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18" t="n"/>
      <c r="K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18" t="n"/>
      <c r="K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18" t="n"/>
      <c r="K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18" t="n"/>
      <c r="K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18" t="n"/>
      <c r="K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18" t="n"/>
      <c r="K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18" t="n"/>
      <c r="K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18" t="n"/>
      <c r="K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18" t="n"/>
      <c r="K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18" t="n"/>
      <c r="K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18" t="n"/>
      <c r="K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18" t="n"/>
      <c r="K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18" t="n"/>
      <c r="K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18" t="n"/>
      <c r="K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18" t="n"/>
      <c r="K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18" t="n"/>
      <c r="K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18" t="n"/>
      <c r="K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18" t="n"/>
      <c r="K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18" t="n"/>
      <c r="K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18" t="n"/>
      <c r="K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18" t="n"/>
      <c r="K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18" t="n"/>
      <c r="K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18" t="n"/>
      <c r="K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18" t="n"/>
      <c r="K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18" t="n"/>
      <c r="K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18" t="n"/>
      <c r="K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18" t="n"/>
      <c r="K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18" t="n"/>
      <c r="K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18" t="n"/>
      <c r="K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18" t="n"/>
      <c r="K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18" t="n"/>
      <c r="K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18" t="n"/>
      <c r="K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18" t="n"/>
      <c r="K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18" t="n"/>
      <c r="K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18" t="n"/>
      <c r="K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18" t="n"/>
      <c r="K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18" t="n"/>
      <c r="K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18" t="n"/>
      <c r="K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18" t="n"/>
      <c r="K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18" t="n"/>
      <c r="K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18" t="n"/>
      <c r="K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18" t="n"/>
      <c r="K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18" t="n"/>
      <c r="K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18" t="n"/>
      <c r="K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18" t="n"/>
      <c r="K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18" t="n"/>
      <c r="K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18" t="n"/>
      <c r="K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18" t="n"/>
      <c r="K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18" t="n"/>
      <c r="K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18" t="n"/>
      <c r="K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18" t="n"/>
      <c r="K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18" t="n"/>
      <c r="K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18" t="n"/>
      <c r="K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18" t="n"/>
      <c r="K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18" t="n"/>
      <c r="K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18" t="n"/>
      <c r="K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18" t="n"/>
      <c r="K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18" t="n"/>
      <c r="K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18" t="n"/>
      <c r="K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18" t="n"/>
      <c r="K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18" t="n"/>
      <c r="K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18" t="n"/>
      <c r="K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18" t="n"/>
      <c r="K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18" t="n"/>
      <c r="K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18" t="n"/>
      <c r="K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18" t="n"/>
      <c r="K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18" t="n"/>
      <c r="K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18" t="n"/>
      <c r="K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18" t="n"/>
      <c r="K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18" t="n"/>
      <c r="K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18" t="n"/>
      <c r="K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18" t="n"/>
      <c r="K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18" t="n"/>
      <c r="K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18" t="n"/>
      <c r="K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18" t="n"/>
      <c r="K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18" t="n"/>
      <c r="K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18" t="n"/>
      <c r="K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18" t="n"/>
      <c r="K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18" t="n"/>
      <c r="K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18" t="n"/>
      <c r="K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18" t="n"/>
      <c r="K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18" t="n"/>
      <c r="K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18" t="n"/>
      <c r="K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18" t="n"/>
      <c r="K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18" t="n"/>
      <c r="K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18" t="n"/>
      <c r="K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18" t="n"/>
      <c r="K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18" t="n"/>
      <c r="K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18" t="n"/>
      <c r="K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18" t="n"/>
      <c r="K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18" t="n"/>
      <c r="K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18" t="n"/>
      <c r="K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18" t="n"/>
      <c r="K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18" t="n"/>
      <c r="K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18" t="n"/>
      <c r="K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18" t="n"/>
      <c r="K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18" t="n"/>
      <c r="K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18" t="n"/>
      <c r="K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18" t="n"/>
      <c r="K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18" t="n"/>
      <c r="K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18" t="n"/>
      <c r="K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18" t="n"/>
      <c r="K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18" t="n"/>
      <c r="K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18" t="n"/>
      <c r="K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18" t="n"/>
      <c r="K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18" t="n"/>
      <c r="K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18" t="n"/>
      <c r="K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18" t="n"/>
      <c r="K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18" t="n"/>
      <c r="K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18" t="n"/>
      <c r="K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18" t="n"/>
      <c r="K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18" t="n"/>
      <c r="K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18" t="n"/>
      <c r="K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18" t="n"/>
      <c r="K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18" t="n"/>
      <c r="K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18" t="n"/>
      <c r="K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18" t="n"/>
      <c r="K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18" t="n"/>
      <c r="K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18" t="n"/>
      <c r="K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18" t="n"/>
      <c r="K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18" t="n"/>
      <c r="K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18" t="n"/>
      <c r="K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18" t="n"/>
      <c r="K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18" t="n"/>
      <c r="K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18" t="n"/>
      <c r="K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18" t="n"/>
      <c r="K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18" t="n"/>
      <c r="K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18" t="n"/>
      <c r="K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18" t="n"/>
      <c r="K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18" t="n"/>
      <c r="K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18" t="n"/>
      <c r="K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18" t="n"/>
      <c r="K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18" t="n"/>
      <c r="K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18" t="n"/>
      <c r="K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18" t="n"/>
      <c r="K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18" t="n"/>
      <c r="K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18" t="n"/>
      <c r="K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18" t="n"/>
      <c r="K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18" t="n"/>
      <c r="K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18" t="n"/>
      <c r="K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18" t="n"/>
      <c r="K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18" t="n"/>
      <c r="K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18" t="n"/>
      <c r="K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18" t="n"/>
      <c r="K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18" t="n"/>
      <c r="K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18" t="n"/>
      <c r="K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18" t="n"/>
      <c r="K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18" t="n"/>
      <c r="K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18" t="n"/>
      <c r="K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18" t="n"/>
      <c r="K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18" t="n"/>
      <c r="K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18" t="n"/>
      <c r="K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18" t="n"/>
      <c r="K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18" t="n"/>
      <c r="K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18" t="n"/>
      <c r="K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18" t="n"/>
      <c r="K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18" t="n"/>
      <c r="K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18" t="n"/>
      <c r="K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18" t="n"/>
      <c r="K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18" t="n"/>
      <c r="K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18" t="n"/>
      <c r="K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18" t="n"/>
      <c r="K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18" t="n"/>
      <c r="K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18" t="n"/>
      <c r="K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18" t="n"/>
      <c r="K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18" t="n"/>
      <c r="K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18" t="n"/>
      <c r="K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18" t="n"/>
      <c r="K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18" t="n"/>
      <c r="K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18" t="n"/>
      <c r="K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18" t="n"/>
      <c r="K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18" t="n"/>
      <c r="K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18" t="n"/>
      <c r="K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18" t="n"/>
      <c r="K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18" t="n"/>
      <c r="K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18" t="n"/>
      <c r="K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18" t="n"/>
      <c r="K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18" t="n"/>
      <c r="K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18" t="n"/>
      <c r="K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18" t="n"/>
      <c r="K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18" t="n"/>
      <c r="K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18" t="n"/>
      <c r="K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18" t="n"/>
      <c r="K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18" t="n"/>
      <c r="K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18" t="n"/>
      <c r="K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18" t="n"/>
      <c r="K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18" t="n"/>
      <c r="K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18" t="n"/>
      <c r="K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18" t="n"/>
      <c r="K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18" t="n"/>
      <c r="K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18" t="n"/>
      <c r="K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18" t="n"/>
      <c r="K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18" t="n"/>
      <c r="K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18" t="n"/>
      <c r="K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18" t="n"/>
      <c r="K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18" t="n"/>
      <c r="K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18" t="n"/>
      <c r="K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18" t="n"/>
      <c r="K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18" t="n"/>
      <c r="K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18" t="n"/>
      <c r="K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18" t="n"/>
      <c r="K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18" t="n"/>
      <c r="K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18" t="n"/>
      <c r="K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18" t="n"/>
      <c r="K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18" t="n"/>
      <c r="K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18" t="n"/>
      <c r="K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18" t="n"/>
      <c r="K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18" t="n"/>
      <c r="K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18" t="n"/>
      <c r="K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18" t="n"/>
      <c r="K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18" t="n"/>
      <c r="K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18" t="n"/>
      <c r="K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18" t="n"/>
      <c r="K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18" t="n"/>
      <c r="K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18" t="n"/>
      <c r="K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18" t="n"/>
      <c r="K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18" t="n"/>
      <c r="K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18" t="n"/>
      <c r="K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18" t="n"/>
      <c r="K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18" t="n"/>
      <c r="K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18" t="n"/>
      <c r="K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18" t="n"/>
      <c r="K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18" t="n"/>
      <c r="K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18" t="n"/>
      <c r="K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18" t="n"/>
      <c r="K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18" t="n"/>
      <c r="K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18" t="n"/>
      <c r="K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18" t="n"/>
      <c r="K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18" t="n"/>
      <c r="K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18" t="n"/>
      <c r="K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18" t="n"/>
      <c r="K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18" t="n"/>
      <c r="K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18" t="n"/>
      <c r="K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18" t="n"/>
      <c r="K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18" t="n"/>
      <c r="K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18" t="n"/>
      <c r="K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18" t="n"/>
      <c r="K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18" t="n"/>
      <c r="K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18" t="n"/>
      <c r="K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18" t="n"/>
      <c r="K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18" t="n"/>
      <c r="K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18" t="n"/>
      <c r="K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18" t="n"/>
      <c r="K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18" t="n"/>
      <c r="K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18" t="n"/>
      <c r="K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18" t="n"/>
      <c r="K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18" t="n"/>
      <c r="K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18" t="n"/>
      <c r="K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18" t="n"/>
      <c r="K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18" t="n"/>
      <c r="K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18" t="n"/>
      <c r="K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18" t="n"/>
      <c r="K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18" t="n"/>
      <c r="K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18" t="n"/>
      <c r="K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18" t="n"/>
      <c r="K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18" t="n"/>
      <c r="K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18" t="n"/>
      <c r="K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18" t="n"/>
      <c r="K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18" t="n"/>
      <c r="K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18" t="n"/>
      <c r="K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18" t="n"/>
      <c r="K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18" t="n"/>
      <c r="K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18" t="n"/>
      <c r="K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18" t="n"/>
      <c r="K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18" t="n"/>
      <c r="K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18" t="n"/>
      <c r="K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18" t="n"/>
      <c r="K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18" t="n"/>
      <c r="K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18" t="n"/>
      <c r="K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18" t="n"/>
      <c r="K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18" t="n"/>
      <c r="K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18" t="n"/>
      <c r="K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18" t="n"/>
      <c r="K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18" t="n"/>
      <c r="K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18" t="n"/>
      <c r="K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18" t="n"/>
      <c r="K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18" t="n"/>
      <c r="K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18" t="n"/>
      <c r="K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18" t="n"/>
      <c r="K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18" t="n"/>
      <c r="K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18" t="n"/>
      <c r="K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18" t="n"/>
      <c r="K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18" t="n"/>
      <c r="K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18" t="n"/>
      <c r="K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18" t="n"/>
      <c r="K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18" t="n"/>
      <c r="K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18" t="n"/>
      <c r="K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18" t="n"/>
      <c r="K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18" t="n"/>
      <c r="K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18" t="n"/>
      <c r="K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18" t="n"/>
      <c r="K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18" t="n"/>
      <c r="K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18" t="n"/>
      <c r="K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18" t="n"/>
      <c r="K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18" t="n"/>
      <c r="K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18" t="n"/>
      <c r="K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18" t="n"/>
      <c r="K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18" t="n"/>
      <c r="K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18" t="n"/>
      <c r="K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18" t="n"/>
      <c r="K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18" t="n"/>
      <c r="K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18" t="n"/>
      <c r="K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18" t="n"/>
      <c r="K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18" t="n"/>
      <c r="K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18" t="n"/>
      <c r="K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18" t="n"/>
      <c r="K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18" t="n"/>
      <c r="K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18" t="n"/>
      <c r="K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18" t="n"/>
      <c r="K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18" t="n"/>
      <c r="K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18" t="n"/>
      <c r="K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18" t="n"/>
      <c r="K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18" t="n"/>
      <c r="K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18" t="n"/>
      <c r="K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18" t="n"/>
      <c r="K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18" t="n"/>
      <c r="K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18" t="n"/>
      <c r="K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18" t="n"/>
      <c r="K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18" t="n"/>
      <c r="K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18" t="n"/>
      <c r="K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18" t="n"/>
      <c r="K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18" t="n"/>
      <c r="K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18" t="n"/>
      <c r="K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18" t="n"/>
      <c r="K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18" t="n"/>
      <c r="K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18" t="n"/>
      <c r="K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18" t="n"/>
      <c r="K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18" t="n"/>
      <c r="K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18" t="n"/>
      <c r="K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18" t="n"/>
      <c r="K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18" t="n"/>
      <c r="K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18" t="n"/>
      <c r="K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18" t="n"/>
      <c r="K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18" t="n"/>
      <c r="K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18" t="n"/>
      <c r="K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18" t="n"/>
      <c r="K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18" t="n"/>
      <c r="K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18" t="n"/>
      <c r="K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18" t="n"/>
      <c r="K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18" t="n"/>
      <c r="K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18" t="n"/>
      <c r="K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18" t="n"/>
      <c r="K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18" t="n"/>
      <c r="K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18" t="n"/>
      <c r="K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18" t="n"/>
      <c r="K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18" t="n"/>
      <c r="K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18" t="n"/>
      <c r="K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18" t="n"/>
      <c r="K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18" t="n"/>
      <c r="K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18" t="n"/>
      <c r="K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18" t="n"/>
      <c r="K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18" t="n"/>
      <c r="K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18" t="n"/>
      <c r="K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18" t="n"/>
      <c r="K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18" t="n"/>
      <c r="K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18" t="n"/>
      <c r="K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18" t="n"/>
      <c r="K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18" t="n"/>
      <c r="K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18" t="n"/>
      <c r="K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18" t="n"/>
      <c r="K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18" t="n"/>
      <c r="K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18" t="n"/>
      <c r="K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18" t="n"/>
      <c r="K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18" t="n"/>
      <c r="K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18" t="n"/>
      <c r="K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18" t="n"/>
      <c r="K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18" t="n"/>
      <c r="K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18" t="n"/>
      <c r="K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18" t="n"/>
      <c r="K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18" t="n"/>
      <c r="K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18" t="n"/>
      <c r="K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18" t="n"/>
      <c r="K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18" t="n"/>
      <c r="K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18" t="n"/>
      <c r="K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18" t="n"/>
      <c r="K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18" t="n"/>
      <c r="K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18" t="n"/>
      <c r="K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18" t="n"/>
      <c r="K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18" t="n"/>
      <c r="K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18" t="n"/>
      <c r="K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18" t="n"/>
      <c r="K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18" t="n"/>
      <c r="K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18" t="n"/>
      <c r="K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18" t="n"/>
      <c r="K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18" t="n"/>
      <c r="K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18" t="n"/>
      <c r="K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18" t="n"/>
      <c r="K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18" t="n"/>
      <c r="K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18" t="n"/>
      <c r="K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18" t="n"/>
      <c r="K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18" t="n"/>
      <c r="K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18" t="n"/>
      <c r="K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18" t="n"/>
      <c r="K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18" t="n"/>
      <c r="K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18" t="n"/>
      <c r="K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18" t="n"/>
      <c r="K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18" t="n"/>
      <c r="K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18" t="n"/>
      <c r="K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18" t="n"/>
      <c r="K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18" t="n"/>
      <c r="K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18" t="n"/>
      <c r="K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18" t="n"/>
      <c r="K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18" t="n"/>
      <c r="K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18" t="n"/>
      <c r="K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18" t="n"/>
      <c r="K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18" t="n"/>
      <c r="K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18" t="n"/>
      <c r="K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18" t="n"/>
      <c r="K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18" t="n"/>
      <c r="K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18" t="n"/>
      <c r="K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18" t="n"/>
      <c r="K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18" t="n"/>
      <c r="K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18" t="n"/>
      <c r="K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18" t="n"/>
      <c r="K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18" t="n"/>
      <c r="K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18" t="n"/>
      <c r="K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18" t="n"/>
      <c r="K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18" t="n"/>
      <c r="K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18" t="n"/>
      <c r="K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18" t="n"/>
      <c r="K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18" t="n"/>
      <c r="K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18" t="n"/>
      <c r="K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18" t="n"/>
      <c r="K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18" t="n"/>
      <c r="K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18" t="n"/>
      <c r="K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18" t="n"/>
      <c r="K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18" t="n"/>
      <c r="K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18" t="n"/>
      <c r="K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18" t="n"/>
      <c r="K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18" t="n"/>
      <c r="K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18" t="n"/>
      <c r="K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18" t="n"/>
      <c r="K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18" t="n"/>
      <c r="K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18" t="n"/>
      <c r="K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18" t="n"/>
      <c r="K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18" t="n"/>
      <c r="K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18" t="n"/>
      <c r="K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18" t="n"/>
      <c r="K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18" t="n"/>
      <c r="K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18" t="n"/>
      <c r="K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18" t="n"/>
      <c r="K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18" t="n"/>
      <c r="K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18" t="n"/>
      <c r="K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18" t="n"/>
      <c r="K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18" t="n"/>
      <c r="K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18" t="n"/>
      <c r="K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18" t="n"/>
      <c r="K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18" t="n"/>
      <c r="K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18" t="n"/>
      <c r="K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18" t="n"/>
      <c r="K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18" t="n"/>
      <c r="K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18" t="n"/>
      <c r="K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18" t="n"/>
      <c r="K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18" t="n"/>
      <c r="K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18" t="n"/>
      <c r="K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18" t="n"/>
      <c r="K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18" t="n"/>
      <c r="K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18" t="n"/>
      <c r="K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18" t="n"/>
      <c r="K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18" t="n"/>
      <c r="K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18" t="n"/>
      <c r="K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18" t="n"/>
      <c r="K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18" t="n"/>
      <c r="K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18" t="n"/>
      <c r="K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18" t="n"/>
      <c r="K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18" t="n"/>
      <c r="K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18" t="n"/>
      <c r="K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18" t="n"/>
      <c r="K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18" t="n"/>
      <c r="K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18" t="n"/>
      <c r="K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18" t="n"/>
      <c r="K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18" t="n"/>
      <c r="K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18" t="n"/>
      <c r="K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18" t="n"/>
      <c r="K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18" t="n"/>
      <c r="K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18" t="n"/>
      <c r="K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18" t="n"/>
      <c r="K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18" t="n"/>
      <c r="K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18" t="n"/>
      <c r="K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18" t="n"/>
      <c r="K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18" t="n"/>
      <c r="K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18" t="n"/>
      <c r="K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18" t="n"/>
      <c r="K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18" t="n"/>
      <c r="K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18" t="n"/>
      <c r="K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18" t="n"/>
      <c r="K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18" t="n"/>
      <c r="K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18" t="n"/>
      <c r="K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18" t="n"/>
      <c r="K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18" t="n"/>
      <c r="K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18" t="n"/>
      <c r="K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18" t="n"/>
      <c r="K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18" t="n"/>
      <c r="K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18" t="n"/>
      <c r="K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18" t="n"/>
      <c r="K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18" t="n"/>
      <c r="K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18" t="n"/>
      <c r="K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18" t="n"/>
      <c r="K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18" t="n"/>
      <c r="K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18" t="n"/>
      <c r="K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18" t="n"/>
      <c r="K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18" t="n"/>
      <c r="K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18" t="n"/>
      <c r="K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18" t="n"/>
      <c r="K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18" t="n"/>
      <c r="K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18" t="n"/>
      <c r="K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18" t="n"/>
      <c r="K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18" t="n"/>
      <c r="K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18" t="n"/>
      <c r="K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18" t="n"/>
      <c r="K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18" t="n"/>
      <c r="K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18" t="n"/>
      <c r="K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18" t="n"/>
      <c r="K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18" t="n"/>
      <c r="K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18" t="n"/>
      <c r="K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18" t="n"/>
      <c r="K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18" t="n"/>
      <c r="K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18" t="n"/>
      <c r="K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18" t="n"/>
      <c r="K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18" t="n"/>
      <c r="K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18" t="n"/>
      <c r="K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18" t="n"/>
      <c r="K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18" t="n"/>
      <c r="K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18" t="n"/>
      <c r="K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18" t="n"/>
      <c r="K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18" t="n"/>
      <c r="K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18" t="n"/>
      <c r="K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18" t="n"/>
      <c r="K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18" t="n"/>
      <c r="K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18" t="n"/>
      <c r="K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18" t="n"/>
      <c r="K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18" t="n"/>
      <c r="K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18" t="n"/>
      <c r="K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18" t="n"/>
      <c r="K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18" t="n"/>
      <c r="K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18" t="n"/>
      <c r="K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18" t="n"/>
      <c r="K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18" t="n"/>
      <c r="K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18" t="n"/>
      <c r="K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18" t="n"/>
      <c r="K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18" t="n"/>
      <c r="K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18" t="n"/>
      <c r="K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18" t="n"/>
      <c r="K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18" t="n"/>
      <c r="K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18" t="n"/>
      <c r="K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18" t="n"/>
      <c r="K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18" t="n"/>
      <c r="K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18" t="n"/>
      <c r="K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18" t="n"/>
      <c r="K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18" t="n"/>
      <c r="K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18" t="n"/>
      <c r="K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18" t="n"/>
      <c r="K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18" t="n"/>
      <c r="K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18" t="n"/>
      <c r="K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18" t="n"/>
      <c r="K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18" t="n"/>
      <c r="K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18" t="n"/>
      <c r="K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18" t="n"/>
      <c r="K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18" t="n"/>
      <c r="K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18" t="n"/>
      <c r="K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18" t="n"/>
      <c r="K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18" t="n"/>
      <c r="K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18" t="n"/>
      <c r="K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18" t="n"/>
      <c r="K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18" t="n"/>
      <c r="K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18" t="n"/>
      <c r="K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18" t="n"/>
      <c r="K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18" t="n"/>
      <c r="K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18" t="n"/>
      <c r="K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18" t="n"/>
      <c r="K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18" t="n"/>
      <c r="K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18" t="n"/>
      <c r="K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18" t="n"/>
      <c r="K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18" t="n"/>
      <c r="K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18" t="n"/>
      <c r="K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18" t="n"/>
      <c r="K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18" t="n"/>
      <c r="K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18" t="n"/>
      <c r="K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18" t="n"/>
      <c r="K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18" t="n"/>
      <c r="K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18" t="n"/>
      <c r="K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18" t="n"/>
      <c r="K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18" t="n"/>
      <c r="K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18" t="n"/>
      <c r="K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18" t="n"/>
      <c r="K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18" t="n"/>
      <c r="K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18" t="n"/>
      <c r="K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18" t="n"/>
      <c r="K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18" t="n"/>
      <c r="K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18" t="n"/>
      <c r="K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18" t="n"/>
      <c r="K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18" t="n"/>
      <c r="K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18" t="n"/>
      <c r="K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18" t="n"/>
      <c r="K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18" t="n"/>
      <c r="K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18" t="n"/>
      <c r="K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18" t="n"/>
      <c r="K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18" t="n"/>
      <c r="K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18" t="n"/>
      <c r="K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18" t="n"/>
      <c r="K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18" t="n"/>
      <c r="K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18" t="n"/>
      <c r="K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18" t="n"/>
      <c r="K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18" t="n"/>
      <c r="K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18" t="n"/>
      <c r="K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18" t="n"/>
      <c r="K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18" t="n"/>
      <c r="K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18" t="n"/>
      <c r="K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18" t="n"/>
      <c r="K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18" t="n"/>
      <c r="K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18" t="n"/>
      <c r="K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18" t="n"/>
      <c r="K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18" t="n"/>
      <c r="K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18" t="n"/>
      <c r="K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18" t="n"/>
      <c r="K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18" t="n"/>
      <c r="K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18" t="n"/>
      <c r="K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18" t="n"/>
      <c r="K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18" t="n"/>
      <c r="K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18" t="n"/>
      <c r="K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18" t="n"/>
      <c r="K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18" t="n"/>
      <c r="K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18" t="n"/>
      <c r="K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18" t="n"/>
      <c r="K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18" t="n"/>
      <c r="K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18" t="n"/>
      <c r="K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18" t="n"/>
      <c r="K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18" t="n"/>
      <c r="K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18" t="n"/>
      <c r="K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18" t="n"/>
      <c r="K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18" t="n"/>
      <c r="K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18" t="n"/>
      <c r="K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18" t="n"/>
      <c r="K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18" t="n"/>
      <c r="K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18" t="n"/>
      <c r="K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18" t="n"/>
      <c r="K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18" t="n"/>
      <c r="K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18" t="n"/>
      <c r="K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18" t="n"/>
      <c r="K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18" t="n"/>
      <c r="K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18" t="n"/>
      <c r="K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18" t="n"/>
      <c r="K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18" t="n"/>
      <c r="K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18" t="n"/>
      <c r="K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18" t="n"/>
      <c r="K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18" t="n"/>
      <c r="K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18" t="n"/>
      <c r="K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18" t="n"/>
      <c r="K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18" t="n"/>
      <c r="K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18" t="n"/>
      <c r="K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18" t="n"/>
      <c r="K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18" t="n"/>
      <c r="K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18" t="n"/>
      <c r="K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18" t="n"/>
      <c r="K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18" t="n"/>
      <c r="K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18" t="n"/>
      <c r="K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18" t="n"/>
      <c r="K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18" t="n"/>
      <c r="K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18" t="n"/>
      <c r="K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18" t="n"/>
      <c r="K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18" t="n"/>
      <c r="K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18" t="n"/>
      <c r="K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18" t="n"/>
      <c r="K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18" t="n"/>
      <c r="K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18" t="n"/>
      <c r="K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18" t="n"/>
      <c r="K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18" t="n"/>
      <c r="K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18" t="n"/>
      <c r="K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18" t="n"/>
      <c r="K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</sheetData>
  <dataValidations count="1">
    <dataValidation sqref="J5:J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46143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IF($A5="","",COUNTIFS(근태기록!$C$5:$C$2004,$A5,근태기록!$A$5:$A$2004,"&gt;="&amp;$B$3,근태기록!$A$5:$A$2004,"&lt;="&amp;EOMONTH($B$3,0),근태기록!$J$5:$J$2004,"지각"))</f>
        <v/>
      </c>
      <c r="H5" s="30">
        <f>IF($A5="","",COUNTIFS(근태기록!$C$5:$C$2004,$A5,근태기록!$A$5:$A$2004,"&gt;="&amp;$B$3,근태기록!$A$5:$A$2004,"&lt;="&amp;EOMONTH($B$3,0),근태기록!$J$5:$J$2004,"조퇴"))</f>
        <v/>
      </c>
      <c r="I5" s="30">
        <f>IF($A5="","",COUNTIFS(근태기록!$C$5:$C$2004,$A5,근태기록!$A$5:$A$2004,"&gt;="&amp;$B$3,근태기록!$A$5:$A$2004,"&lt;="&amp;EOMONTH($B$3,0),근태기록!$J$5:$J$2004,"결근"))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IF($A6="","",COUNTIFS(근태기록!$C$5:$C$2004,$A6,근태기록!$A$5:$A$2004,"&gt;="&amp;$B$3,근태기록!$A$5:$A$2004,"&lt;="&amp;EOMONTH($B$3,0),근태기록!$J$5:$J$2004,"지각"))</f>
        <v/>
      </c>
      <c r="H6" s="30">
        <f>IF($A6="","",COUNTIFS(근태기록!$C$5:$C$2004,$A6,근태기록!$A$5:$A$2004,"&gt;="&amp;$B$3,근태기록!$A$5:$A$2004,"&lt;="&amp;EOMONTH($B$3,0),근태기록!$J$5:$J$2004,"조퇴"))</f>
        <v/>
      </c>
      <c r="I6" s="30">
        <f>IF($A6="","",COUNTIFS(근태기록!$C$5:$C$2004,$A6,근태기록!$A$5:$A$2004,"&gt;="&amp;$B$3,근태기록!$A$5:$A$2004,"&lt;="&amp;EOMONTH($B$3,0),근태기록!$J$5:$J$2004,"결근"))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IF($A7="","",COUNTIFS(근태기록!$C$5:$C$2004,$A7,근태기록!$A$5:$A$2004,"&gt;="&amp;$B$3,근태기록!$A$5:$A$2004,"&lt;="&amp;EOMONTH($B$3,0),근태기록!$J$5:$J$2004,"지각"))</f>
        <v/>
      </c>
      <c r="H7" s="30">
        <f>IF($A7="","",COUNTIFS(근태기록!$C$5:$C$2004,$A7,근태기록!$A$5:$A$2004,"&gt;="&amp;$B$3,근태기록!$A$5:$A$2004,"&lt;="&amp;EOMONTH($B$3,0),근태기록!$J$5:$J$2004,"조퇴"))</f>
        <v/>
      </c>
      <c r="I7" s="30">
        <f>IF($A7="","",COUNTIFS(근태기록!$C$5:$C$2004,$A7,근태기록!$A$5:$A$2004,"&gt;="&amp;$B$3,근태기록!$A$5:$A$2004,"&lt;="&amp;EOMONTH($B$3,0),근태기록!$J$5:$J$2004,"결근"))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IF($A8="","",COUNTIFS(근태기록!$C$5:$C$2004,$A8,근태기록!$A$5:$A$2004,"&gt;="&amp;$B$3,근태기록!$A$5:$A$2004,"&lt;="&amp;EOMONTH($B$3,0),근태기록!$J$5:$J$2004,"지각"))</f>
        <v/>
      </c>
      <c r="H8" s="30">
        <f>IF($A8="","",COUNTIFS(근태기록!$C$5:$C$2004,$A8,근태기록!$A$5:$A$2004,"&gt;="&amp;$B$3,근태기록!$A$5:$A$2004,"&lt;="&amp;EOMONTH($B$3,0),근태기록!$J$5:$J$2004,"조퇴"))</f>
        <v/>
      </c>
      <c r="I8" s="30">
        <f>IF($A8="","",COUNTIFS(근태기록!$C$5:$C$2004,$A8,근태기록!$A$5:$A$2004,"&gt;="&amp;$B$3,근태기록!$A$5:$A$2004,"&lt;="&amp;EOMONTH($B$3,0),근태기록!$J$5:$J$2004,"결근"))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IF($A9="","",COUNTIFS(근태기록!$C$5:$C$2004,$A9,근태기록!$A$5:$A$2004,"&gt;="&amp;$B$3,근태기록!$A$5:$A$2004,"&lt;="&amp;EOMONTH($B$3,0),근태기록!$J$5:$J$2004,"지각"))</f>
        <v/>
      </c>
      <c r="H9" s="30">
        <f>IF($A9="","",COUNTIFS(근태기록!$C$5:$C$2004,$A9,근태기록!$A$5:$A$2004,"&gt;="&amp;$B$3,근태기록!$A$5:$A$2004,"&lt;="&amp;EOMONTH($B$3,0),근태기록!$J$5:$J$2004,"조퇴"))</f>
        <v/>
      </c>
      <c r="I9" s="30">
        <f>IF($A9="","",COUNTIFS(근태기록!$C$5:$C$2004,$A9,근태기록!$A$5:$A$2004,"&gt;="&amp;$B$3,근태기록!$A$5:$A$2004,"&lt;="&amp;EOMONTH($B$3,0),근태기록!$J$5:$J$2004,"결근"))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IF($A10="","",COUNTIFS(근태기록!$C$5:$C$2004,$A10,근태기록!$A$5:$A$2004,"&gt;="&amp;$B$3,근태기록!$A$5:$A$2004,"&lt;="&amp;EOMONTH($B$3,0),근태기록!$J$5:$J$2004,"지각"))</f>
        <v/>
      </c>
      <c r="H10" s="30">
        <f>IF($A10="","",COUNTIFS(근태기록!$C$5:$C$2004,$A10,근태기록!$A$5:$A$2004,"&gt;="&amp;$B$3,근태기록!$A$5:$A$2004,"&lt;="&amp;EOMONTH($B$3,0),근태기록!$J$5:$J$2004,"조퇴"))</f>
        <v/>
      </c>
      <c r="I10" s="30">
        <f>IF($A10="","",COUNTIFS(근태기록!$C$5:$C$2004,$A10,근태기록!$A$5:$A$2004,"&gt;="&amp;$B$3,근태기록!$A$5:$A$2004,"&lt;="&amp;EOMONTH($B$3,0),근태기록!$J$5:$J$2004,"결근"))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IF($A11="","",COUNTIFS(근태기록!$C$5:$C$2004,$A11,근태기록!$A$5:$A$2004,"&gt;="&amp;$B$3,근태기록!$A$5:$A$2004,"&lt;="&amp;EOMONTH($B$3,0),근태기록!$J$5:$J$2004,"지각"))</f>
        <v/>
      </c>
      <c r="H11" s="30">
        <f>IF($A11="","",COUNTIFS(근태기록!$C$5:$C$2004,$A11,근태기록!$A$5:$A$2004,"&gt;="&amp;$B$3,근태기록!$A$5:$A$2004,"&lt;="&amp;EOMONTH($B$3,0),근태기록!$J$5:$J$2004,"조퇴"))</f>
        <v/>
      </c>
      <c r="I11" s="30">
        <f>IF($A11="","",COUNTIFS(근태기록!$C$5:$C$2004,$A11,근태기록!$A$5:$A$2004,"&gt;="&amp;$B$3,근태기록!$A$5:$A$2004,"&lt;="&amp;EOMONTH($B$3,0),근태기록!$J$5:$J$2004,"결근"))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IF($A12="","",COUNTIFS(근태기록!$C$5:$C$2004,$A12,근태기록!$A$5:$A$2004,"&gt;="&amp;$B$3,근태기록!$A$5:$A$2004,"&lt;="&amp;EOMONTH($B$3,0),근태기록!$J$5:$J$2004,"지각"))</f>
        <v/>
      </c>
      <c r="H12" s="30">
        <f>IF($A12="","",COUNTIFS(근태기록!$C$5:$C$2004,$A12,근태기록!$A$5:$A$2004,"&gt;="&amp;$B$3,근태기록!$A$5:$A$2004,"&lt;="&amp;EOMONTH($B$3,0),근태기록!$J$5:$J$2004,"조퇴"))</f>
        <v/>
      </c>
      <c r="I12" s="30">
        <f>IF($A12="","",COUNTIFS(근태기록!$C$5:$C$2004,$A12,근태기록!$A$5:$A$2004,"&gt;="&amp;$B$3,근태기록!$A$5:$A$2004,"&lt;="&amp;EOMONTH($B$3,0),근태기록!$J$5:$J$2004,"결근"))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IF($A13="","",COUNTIFS(근태기록!$C$5:$C$2004,$A13,근태기록!$A$5:$A$2004,"&gt;="&amp;$B$3,근태기록!$A$5:$A$2004,"&lt;="&amp;EOMONTH($B$3,0),근태기록!$J$5:$J$2004,"지각"))</f>
        <v/>
      </c>
      <c r="H13" s="30">
        <f>IF($A13="","",COUNTIFS(근태기록!$C$5:$C$2004,$A13,근태기록!$A$5:$A$2004,"&gt;="&amp;$B$3,근태기록!$A$5:$A$2004,"&lt;="&amp;EOMONTH($B$3,0),근태기록!$J$5:$J$2004,"조퇴"))</f>
        <v/>
      </c>
      <c r="I13" s="30">
        <f>IF($A13="","",COUNTIFS(근태기록!$C$5:$C$2004,$A13,근태기록!$A$5:$A$2004,"&gt;="&amp;$B$3,근태기록!$A$5:$A$2004,"&lt;="&amp;EOMONTH($B$3,0),근태기록!$J$5:$J$2004,"결근"))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IF($A14="","",COUNTIFS(근태기록!$C$5:$C$2004,$A14,근태기록!$A$5:$A$2004,"&gt;="&amp;$B$3,근태기록!$A$5:$A$2004,"&lt;="&amp;EOMONTH($B$3,0),근태기록!$J$5:$J$2004,"지각"))</f>
        <v/>
      </c>
      <c r="H14" s="30">
        <f>IF($A14="","",COUNTIFS(근태기록!$C$5:$C$2004,$A14,근태기록!$A$5:$A$2004,"&gt;="&amp;$B$3,근태기록!$A$5:$A$2004,"&lt;="&amp;EOMONTH($B$3,0),근태기록!$J$5:$J$2004,"조퇴"))</f>
        <v/>
      </c>
      <c r="I14" s="30">
        <f>IF($A14="","",COUNTIFS(근태기록!$C$5:$C$2004,$A14,근태기록!$A$5:$A$2004,"&gt;="&amp;$B$3,근태기록!$A$5:$A$2004,"&lt;="&amp;EOMONTH($B$3,0),근태기록!$J$5:$J$2004,"결근"))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IF($A15="","",COUNTIFS(근태기록!$C$5:$C$2004,$A15,근태기록!$A$5:$A$2004,"&gt;="&amp;$B$3,근태기록!$A$5:$A$2004,"&lt;="&amp;EOMONTH($B$3,0),근태기록!$J$5:$J$2004,"지각"))</f>
        <v/>
      </c>
      <c r="H15" s="30">
        <f>IF($A15="","",COUNTIFS(근태기록!$C$5:$C$2004,$A15,근태기록!$A$5:$A$2004,"&gt;="&amp;$B$3,근태기록!$A$5:$A$2004,"&lt;="&amp;EOMONTH($B$3,0),근태기록!$J$5:$J$2004,"조퇴"))</f>
        <v/>
      </c>
      <c r="I15" s="30">
        <f>IF($A15="","",COUNTIFS(근태기록!$C$5:$C$2004,$A15,근태기록!$A$5:$A$2004,"&gt;="&amp;$B$3,근태기록!$A$5:$A$2004,"&lt;="&amp;EOMONTH($B$3,0),근태기록!$J$5:$J$2004,"결근"))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IF($A16="","",COUNTIFS(근태기록!$C$5:$C$2004,$A16,근태기록!$A$5:$A$2004,"&gt;="&amp;$B$3,근태기록!$A$5:$A$2004,"&lt;="&amp;EOMONTH($B$3,0),근태기록!$J$5:$J$2004,"지각"))</f>
        <v/>
      </c>
      <c r="H16" s="30">
        <f>IF($A16="","",COUNTIFS(근태기록!$C$5:$C$2004,$A16,근태기록!$A$5:$A$2004,"&gt;="&amp;$B$3,근태기록!$A$5:$A$2004,"&lt;="&amp;EOMONTH($B$3,0),근태기록!$J$5:$J$2004,"조퇴"))</f>
        <v/>
      </c>
      <c r="I16" s="30">
        <f>IF($A16="","",COUNTIFS(근태기록!$C$5:$C$2004,$A16,근태기록!$A$5:$A$2004,"&gt;="&amp;$B$3,근태기록!$A$5:$A$2004,"&lt;="&amp;EOMONTH($B$3,0),근태기록!$J$5:$J$2004,"결근"))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IF($A17="","",COUNTIFS(근태기록!$C$5:$C$2004,$A17,근태기록!$A$5:$A$2004,"&gt;="&amp;$B$3,근태기록!$A$5:$A$2004,"&lt;="&amp;EOMONTH($B$3,0),근태기록!$J$5:$J$2004,"지각"))</f>
        <v/>
      </c>
      <c r="H17" s="30">
        <f>IF($A17="","",COUNTIFS(근태기록!$C$5:$C$2004,$A17,근태기록!$A$5:$A$2004,"&gt;="&amp;$B$3,근태기록!$A$5:$A$2004,"&lt;="&amp;EOMONTH($B$3,0),근태기록!$J$5:$J$2004,"조퇴"))</f>
        <v/>
      </c>
      <c r="I17" s="30">
        <f>IF($A17="","",COUNTIFS(근태기록!$C$5:$C$2004,$A17,근태기록!$A$5:$A$2004,"&gt;="&amp;$B$3,근태기록!$A$5:$A$2004,"&lt;="&amp;EOMONTH($B$3,0),근태기록!$J$5:$J$2004,"결근"))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IF($A18="","",COUNTIFS(근태기록!$C$5:$C$2004,$A18,근태기록!$A$5:$A$2004,"&gt;="&amp;$B$3,근태기록!$A$5:$A$2004,"&lt;="&amp;EOMONTH($B$3,0),근태기록!$J$5:$J$2004,"지각"))</f>
        <v/>
      </c>
      <c r="H18" s="30">
        <f>IF($A18="","",COUNTIFS(근태기록!$C$5:$C$2004,$A18,근태기록!$A$5:$A$2004,"&gt;="&amp;$B$3,근태기록!$A$5:$A$2004,"&lt;="&amp;EOMONTH($B$3,0),근태기록!$J$5:$J$2004,"조퇴"))</f>
        <v/>
      </c>
      <c r="I18" s="30">
        <f>IF($A18="","",COUNTIFS(근태기록!$C$5:$C$2004,$A18,근태기록!$A$5:$A$2004,"&gt;="&amp;$B$3,근태기록!$A$5:$A$2004,"&lt;="&amp;EOMONTH($B$3,0),근태기록!$J$5:$J$2004,"결근"))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IF($A19="","",COUNTIFS(근태기록!$C$5:$C$2004,$A19,근태기록!$A$5:$A$2004,"&gt;="&amp;$B$3,근태기록!$A$5:$A$2004,"&lt;="&amp;EOMONTH($B$3,0),근태기록!$J$5:$J$2004,"지각"))</f>
        <v/>
      </c>
      <c r="H19" s="30">
        <f>IF($A19="","",COUNTIFS(근태기록!$C$5:$C$2004,$A19,근태기록!$A$5:$A$2004,"&gt;="&amp;$B$3,근태기록!$A$5:$A$2004,"&lt;="&amp;EOMONTH($B$3,0),근태기록!$J$5:$J$2004,"조퇴"))</f>
        <v/>
      </c>
      <c r="I19" s="30">
        <f>IF($A19="","",COUNTIFS(근태기록!$C$5:$C$2004,$A19,근태기록!$A$5:$A$2004,"&gt;="&amp;$B$3,근태기록!$A$5:$A$2004,"&lt;="&amp;EOMONTH($B$3,0),근태기록!$J$5:$J$2004,"결근"))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IF($A20="","",COUNTIFS(근태기록!$C$5:$C$2004,$A20,근태기록!$A$5:$A$2004,"&gt;="&amp;$B$3,근태기록!$A$5:$A$2004,"&lt;="&amp;EOMONTH($B$3,0),근태기록!$J$5:$J$2004,"지각"))</f>
        <v/>
      </c>
      <c r="H20" s="30">
        <f>IF($A20="","",COUNTIFS(근태기록!$C$5:$C$2004,$A20,근태기록!$A$5:$A$2004,"&gt;="&amp;$B$3,근태기록!$A$5:$A$2004,"&lt;="&amp;EOMONTH($B$3,0),근태기록!$J$5:$J$2004,"조퇴"))</f>
        <v/>
      </c>
      <c r="I20" s="30">
        <f>IF($A20="","",COUNTIFS(근태기록!$C$5:$C$2004,$A20,근태기록!$A$5:$A$2004,"&gt;="&amp;$B$3,근태기록!$A$5:$A$2004,"&lt;="&amp;EOMONTH($B$3,0),근태기록!$J$5:$J$2004,"결근"))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IF($A21="","",COUNTIFS(근태기록!$C$5:$C$2004,$A21,근태기록!$A$5:$A$2004,"&gt;="&amp;$B$3,근태기록!$A$5:$A$2004,"&lt;="&amp;EOMONTH($B$3,0),근태기록!$J$5:$J$2004,"지각"))</f>
        <v/>
      </c>
      <c r="H21" s="30">
        <f>IF($A21="","",COUNTIFS(근태기록!$C$5:$C$2004,$A21,근태기록!$A$5:$A$2004,"&gt;="&amp;$B$3,근태기록!$A$5:$A$2004,"&lt;="&amp;EOMONTH($B$3,0),근태기록!$J$5:$J$2004,"조퇴"))</f>
        <v/>
      </c>
      <c r="I21" s="30">
        <f>IF($A21="","",COUNTIFS(근태기록!$C$5:$C$2004,$A21,근태기록!$A$5:$A$2004,"&gt;="&amp;$B$3,근태기록!$A$5:$A$2004,"&lt;="&amp;EOMONTH($B$3,0),근태기록!$J$5:$J$2004,"결근"))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IF($A22="","",COUNTIFS(근태기록!$C$5:$C$2004,$A22,근태기록!$A$5:$A$2004,"&gt;="&amp;$B$3,근태기록!$A$5:$A$2004,"&lt;="&amp;EOMONTH($B$3,0),근태기록!$J$5:$J$2004,"지각"))</f>
        <v/>
      </c>
      <c r="H22" s="30">
        <f>IF($A22="","",COUNTIFS(근태기록!$C$5:$C$2004,$A22,근태기록!$A$5:$A$2004,"&gt;="&amp;$B$3,근태기록!$A$5:$A$2004,"&lt;="&amp;EOMONTH($B$3,0),근태기록!$J$5:$J$2004,"조퇴"))</f>
        <v/>
      </c>
      <c r="I22" s="30">
        <f>IF($A22="","",COUNTIFS(근태기록!$C$5:$C$2004,$A22,근태기록!$A$5:$A$2004,"&gt;="&amp;$B$3,근태기록!$A$5:$A$2004,"&lt;="&amp;EOMONTH($B$3,0),근태기록!$J$5:$J$2004,"결근"))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IF($A23="","",COUNTIFS(근태기록!$C$5:$C$2004,$A23,근태기록!$A$5:$A$2004,"&gt;="&amp;$B$3,근태기록!$A$5:$A$2004,"&lt;="&amp;EOMONTH($B$3,0),근태기록!$J$5:$J$2004,"지각"))</f>
        <v/>
      </c>
      <c r="H23" s="30">
        <f>IF($A23="","",COUNTIFS(근태기록!$C$5:$C$2004,$A23,근태기록!$A$5:$A$2004,"&gt;="&amp;$B$3,근태기록!$A$5:$A$2004,"&lt;="&amp;EOMONTH($B$3,0),근태기록!$J$5:$J$2004,"조퇴"))</f>
        <v/>
      </c>
      <c r="I23" s="30">
        <f>IF($A23="","",COUNTIFS(근태기록!$C$5:$C$2004,$A23,근태기록!$A$5:$A$2004,"&gt;="&amp;$B$3,근태기록!$A$5:$A$2004,"&lt;="&amp;EOMONTH($B$3,0),근태기록!$J$5:$J$2004,"결근"))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IF($A24="","",COUNTIFS(근태기록!$C$5:$C$2004,$A24,근태기록!$A$5:$A$2004,"&gt;="&amp;$B$3,근태기록!$A$5:$A$2004,"&lt;="&amp;EOMONTH($B$3,0),근태기록!$J$5:$J$2004,"지각"))</f>
        <v/>
      </c>
      <c r="H24" s="30">
        <f>IF($A24="","",COUNTIFS(근태기록!$C$5:$C$2004,$A24,근태기록!$A$5:$A$2004,"&gt;="&amp;$B$3,근태기록!$A$5:$A$2004,"&lt;="&amp;EOMONTH($B$3,0),근태기록!$J$5:$J$2004,"조퇴"))</f>
        <v/>
      </c>
      <c r="I24" s="30">
        <f>IF($A24="","",COUNTIFS(근태기록!$C$5:$C$2004,$A24,근태기록!$A$5:$A$2004,"&gt;="&amp;$B$3,근태기록!$A$5:$A$2004,"&lt;="&amp;EOMONTH($B$3,0),근태기록!$J$5:$J$2004,"결근"))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36" t="inlineStr">
        <is>
          <t>고용형태</t>
        </is>
      </c>
      <c r="B4" s="36" t="inlineStr">
        <is>
          <t>재직상태</t>
        </is>
      </c>
      <c r="C4" s="36" t="inlineStr">
        <is>
          <t>근태구분</t>
        </is>
      </c>
      <c r="D4" s="36" t="inlineStr">
        <is>
          <t>휴가종류</t>
        </is>
      </c>
    </row>
    <row r="5">
      <c r="A5" s="37" t="inlineStr">
        <is>
          <t>정규사원</t>
        </is>
      </c>
      <c r="B5" s="37" t="inlineStr">
        <is>
          <t>재직</t>
        </is>
      </c>
      <c r="C5" s="37" t="inlineStr">
        <is>
          <t>정상</t>
        </is>
      </c>
      <c r="D5" s="37" t="inlineStr">
        <is>
          <t>연차</t>
        </is>
      </c>
    </row>
    <row r="6">
      <c r="A6" s="37" t="inlineStr">
        <is>
          <t>계약사원</t>
        </is>
      </c>
      <c r="B6" s="37" t="inlineStr">
        <is>
          <t>휴직</t>
        </is>
      </c>
      <c r="C6" s="37" t="inlineStr">
        <is>
          <t>지각</t>
        </is>
      </c>
      <c r="D6" s="37" t="inlineStr">
        <is>
          <t>경조휴가</t>
        </is>
      </c>
    </row>
    <row r="7">
      <c r="A7" s="37" t="inlineStr">
        <is>
          <t>단시간사원</t>
        </is>
      </c>
      <c r="B7" s="37" t="inlineStr">
        <is>
          <t>퇴사</t>
        </is>
      </c>
      <c r="C7" s="37" t="inlineStr">
        <is>
          <t>조퇴</t>
        </is>
      </c>
      <c r="D7" s="37" t="inlineStr">
        <is>
          <t>병가</t>
        </is>
      </c>
    </row>
    <row r="8">
      <c r="A8" s="37" t="inlineStr">
        <is>
          <t>수습</t>
        </is>
      </c>
      <c r="C8" s="37" t="inlineStr">
        <is>
          <t>외출</t>
        </is>
      </c>
      <c r="D8" s="37" t="inlineStr">
        <is>
          <t>공가</t>
        </is>
      </c>
    </row>
    <row r="9">
      <c r="C9" s="37" t="inlineStr">
        <is>
          <t>결근</t>
        </is>
      </c>
      <c r="D9" s="37" t="inlineStr">
        <is>
          <t>출산전후휴가</t>
        </is>
      </c>
    </row>
    <row r="10">
      <c r="C10" s="37" t="inlineStr">
        <is>
          <t>휴가</t>
        </is>
      </c>
      <c r="D10" s="37" t="inlineStr">
        <is>
          <t>배우자출산휴가</t>
        </is>
      </c>
    </row>
    <row r="11">
      <c r="C11" s="37" t="inlineStr">
        <is>
          <t>재택</t>
        </is>
      </c>
      <c r="D11" s="37" t="inlineStr">
        <is>
          <t>육아휴직</t>
        </is>
      </c>
    </row>
    <row r="12">
      <c r="C12" s="37" t="inlineStr">
        <is>
          <t>출장</t>
        </is>
      </c>
      <c r="D12" s="37" t="inlineStr">
        <is>
          <t>가족돌봄휴가</t>
        </is>
      </c>
    </row>
    <row r="13">
      <c r="C13" s="37" t="inlineStr">
        <is>
          <t>휴일근로</t>
        </is>
      </c>
      <c r="D13" s="37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2026-08-29T09:42:57Z</dcterms:created>
  <dcterms:modified xmlns:dcterms="http://purl.org/dc/terms/" xmlns:xsi="http://www.w3.org/2001/XMLSchema-instance" xsi:type="dcterms:W3CDTF">2026-08-29T09:43:01Z</dcterms:modified>
</cp:coreProperties>
</file>